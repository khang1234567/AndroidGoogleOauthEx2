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ministrator PC\Desktop\BUI VAN HAI - BO SUNG\"/>
    </mc:Choice>
  </mc:AlternateContent>
  <bookViews>
    <workbookView xWindow="8730" yWindow="-15" windowWidth="8775" windowHeight="9315" tabRatio="603" firstSheet="2" activeTab="3"/>
  </bookViews>
  <sheets>
    <sheet name="初期設定" sheetId="22" state="hidden" r:id="rId1"/>
    <sheet name="リスト" sheetId="24" state="hidden" r:id="rId2"/>
    <sheet name="02.経費支弁書" sheetId="16" r:id="rId3"/>
    <sheet name="01.入学願書" sheetId="13" r:id="rId4"/>
    <sheet name="家族追加用紙" sheetId="27" state="hidden" r:id="rId5"/>
    <sheet name="03.訳文(留学理由)" sheetId="26" r:id="rId6"/>
    <sheet name="04.入寮申込書" sheetId="20" r:id="rId7"/>
    <sheet name="申請人１" sheetId="17" state="hidden" r:id="rId8"/>
    <sheet name="申請人２－３" sheetId="18" state="hidden" r:id="rId9"/>
    <sheet name="所属機関１－２" sheetId="19" state="hidden" r:id="rId10"/>
    <sheet name="確認報告書" sheetId="28" state="hidden" r:id="rId11"/>
    <sheet name="在留用収入" sheetId="23" state="hidden" r:id="rId12"/>
    <sheet name="貼付用抽出" sheetId="21" state="hidden" r:id="rId13"/>
    <sheet name="04.説明書" sheetId="25" state="hidden" r:id="rId14"/>
  </sheets>
  <externalReferences>
    <externalReference r:id="rId15"/>
    <externalReference r:id="rId16"/>
    <externalReference r:id="rId17"/>
  </externalReferences>
  <definedNames>
    <definedName name="_xlnm.Print_Area" localSheetId="3">'01.入学願書'!$A$1:$BH$178</definedName>
    <definedName name="_xlnm.Print_Area" localSheetId="2">'02.経費支弁書'!$A$1:$W$60</definedName>
    <definedName name="_xlnm.Print_Area" localSheetId="5">'03.訳文(留学理由)'!$A$1:$BH$86</definedName>
    <definedName name="_xlnm.Print_Area" localSheetId="6">'04.入寮申込書'!$A$1:$X$39</definedName>
    <definedName name="_xlnm.Print_Area" localSheetId="1">リスト!$A$1:$K$28</definedName>
    <definedName name="_xlnm.Print_Area" localSheetId="4">家族追加用紙!$A$1:$BH$52</definedName>
    <definedName name="_xlnm.Print_Area" localSheetId="9">所属機関１-[1]２!$A$1:$AL$146</definedName>
    <definedName name="_xlnm.Print_Area" localSheetId="7">申請人１!$A$1:$AM$85</definedName>
    <definedName name="_xlnm.Print_Area" localSheetId="8">申請人２-[2]３!$A$1:$AH$146</definedName>
    <definedName name="_xlnm.Print_Area" localSheetId="10">確認報告書!$A$1:$AC$59</definedName>
  </definedNames>
  <calcPr calcId="152511"/>
</workbook>
</file>

<file path=xl/calcChain.xml><?xml version="1.0" encoding="utf-8"?>
<calcChain xmlns="http://schemas.openxmlformats.org/spreadsheetml/2006/main">
  <c r="BJ70" i="26" l="1"/>
  <c r="U10" i="16"/>
  <c r="K7" i="23" l="1"/>
  <c r="K6" i="23"/>
  <c r="K5" i="23"/>
  <c r="CF10" i="13" l="1"/>
  <c r="AP17" i="18" l="1"/>
  <c r="AM17" i="18"/>
  <c r="AP16" i="18" s="1"/>
  <c r="AA4" i="21" l="1"/>
  <c r="R4" i="21"/>
  <c r="P4" i="21"/>
  <c r="O4" i="21"/>
  <c r="M4" i="21"/>
  <c r="K4" i="21"/>
  <c r="J4" i="21"/>
  <c r="I4" i="21"/>
  <c r="H4" i="21"/>
  <c r="G4" i="21"/>
  <c r="F4" i="21"/>
  <c r="E4" i="21"/>
  <c r="D4" i="21"/>
  <c r="C4" i="21"/>
  <c r="B4" i="21"/>
  <c r="A4" i="21"/>
  <c r="B4" i="24" l="1"/>
  <c r="CF30" i="13" l="1"/>
  <c r="CF29" i="13"/>
  <c r="CF28" i="13"/>
  <c r="CF24" i="13"/>
  <c r="CF23" i="13"/>
  <c r="CF22" i="13"/>
  <c r="CF18" i="13"/>
  <c r="CF17" i="13"/>
  <c r="CF16" i="13"/>
  <c r="CF12" i="13"/>
  <c r="CF11" i="13"/>
  <c r="CF5" i="13"/>
  <c r="CF3" i="13"/>
  <c r="P77" i="18" l="1"/>
  <c r="F7" i="20"/>
  <c r="BJ40" i="26"/>
  <c r="AQ64" i="26"/>
  <c r="AQ2" i="26"/>
  <c r="W7" i="28"/>
  <c r="S7" i="28"/>
  <c r="Q7" i="28"/>
  <c r="A7" i="28"/>
  <c r="E19" i="17" l="1"/>
  <c r="CF14" i="27" l="1"/>
  <c r="CH14" i="27" s="1"/>
  <c r="CF13" i="27"/>
  <c r="CH13" i="27" s="1"/>
  <c r="CF12" i="27"/>
  <c r="CH12" i="27" s="1"/>
  <c r="CH15" i="27" s="1"/>
  <c r="CF15" i="27" s="1"/>
  <c r="CF8" i="27"/>
  <c r="CH8" i="27" s="1"/>
  <c r="CF7" i="27"/>
  <c r="CH7" i="27" s="1"/>
  <c r="CH9" i="27" s="1"/>
  <c r="CF9" i="27" s="1"/>
  <c r="M6" i="19"/>
  <c r="F9" i="25"/>
  <c r="O7" i="20"/>
  <c r="Z36" i="26" l="1"/>
  <c r="O36" i="26"/>
  <c r="L57" i="16" l="1"/>
  <c r="F36" i="26" l="1"/>
  <c r="AS14" i="26"/>
  <c r="BB14" i="26"/>
  <c r="AN14" i="26"/>
  <c r="AC14" i="26"/>
  <c r="W14" i="26"/>
  <c r="Q14" i="26"/>
  <c r="K14" i="26"/>
  <c r="E14" i="26"/>
  <c r="T11" i="26"/>
  <c r="E11" i="26"/>
  <c r="O11" i="26"/>
  <c r="AM9" i="26"/>
  <c r="AA9" i="26"/>
  <c r="O9" i="26"/>
  <c r="E9" i="26"/>
  <c r="BJ20" i="26" l="1"/>
  <c r="I4" i="24" l="1"/>
  <c r="CD18" i="13"/>
  <c r="G21" i="18" s="1"/>
  <c r="N4" i="21" s="1"/>
  <c r="CB18" i="13"/>
  <c r="CC18" i="13" s="1"/>
  <c r="M10" i="25" l="1"/>
  <c r="F10" i="25"/>
  <c r="G4" i="24"/>
  <c r="M8" i="25"/>
  <c r="L2" i="25"/>
  <c r="F4" i="24" l="1"/>
  <c r="S45" i="19" l="1"/>
  <c r="O45" i="19"/>
  <c r="H45" i="19"/>
  <c r="O5" i="22"/>
  <c r="L98" i="19" s="1"/>
  <c r="AL16" i="18" l="1"/>
  <c r="Q4" i="21" s="1"/>
  <c r="D7" i="23"/>
  <c r="H7" i="23" s="1"/>
  <c r="AS90" i="18" s="1"/>
  <c r="AT90" i="18" s="1"/>
  <c r="D6" i="23"/>
  <c r="H6" i="23" s="1"/>
  <c r="AS89" i="18" s="1"/>
  <c r="AT89" i="18" s="1"/>
  <c r="L7" i="23"/>
  <c r="L6" i="23"/>
  <c r="L5" i="23"/>
  <c r="D5" i="23"/>
  <c r="Q48" i="17"/>
  <c r="M48" i="17"/>
  <c r="H48" i="17"/>
  <c r="H51" i="17"/>
  <c r="CH30" i="13"/>
  <c r="CH29" i="13"/>
  <c r="CH28" i="13"/>
  <c r="CH22" i="13"/>
  <c r="CH24" i="13"/>
  <c r="CH23" i="13"/>
  <c r="CH12" i="13"/>
  <c r="CH11" i="13"/>
  <c r="CH10" i="13"/>
  <c r="CF4" i="13"/>
  <c r="H5" i="23" l="1"/>
  <c r="AS88" i="18" s="1"/>
  <c r="AT88" i="18" s="1"/>
  <c r="T4" i="21" s="1"/>
  <c r="AO88" i="18"/>
  <c r="Q19" i="18"/>
  <c r="U19" i="18" s="1"/>
  <c r="J19" i="18"/>
  <c r="Q17" i="18"/>
  <c r="AB17" i="18"/>
  <c r="C17" i="18"/>
  <c r="V17" i="18"/>
  <c r="C19" i="18"/>
  <c r="AO90" i="18"/>
  <c r="CH31" i="13"/>
  <c r="CF31" i="13" s="1"/>
  <c r="AA73" i="18" s="1"/>
  <c r="X4" i="21" s="1"/>
  <c r="AO89" i="18"/>
  <c r="K8" i="23"/>
  <c r="L8" i="23" s="1"/>
  <c r="H75" i="18" s="1"/>
  <c r="Y4" i="21" s="1"/>
  <c r="M6" i="23"/>
  <c r="M7" i="23"/>
  <c r="M5" i="23"/>
  <c r="CH25" i="13"/>
  <c r="CF25" i="13" s="1"/>
  <c r="CH13" i="13"/>
  <c r="CH3" i="13"/>
  <c r="CH4" i="13"/>
  <c r="CH5" i="13"/>
  <c r="AB52" i="18"/>
  <c r="Z4" i="21" s="1"/>
  <c r="AC10" i="16"/>
  <c r="Z62" i="18" s="1"/>
  <c r="I59" i="16"/>
  <c r="D59" i="16"/>
  <c r="E57" i="16"/>
  <c r="I55" i="16"/>
  <c r="D55" i="16"/>
  <c r="L53" i="16"/>
  <c r="E53" i="16"/>
  <c r="AR80" i="17"/>
  <c r="AR78" i="17"/>
  <c r="AR76" i="17"/>
  <c r="AF80" i="17"/>
  <c r="AF78" i="17"/>
  <c r="Y80" i="17"/>
  <c r="Y78" i="17"/>
  <c r="AR64" i="17"/>
  <c r="AR57" i="17"/>
  <c r="H34" i="17"/>
  <c r="AR23" i="17"/>
  <c r="AR22" i="17"/>
  <c r="Q80" i="17"/>
  <c r="Q78" i="17"/>
  <c r="M80" i="17"/>
  <c r="M78" i="17"/>
  <c r="A80" i="17"/>
  <c r="A78" i="17"/>
  <c r="AF76" i="17"/>
  <c r="Y76" i="17"/>
  <c r="Q76" i="17"/>
  <c r="M76" i="17"/>
  <c r="E76" i="17"/>
  <c r="A76" i="17"/>
  <c r="AY80" i="17"/>
  <c r="AY78" i="17"/>
  <c r="AY76" i="17"/>
  <c r="E60" i="17"/>
  <c r="E25" i="17"/>
  <c r="O22" i="17"/>
  <c r="L4" i="21" s="1"/>
  <c r="AJ16" i="17"/>
  <c r="AF16" i="17"/>
  <c r="Z16" i="17"/>
  <c r="E80" i="17"/>
  <c r="E78" i="17"/>
  <c r="W25" i="17"/>
  <c r="AJ34" i="17"/>
  <c r="AF34" i="17"/>
  <c r="AA34" i="17"/>
  <c r="U10" i="20"/>
  <c r="N10" i="20"/>
  <c r="L10" i="20"/>
  <c r="J10" i="20"/>
  <c r="D11" i="20"/>
  <c r="D10" i="20"/>
  <c r="S88" i="18" l="1"/>
  <c r="I90" i="18"/>
  <c r="W88" i="18"/>
  <c r="C90" i="18"/>
  <c r="O88" i="18"/>
  <c r="C88" i="18"/>
  <c r="AA88" i="18"/>
  <c r="F88" i="18"/>
  <c r="L88" i="18"/>
  <c r="I88" i="18"/>
  <c r="AA70" i="18"/>
  <c r="V4" i="21" s="1"/>
  <c r="M8" i="23"/>
  <c r="CF13" i="13"/>
  <c r="L73" i="18" s="1"/>
  <c r="W4" i="21" s="1"/>
  <c r="CF19" i="13"/>
  <c r="F70" i="18" s="1"/>
  <c r="U4" i="21" s="1"/>
  <c r="CH6" i="13"/>
  <c r="CF6" i="13" s="1"/>
  <c r="F68" i="18" s="1"/>
  <c r="S4" i="21" s="1"/>
  <c r="D9" i="16"/>
  <c r="D10" i="23" l="1"/>
  <c r="P76" i="18" s="1"/>
</calcChain>
</file>

<file path=xl/sharedStrings.xml><?xml version="1.0" encoding="utf-8"?>
<sst xmlns="http://schemas.openxmlformats.org/spreadsheetml/2006/main" count="2218" uniqueCount="1342">
  <si>
    <t>　</t>
    <phoneticPr fontId="5"/>
  </si>
  <si>
    <t>APPLICATION FOR ADMISSION</t>
  </si>
  <si>
    <t>入　学　願　書</t>
    <rPh sb="0" eb="1">
      <t>イリ</t>
    </rPh>
    <rPh sb="2" eb="3">
      <t>ガク</t>
    </rPh>
    <rPh sb="4" eb="5">
      <t>ネガイ</t>
    </rPh>
    <rPh sb="6" eb="7">
      <t>ショ</t>
    </rPh>
    <phoneticPr fontId="5"/>
  </si>
  <si>
    <t>〔願書1/3〕</t>
    <rPh sb="1" eb="3">
      <t>ガンショ</t>
    </rPh>
    <phoneticPr fontId="5"/>
  </si>
  <si>
    <t>年</t>
    <rPh sb="0" eb="1">
      <t>ネン</t>
    </rPh>
    <phoneticPr fontId="5"/>
  </si>
  <si>
    <t>月</t>
    <rPh sb="0" eb="1">
      <t>ゲツ</t>
    </rPh>
    <phoneticPr fontId="5"/>
  </si>
  <si>
    <t>日</t>
    <rPh sb="0" eb="1">
      <t>ヒ</t>
    </rPh>
    <phoneticPr fontId="5"/>
  </si>
  <si>
    <t>）回</t>
    <rPh sb="1" eb="2">
      <t>カイ</t>
    </rPh>
    <phoneticPr fontId="5"/>
  </si>
  <si>
    <t>＊新しいものからすべて記載し、欄が足りない場合は別紙を添付すること。</t>
    <rPh sb="1" eb="2">
      <t>アタラ</t>
    </rPh>
    <rPh sb="11" eb="13">
      <t>キサイ</t>
    </rPh>
    <rPh sb="15" eb="16">
      <t>ラン</t>
    </rPh>
    <rPh sb="17" eb="18">
      <t>タ</t>
    </rPh>
    <rPh sb="21" eb="23">
      <t>バアイ</t>
    </rPh>
    <rPh sb="24" eb="26">
      <t>ベッシ</t>
    </rPh>
    <rPh sb="27" eb="29">
      <t>テンプ</t>
    </rPh>
    <phoneticPr fontId="5"/>
  </si>
  <si>
    <t>月</t>
    <rPh sb="0" eb="1">
      <t>ガツ</t>
    </rPh>
    <phoneticPr fontId="5"/>
  </si>
  <si>
    <t>）</t>
    <phoneticPr fontId="5"/>
  </si>
  <si>
    <t>学校名</t>
    <rPh sb="0" eb="2">
      <t>ガッコウ</t>
    </rPh>
    <rPh sb="2" eb="3">
      <t>メイ</t>
    </rPh>
    <phoneticPr fontId="5"/>
  </si>
  <si>
    <t>所在地</t>
    <rPh sb="0" eb="3">
      <t>ショザイチ</t>
    </rPh>
    <phoneticPr fontId="5"/>
  </si>
  <si>
    <t>入学年月</t>
    <rPh sb="0" eb="2">
      <t>ニュウガク</t>
    </rPh>
    <rPh sb="2" eb="4">
      <t>ネンゲツ</t>
    </rPh>
    <phoneticPr fontId="5"/>
  </si>
  <si>
    <t>卒業年月</t>
    <rPh sb="0" eb="2">
      <t>ソツギョウ</t>
    </rPh>
    <rPh sb="2" eb="4">
      <t>ネンゲツ</t>
    </rPh>
    <phoneticPr fontId="5"/>
  </si>
  <si>
    <t>＊古いものから順次現在まで記載すること。</t>
    <rPh sb="1" eb="2">
      <t>フル</t>
    </rPh>
    <rPh sb="7" eb="9">
      <t>ジュンジ</t>
    </rPh>
    <rPh sb="9" eb="11">
      <t>ゲンザイ</t>
    </rPh>
    <rPh sb="13" eb="15">
      <t>キサイ</t>
    </rPh>
    <phoneticPr fontId="5"/>
  </si>
  <si>
    <t>会社・事業所名</t>
    <rPh sb="0" eb="2">
      <t>カイシャ</t>
    </rPh>
    <rPh sb="3" eb="5">
      <t>ジギョウ</t>
    </rPh>
    <rPh sb="5" eb="6">
      <t>ショ</t>
    </rPh>
    <rPh sb="6" eb="7">
      <t>メイ</t>
    </rPh>
    <phoneticPr fontId="5"/>
  </si>
  <si>
    <t>就職年月</t>
    <rPh sb="0" eb="2">
      <t>シュウショク</t>
    </rPh>
    <rPh sb="2" eb="4">
      <t>ネンゲツ</t>
    </rPh>
    <phoneticPr fontId="5"/>
  </si>
  <si>
    <t>退職年月</t>
    <rPh sb="0" eb="2">
      <t>タイショク</t>
    </rPh>
    <rPh sb="2" eb="4">
      <t>ネンゲツ</t>
    </rPh>
    <phoneticPr fontId="5"/>
  </si>
  <si>
    <t>〔願書2/3〕</t>
    <rPh sb="1" eb="3">
      <t>ガンショ</t>
    </rPh>
    <phoneticPr fontId="5"/>
  </si>
  <si>
    <t>月～</t>
    <rPh sb="0" eb="1">
      <t>ゲツ</t>
    </rPh>
    <phoneticPr fontId="5"/>
  </si>
  <si>
    <t xml:space="preserve">     Sex</t>
    <phoneticPr fontId="5"/>
  </si>
  <si>
    <t>Male</t>
    <phoneticPr fontId="5"/>
  </si>
  <si>
    <t>Female</t>
    <phoneticPr fontId="5"/>
  </si>
  <si>
    <t xml:space="preserve">   Place of Birth</t>
    <phoneticPr fontId="5"/>
  </si>
  <si>
    <t xml:space="preserve">   Marital Spouse</t>
    <phoneticPr fontId="5"/>
  </si>
  <si>
    <t>Single   Married</t>
    <phoneticPr fontId="5"/>
  </si>
  <si>
    <t>（</t>
    <phoneticPr fontId="5"/>
  </si>
  <si>
    <t>＊上記以外に支弁者がいる場合は下欄に記入してください。</t>
    <rPh sb="1" eb="3">
      <t>ジョウキ</t>
    </rPh>
    <rPh sb="3" eb="5">
      <t>イガイ</t>
    </rPh>
    <rPh sb="6" eb="8">
      <t>シベン</t>
    </rPh>
    <rPh sb="8" eb="9">
      <t>シャ</t>
    </rPh>
    <rPh sb="12" eb="14">
      <t>バアイ</t>
    </rPh>
    <rPh sb="15" eb="16">
      <t>シタ</t>
    </rPh>
    <rPh sb="16" eb="17">
      <t>ラン</t>
    </rPh>
    <rPh sb="18" eb="20">
      <t>キニュウ</t>
    </rPh>
    <phoneticPr fontId="5"/>
  </si>
  <si>
    <t>Date</t>
    <phoneticPr fontId="5"/>
  </si>
  <si>
    <t>Year</t>
    <phoneticPr fontId="5"/>
  </si>
  <si>
    <t>Month</t>
    <phoneticPr fontId="5"/>
  </si>
  <si>
    <t>Day</t>
    <phoneticPr fontId="5"/>
  </si>
  <si>
    <t>作成日　　　</t>
    <rPh sb="0" eb="2">
      <t>サクセイ</t>
    </rPh>
    <phoneticPr fontId="5"/>
  </si>
  <si>
    <t>月</t>
    <rPh sb="0" eb="1">
      <t>ツキ</t>
    </rPh>
    <phoneticPr fontId="5"/>
  </si>
  <si>
    <t>〔願書3/3〕</t>
    <rPh sb="1" eb="3">
      <t>ガンショ</t>
    </rPh>
    <phoneticPr fontId="5"/>
  </si>
  <si>
    <t>Family name</t>
    <phoneticPr fontId="5"/>
  </si>
  <si>
    <t>Yes   No.</t>
    <phoneticPr fontId="5"/>
  </si>
  <si>
    <t>No</t>
    <phoneticPr fontId="5"/>
  </si>
  <si>
    <t>Date of expiry</t>
    <phoneticPr fontId="5"/>
  </si>
  <si>
    <t>Year</t>
    <phoneticPr fontId="5"/>
  </si>
  <si>
    <t>Month</t>
    <phoneticPr fontId="5"/>
  </si>
  <si>
    <t>Day</t>
    <phoneticPr fontId="5"/>
  </si>
  <si>
    <t>Yes</t>
    <phoneticPr fontId="5"/>
  </si>
  <si>
    <t>Times</t>
    <phoneticPr fontId="5"/>
  </si>
  <si>
    <t>Fill out all the stays from the latest record.Attach a separate sheet if more space is required.</t>
    <phoneticPr fontId="5"/>
  </si>
  <si>
    <t>Nationality</t>
    <phoneticPr fontId="5"/>
  </si>
  <si>
    <t xml:space="preserve"> 1. 母語/漢字氏名</t>
    <rPh sb="4" eb="6">
      <t>ボゴ</t>
    </rPh>
    <rPh sb="7" eb="9">
      <t>カンジ</t>
    </rPh>
    <phoneticPr fontId="5"/>
  </si>
  <si>
    <t xml:space="preserve"> 2. 英文氏名</t>
    <rPh sb="4" eb="6">
      <t>エイブン</t>
    </rPh>
    <rPh sb="6" eb="8">
      <t>シメイ</t>
    </rPh>
    <phoneticPr fontId="5"/>
  </si>
  <si>
    <t>(2) 有効期限</t>
    <rPh sb="4" eb="6">
      <t>ユウコウ</t>
    </rPh>
    <rPh sb="6" eb="8">
      <t>キゲン</t>
    </rPh>
    <phoneticPr fontId="5"/>
  </si>
  <si>
    <t xml:space="preserve">  Previous stay in Japan</t>
    <phoneticPr fontId="5"/>
  </si>
  <si>
    <t xml:space="preserve"> 経歴関係事項    Background Details</t>
    <rPh sb="1" eb="3">
      <t>ケイレキ</t>
    </rPh>
    <rPh sb="3" eb="5">
      <t>カンケイ</t>
    </rPh>
    <rPh sb="5" eb="7">
      <t>ジコウ</t>
    </rPh>
    <phoneticPr fontId="5"/>
  </si>
  <si>
    <t>No</t>
    <phoneticPr fontId="5"/>
  </si>
  <si>
    <t>Yes  Details</t>
    <phoneticPr fontId="5"/>
  </si>
  <si>
    <t>Name of school</t>
    <phoneticPr fontId="5"/>
  </si>
  <si>
    <t>Location</t>
    <phoneticPr fontId="5"/>
  </si>
  <si>
    <t>Date of entry</t>
    <phoneticPr fontId="5"/>
  </si>
  <si>
    <t>Date of graduation</t>
    <phoneticPr fontId="5"/>
  </si>
  <si>
    <t xml:space="preserve">   Military background</t>
    <phoneticPr fontId="5"/>
  </si>
  <si>
    <t xml:space="preserve">    Criminal record</t>
    <phoneticPr fontId="5"/>
  </si>
  <si>
    <t xml:space="preserve">   Educational background</t>
    <phoneticPr fontId="5"/>
  </si>
  <si>
    <t xml:space="preserve">  中学校</t>
    <rPh sb="2" eb="3">
      <t>チュウ</t>
    </rPh>
    <rPh sb="3" eb="5">
      <t>ガッコウ</t>
    </rPh>
    <phoneticPr fontId="5"/>
  </si>
  <si>
    <t xml:space="preserve">  Junior high school</t>
    <phoneticPr fontId="5"/>
  </si>
  <si>
    <t>Date of retirement</t>
    <phoneticPr fontId="5"/>
  </si>
  <si>
    <t>Japanese educational history</t>
    <phoneticPr fontId="5"/>
  </si>
  <si>
    <t>Guarantor</t>
    <phoneticPr fontId="5"/>
  </si>
  <si>
    <t>Name of company</t>
    <phoneticPr fontId="5"/>
  </si>
  <si>
    <t>(2)申請者との関係</t>
    <rPh sb="3" eb="6">
      <t>シンセイシャ</t>
    </rPh>
    <rPh sb="8" eb="10">
      <t>カンケイ</t>
    </rPh>
    <phoneticPr fontId="5"/>
  </si>
  <si>
    <t xml:space="preserve">  経費支弁者②</t>
    <rPh sb="2" eb="4">
      <t>ケイヒ</t>
    </rPh>
    <rPh sb="4" eb="6">
      <t>シベン</t>
    </rPh>
    <rPh sb="6" eb="7">
      <t>シャ</t>
    </rPh>
    <phoneticPr fontId="5"/>
  </si>
  <si>
    <t xml:space="preserve"> 過去の申請履歴        </t>
    <phoneticPr fontId="5"/>
  </si>
  <si>
    <t>Past application history</t>
    <phoneticPr fontId="5"/>
  </si>
  <si>
    <t xml:space="preserve">      Passport</t>
    <phoneticPr fontId="5"/>
  </si>
  <si>
    <t xml:space="preserve"> (1)氏名</t>
    <rPh sb="4" eb="6">
      <t>シメイ</t>
    </rPh>
    <phoneticPr fontId="5"/>
  </si>
  <si>
    <t xml:space="preserve">  Relationship with the applicant</t>
    <phoneticPr fontId="5"/>
  </si>
  <si>
    <t xml:space="preserve">   Name</t>
    <phoneticPr fontId="5"/>
  </si>
  <si>
    <t>Year</t>
    <phoneticPr fontId="5"/>
  </si>
  <si>
    <t>Month</t>
    <phoneticPr fontId="5"/>
  </si>
  <si>
    <t>　 I am fully aware of the rules and regulations of Japan and this institution and promise to abide by them.</t>
    <phoneticPr fontId="5"/>
  </si>
  <si>
    <t>Given names</t>
    <phoneticPr fontId="5"/>
  </si>
  <si>
    <t xml:space="preserve">　Full name in your </t>
    <phoneticPr fontId="5"/>
  </si>
  <si>
    <t xml:space="preserve">  native language</t>
    <phoneticPr fontId="5"/>
  </si>
  <si>
    <t xml:space="preserve"> 3. 性別　 </t>
    <phoneticPr fontId="5"/>
  </si>
  <si>
    <t xml:space="preserve"> 4. 生年月日</t>
    <phoneticPr fontId="5"/>
  </si>
  <si>
    <t xml:space="preserve">   Date of Birth </t>
    <phoneticPr fontId="5"/>
  </si>
  <si>
    <t xml:space="preserve">  　Nationality</t>
    <phoneticPr fontId="5"/>
  </si>
  <si>
    <t>Working full-time Occupation</t>
    <phoneticPr fontId="5"/>
  </si>
  <si>
    <t>Preparing to come to Japan</t>
    <phoneticPr fontId="5"/>
  </si>
  <si>
    <t xml:space="preserve">  No</t>
    <phoneticPr fontId="5"/>
  </si>
  <si>
    <t>Times</t>
    <phoneticPr fontId="5"/>
  </si>
  <si>
    <t xml:space="preserve"> Yes</t>
    <phoneticPr fontId="5"/>
  </si>
  <si>
    <t>Month</t>
    <phoneticPr fontId="5"/>
  </si>
  <si>
    <t>Occupational career</t>
    <phoneticPr fontId="5"/>
  </si>
  <si>
    <t>No</t>
    <phoneticPr fontId="5"/>
  </si>
  <si>
    <t xml:space="preserve">  経費支弁者③</t>
    <rPh sb="2" eb="4">
      <t>ケイヒ</t>
    </rPh>
    <rPh sb="4" eb="6">
      <t>シベン</t>
    </rPh>
    <rPh sb="6" eb="7">
      <t>シャ</t>
    </rPh>
    <phoneticPr fontId="5"/>
  </si>
  <si>
    <t xml:space="preserve"> 本人関係事項　Student's Personal Details</t>
    <rPh sb="1" eb="3">
      <t>ホンニン</t>
    </rPh>
    <rPh sb="3" eb="5">
      <t>カンケイ</t>
    </rPh>
    <rPh sb="5" eb="7">
      <t>ジコウ</t>
    </rPh>
    <phoneticPr fontId="5"/>
  </si>
  <si>
    <t xml:space="preserve"> 出入国関係事項　 Immigration Records</t>
    <rPh sb="1" eb="3">
      <t>シュツニュウ</t>
    </rPh>
    <rPh sb="3" eb="4">
      <t>コク</t>
    </rPh>
    <rPh sb="4" eb="6">
      <t>カンケイ</t>
    </rPh>
    <rPh sb="6" eb="8">
      <t>ジコウ</t>
    </rPh>
    <phoneticPr fontId="5"/>
  </si>
  <si>
    <t xml:space="preserve"> 家族関係事項 Family Details</t>
    <rPh sb="1" eb="3">
      <t>カゾク</t>
    </rPh>
    <rPh sb="3" eb="5">
      <t>カンケイ</t>
    </rPh>
    <rPh sb="5" eb="7">
      <t>ジコウ</t>
    </rPh>
    <phoneticPr fontId="5"/>
  </si>
  <si>
    <t xml:space="preserve"> 経費支弁  Financial Guarantor</t>
    <rPh sb="1" eb="3">
      <t>ケイヒ</t>
    </rPh>
    <rPh sb="3" eb="5">
      <t>シベン</t>
    </rPh>
    <phoneticPr fontId="5"/>
  </si>
  <si>
    <t xml:space="preserve"> In your country</t>
    <phoneticPr fontId="5"/>
  </si>
  <si>
    <t>Status of residence</t>
    <phoneticPr fontId="5"/>
  </si>
  <si>
    <t>*同居・非同居、存命・非存命に関わらず、２親等親族全員について記入すること。</t>
    <rPh sb="1" eb="3">
      <t>ドウキョ</t>
    </rPh>
    <rPh sb="4" eb="5">
      <t>ヒ</t>
    </rPh>
    <rPh sb="5" eb="7">
      <t>ドウキョ</t>
    </rPh>
    <rPh sb="8" eb="10">
      <t>ゾンメイ</t>
    </rPh>
    <rPh sb="11" eb="12">
      <t>ヒ</t>
    </rPh>
    <rPh sb="12" eb="14">
      <t>ゾンメイ</t>
    </rPh>
    <rPh sb="15" eb="16">
      <t>カカ</t>
    </rPh>
    <rPh sb="21" eb="22">
      <t>オヤ</t>
    </rPh>
    <rPh sb="22" eb="23">
      <t>トウ</t>
    </rPh>
    <rPh sb="23" eb="25">
      <t>シンゾク</t>
    </rPh>
    <rPh sb="25" eb="27">
      <t>ゼンイン</t>
    </rPh>
    <rPh sb="31" eb="33">
      <t>キニュウ</t>
    </rPh>
    <phoneticPr fontId="5"/>
  </si>
  <si>
    <t>父
father</t>
    <rPh sb="0" eb="1">
      <t>チチ</t>
    </rPh>
    <phoneticPr fontId="5"/>
  </si>
  <si>
    <t>母
mother</t>
    <rPh sb="0" eb="1">
      <t>ハハ</t>
    </rPh>
    <phoneticPr fontId="5"/>
  </si>
  <si>
    <t>Relationship</t>
    <phoneticPr fontId="5"/>
  </si>
  <si>
    <t>TEL</t>
    <phoneticPr fontId="5"/>
  </si>
  <si>
    <t>month</t>
    <phoneticPr fontId="5"/>
  </si>
  <si>
    <t>year</t>
    <phoneticPr fontId="5"/>
  </si>
  <si>
    <t>day</t>
    <phoneticPr fontId="5"/>
  </si>
  <si>
    <t>学習期間</t>
    <rPh sb="0" eb="2">
      <t>ガクシュウ</t>
    </rPh>
    <rPh sb="2" eb="4">
      <t>キカン</t>
    </rPh>
    <phoneticPr fontId="5"/>
  </si>
  <si>
    <t>Period of study</t>
    <phoneticPr fontId="5"/>
  </si>
  <si>
    <t>Fill out all the members of your second degree relatives including grandfather, grandmother, and married brothers and sisters.</t>
    <phoneticPr fontId="5"/>
  </si>
  <si>
    <t>TEL</t>
    <phoneticPr fontId="5"/>
  </si>
  <si>
    <t>Present address</t>
    <phoneticPr fontId="5"/>
  </si>
  <si>
    <t>Name of company</t>
    <phoneticPr fontId="5"/>
  </si>
  <si>
    <t xml:space="preserve"> 5. 国籍</t>
    <phoneticPr fontId="5"/>
  </si>
  <si>
    <t xml:space="preserve"> 6. 出生地               　             　</t>
    <phoneticPr fontId="5"/>
  </si>
  <si>
    <t xml:space="preserve"> 8. 現在の状況</t>
    <rPh sb="4" eb="6">
      <t>ゲンザイ</t>
    </rPh>
    <rPh sb="7" eb="9">
      <t>ジョウキョウ</t>
    </rPh>
    <phoneticPr fontId="5"/>
  </si>
  <si>
    <t>12. (1)旅券</t>
    <rPh sb="7" eb="9">
      <t>リョケン</t>
    </rPh>
    <phoneticPr fontId="5"/>
  </si>
  <si>
    <t>13. 過去の来日歴</t>
    <rPh sb="4" eb="6">
      <t>カコ</t>
    </rPh>
    <rPh sb="7" eb="9">
      <t>ライニチ</t>
    </rPh>
    <rPh sb="9" eb="10">
      <t>レキ</t>
    </rPh>
    <phoneticPr fontId="5"/>
  </si>
  <si>
    <t>14. 犯罪を理由とする処分を受けたことの有無</t>
    <rPh sb="4" eb="6">
      <t>ハンザイ</t>
    </rPh>
    <rPh sb="7" eb="9">
      <t>リユウ</t>
    </rPh>
    <rPh sb="12" eb="14">
      <t>ショブン</t>
    </rPh>
    <rPh sb="15" eb="16">
      <t>ウ</t>
    </rPh>
    <rPh sb="21" eb="23">
      <t>ウム</t>
    </rPh>
    <phoneticPr fontId="5"/>
  </si>
  <si>
    <t>15. 兵役</t>
    <rPh sb="4" eb="6">
      <t>ヘイエキ</t>
    </rPh>
    <phoneticPr fontId="5"/>
  </si>
  <si>
    <t>16. 学歴</t>
    <rPh sb="4" eb="6">
      <t>ガクレキ</t>
    </rPh>
    <phoneticPr fontId="5"/>
  </si>
  <si>
    <t>17. 職歴</t>
    <rPh sb="4" eb="5">
      <t>ショク</t>
    </rPh>
    <rPh sb="5" eb="6">
      <t>レキ</t>
    </rPh>
    <phoneticPr fontId="5"/>
  </si>
  <si>
    <t>18. 日本語学習歴</t>
    <rPh sb="4" eb="7">
      <t>ニホンゴ</t>
    </rPh>
    <rPh sb="7" eb="9">
      <t>ガクシュウ</t>
    </rPh>
    <rPh sb="9" eb="10">
      <t>レキ</t>
    </rPh>
    <phoneticPr fontId="5"/>
  </si>
  <si>
    <t>□</t>
  </si>
  <si>
    <t>□</t>
    <phoneticPr fontId="5"/>
  </si>
  <si>
    <t>無</t>
    <phoneticPr fontId="5"/>
  </si>
  <si>
    <t>■</t>
    <phoneticPr fontId="5"/>
  </si>
  <si>
    <t>卒業</t>
  </si>
  <si>
    <t>有</t>
    <phoneticPr fontId="5"/>
  </si>
  <si>
    <t>有（内容：　　　　　　　　　　　　　　　　　　　　　　　　　　　　　　　　　　　　　　　　　）</t>
    <phoneticPr fontId="5"/>
  </si>
  <si>
    <t>終了</t>
    <phoneticPr fontId="5"/>
  </si>
  <si>
    <t>（</t>
    <phoneticPr fontId="5"/>
  </si>
  <si>
    <t>有（</t>
    <phoneticPr fontId="5"/>
  </si>
  <si>
    <t>有（番号</t>
    <phoneticPr fontId="5"/>
  </si>
  <si>
    <t>無</t>
    <rPh sb="0" eb="1">
      <t>ナ</t>
    </rPh>
    <phoneticPr fontId="5"/>
  </si>
  <si>
    <t>来日準備中</t>
    <phoneticPr fontId="5"/>
  </si>
  <si>
    <t>有 Yes</t>
    <phoneticPr fontId="5"/>
  </si>
  <si>
    <t>無No</t>
    <phoneticPr fontId="5"/>
  </si>
  <si>
    <t>大学</t>
    <rPh sb="0" eb="2">
      <t>ダイガク</t>
    </rPh>
    <phoneticPr fontId="5"/>
  </si>
  <si>
    <t>Present Address</t>
    <phoneticPr fontId="5"/>
  </si>
  <si>
    <t>現住所</t>
    <phoneticPr fontId="5"/>
  </si>
  <si>
    <t>date of birth</t>
    <phoneticPr fontId="5"/>
  </si>
  <si>
    <t>生年月日</t>
    <phoneticPr fontId="5"/>
  </si>
  <si>
    <t>続柄</t>
    <phoneticPr fontId="5"/>
  </si>
  <si>
    <t>Name</t>
    <phoneticPr fontId="5"/>
  </si>
  <si>
    <t>氏名</t>
    <phoneticPr fontId="5"/>
  </si>
  <si>
    <t>氏名</t>
    <phoneticPr fontId="5"/>
  </si>
  <si>
    <t>Name</t>
    <phoneticPr fontId="5"/>
  </si>
  <si>
    <t>生年月日</t>
    <phoneticPr fontId="5"/>
  </si>
  <si>
    <t xml:space="preserve">Date of birth </t>
    <phoneticPr fontId="5"/>
  </si>
  <si>
    <t>国籍</t>
    <phoneticPr fontId="5"/>
  </si>
  <si>
    <t>Present address</t>
    <phoneticPr fontId="5"/>
  </si>
  <si>
    <t>在留資格</t>
    <phoneticPr fontId="5"/>
  </si>
  <si>
    <t>Status</t>
    <phoneticPr fontId="5"/>
  </si>
  <si>
    <t>入国目的</t>
    <phoneticPr fontId="5"/>
  </si>
  <si>
    <t>Purpose</t>
    <phoneticPr fontId="5"/>
  </si>
  <si>
    <t>出国年月日</t>
    <phoneticPr fontId="5"/>
  </si>
  <si>
    <t>Date of departure</t>
    <phoneticPr fontId="5"/>
  </si>
  <si>
    <t>入国年月日</t>
    <phoneticPr fontId="5"/>
  </si>
  <si>
    <t>所在地</t>
    <phoneticPr fontId="5"/>
  </si>
  <si>
    <t>不交付理由</t>
    <phoneticPr fontId="5"/>
  </si>
  <si>
    <t>Reasons of refusal</t>
    <phoneticPr fontId="5"/>
  </si>
  <si>
    <t>交付結果</t>
    <phoneticPr fontId="5"/>
  </si>
  <si>
    <t>Immigration result</t>
    <phoneticPr fontId="5"/>
  </si>
  <si>
    <t>申請番号</t>
    <phoneticPr fontId="5"/>
  </si>
  <si>
    <t>在留資格種類</t>
    <phoneticPr fontId="5"/>
  </si>
  <si>
    <t>No.</t>
    <phoneticPr fontId="5"/>
  </si>
  <si>
    <t>Applied date</t>
    <phoneticPr fontId="5"/>
  </si>
  <si>
    <t>申請時期</t>
    <phoneticPr fontId="5"/>
  </si>
  <si>
    <t>20. 経費支弁者①</t>
    <rPh sb="4" eb="6">
      <t>ケイヒ</t>
    </rPh>
    <rPh sb="6" eb="8">
      <t>シベン</t>
    </rPh>
    <rPh sb="8" eb="9">
      <t>シャ</t>
    </rPh>
    <phoneticPr fontId="5"/>
  </si>
  <si>
    <t xml:space="preserve"> 9.現住所</t>
    <rPh sb="3" eb="6">
      <t>ゲンジュウショ</t>
    </rPh>
    <phoneticPr fontId="5"/>
  </si>
  <si>
    <t>在留カード番号</t>
    <phoneticPr fontId="5"/>
  </si>
  <si>
    <t>Regidence card No.</t>
    <phoneticPr fontId="5"/>
  </si>
  <si>
    <t>同居予定</t>
    <rPh sb="0" eb="2">
      <t>ドウキョ</t>
    </rPh>
    <rPh sb="2" eb="4">
      <t>ヨテイ</t>
    </rPh>
    <phoneticPr fontId="5"/>
  </si>
  <si>
    <t xml:space="preserve"> 無</t>
    <phoneticPr fontId="5"/>
  </si>
  <si>
    <t>有</t>
    <rPh sb="0" eb="1">
      <t>アリ</t>
    </rPh>
    <phoneticPr fontId="5"/>
  </si>
  <si>
    <t>□</t>
    <phoneticPr fontId="5"/>
  </si>
  <si>
    <t>Fill in the article below if there is nother financial sponsors.</t>
    <phoneticPr fontId="5"/>
  </si>
  <si>
    <t>申請者氏名・署名</t>
    <rPh sb="0" eb="3">
      <t>シンセイシャ</t>
    </rPh>
    <rPh sb="3" eb="5">
      <t>シメイ</t>
    </rPh>
    <phoneticPr fontId="5"/>
  </si>
  <si>
    <t>Name &amp; Signature</t>
    <phoneticPr fontId="5"/>
  </si>
  <si>
    <t xml:space="preserve"> (3)現住所</t>
    <rPh sb="4" eb="7">
      <t>ゲンジュウショ</t>
    </rPh>
    <phoneticPr fontId="5"/>
  </si>
  <si>
    <t xml:space="preserve"> (4)勤務先名称</t>
    <rPh sb="7" eb="9">
      <t>メイショウ</t>
    </rPh>
    <phoneticPr fontId="5"/>
  </si>
  <si>
    <t>不交付</t>
    <phoneticPr fontId="5"/>
  </si>
  <si>
    <t>交付</t>
  </si>
  <si>
    <t>Permitted</t>
    <phoneticPr fontId="5"/>
  </si>
  <si>
    <t>refused</t>
  </si>
  <si>
    <t xml:space="preserve"> 留学理由        </t>
    <rPh sb="1" eb="3">
      <t>リュウガク</t>
    </rPh>
    <rPh sb="3" eb="5">
      <t>リユウ</t>
    </rPh>
    <phoneticPr fontId="5"/>
  </si>
  <si>
    <t>専門学校</t>
    <rPh sb="0" eb="2">
      <t>センモン</t>
    </rPh>
    <rPh sb="2" eb="4">
      <t>ガッコウ</t>
    </rPh>
    <phoneticPr fontId="5"/>
  </si>
  <si>
    <t>短期大学</t>
    <rPh sb="0" eb="2">
      <t>タンキ</t>
    </rPh>
    <rPh sb="2" eb="4">
      <t>ダイガク</t>
    </rPh>
    <phoneticPr fontId="5"/>
  </si>
  <si>
    <t>その他</t>
    <rPh sb="2" eb="3">
      <t>タ</t>
    </rPh>
    <phoneticPr fontId="5"/>
  </si>
  <si>
    <t>(1) 学校種別</t>
    <rPh sb="4" eb="6">
      <t>ガッコウ</t>
    </rPh>
    <rPh sb="6" eb="8">
      <t>シュベツ</t>
    </rPh>
    <phoneticPr fontId="5"/>
  </si>
  <si>
    <t>kinds of school</t>
    <phoneticPr fontId="5"/>
  </si>
  <si>
    <t>(2) 専門 subject</t>
    <rPh sb="4" eb="6">
      <t>センモン</t>
    </rPh>
    <phoneticPr fontId="5"/>
  </si>
  <si>
    <t>経営</t>
    <rPh sb="0" eb="2">
      <t>ケイエイ</t>
    </rPh>
    <phoneticPr fontId="5"/>
  </si>
  <si>
    <t>工学</t>
    <rPh sb="0" eb="2">
      <t>コウガク</t>
    </rPh>
    <phoneticPr fontId="5"/>
  </si>
  <si>
    <t>建築</t>
    <rPh sb="0" eb="2">
      <t>ケンチク</t>
    </rPh>
    <phoneticPr fontId="5"/>
  </si>
  <si>
    <t>兄
elder brother</t>
    <rPh sb="0" eb="1">
      <t>アニ</t>
    </rPh>
    <phoneticPr fontId="5"/>
  </si>
  <si>
    <t>弟
younger brother</t>
    <rPh sb="0" eb="1">
      <t>オトウト</t>
    </rPh>
    <phoneticPr fontId="5"/>
  </si>
  <si>
    <t>姉
elder sister</t>
    <rPh sb="0" eb="1">
      <t>アネ</t>
    </rPh>
    <phoneticPr fontId="5"/>
  </si>
  <si>
    <t>Studying full-time</t>
    <phoneticPr fontId="5"/>
  </si>
  <si>
    <t xml:space="preserve"> Your present situation</t>
    <phoneticPr fontId="5"/>
  </si>
  <si>
    <t>在学</t>
    <rPh sb="0" eb="2">
      <t>ザイガク</t>
    </rPh>
    <phoneticPr fontId="5"/>
  </si>
  <si>
    <t xml:space="preserve"> (2) 在日親族</t>
    <rPh sb="5" eb="7">
      <t>ザイニチ</t>
    </rPh>
    <rPh sb="7" eb="9">
      <t>シンゾク</t>
    </rPh>
    <phoneticPr fontId="5"/>
  </si>
  <si>
    <t>Relatives in Japan</t>
    <phoneticPr fontId="5"/>
  </si>
  <si>
    <t>(1)</t>
    <phoneticPr fontId="5"/>
  </si>
  <si>
    <t>帰国</t>
    <rPh sb="0" eb="2">
      <t>キコク</t>
    </rPh>
    <phoneticPr fontId="5"/>
  </si>
  <si>
    <t>進学</t>
    <rPh sb="0" eb="2">
      <t>シンガク</t>
    </rPh>
    <phoneticPr fontId="5"/>
  </si>
  <si>
    <t>日本で就職</t>
    <rPh sb="0" eb="2">
      <t>ニホン</t>
    </rPh>
    <rPh sb="3" eb="5">
      <t>シュウショク</t>
    </rPh>
    <phoneticPr fontId="5"/>
  </si>
  <si>
    <t>(2)</t>
    <phoneticPr fontId="5"/>
  </si>
  <si>
    <t>経済</t>
    <rPh sb="0" eb="2">
      <t>ケイザイ</t>
    </rPh>
    <phoneticPr fontId="5"/>
  </si>
  <si>
    <t>(</t>
    <phoneticPr fontId="5"/>
  </si>
  <si>
    <t>IT</t>
    <phoneticPr fontId="5"/>
  </si>
  <si>
    <t>Information Technology</t>
    <phoneticPr fontId="5"/>
  </si>
  <si>
    <t>Architecture</t>
    <phoneticPr fontId="5"/>
  </si>
  <si>
    <t>Engineering</t>
    <phoneticPr fontId="5"/>
  </si>
  <si>
    <t>Economics</t>
    <phoneticPr fontId="5"/>
  </si>
  <si>
    <t>Management</t>
    <phoneticPr fontId="5"/>
  </si>
  <si>
    <t>others</t>
    <phoneticPr fontId="5"/>
  </si>
  <si>
    <t>)</t>
    <phoneticPr fontId="5"/>
  </si>
  <si>
    <t>未定</t>
    <rPh sb="0" eb="2">
      <t>ミテイ</t>
    </rPh>
    <phoneticPr fontId="5"/>
  </si>
  <si>
    <t>not decided</t>
    <phoneticPr fontId="5"/>
  </si>
  <si>
    <t>小学校</t>
    <rPh sb="0" eb="3">
      <t>ショウガッコウ</t>
    </rPh>
    <phoneticPr fontId="5"/>
  </si>
  <si>
    <t>Elementary school</t>
    <phoneticPr fontId="5"/>
  </si>
  <si>
    <t xml:space="preserve"> Completed</t>
    <phoneticPr fontId="5"/>
  </si>
  <si>
    <t>～</t>
    <phoneticPr fontId="5"/>
  </si>
  <si>
    <t>経　費　支　弁　書</t>
    <rPh sb="0" eb="1">
      <t>キョウ</t>
    </rPh>
    <rPh sb="2" eb="3">
      <t>ヒ</t>
    </rPh>
    <rPh sb="4" eb="5">
      <t>ササ</t>
    </rPh>
    <rPh sb="6" eb="7">
      <t>ベン</t>
    </rPh>
    <rPh sb="8" eb="9">
      <t>ショ</t>
    </rPh>
    <phoneticPr fontId="5"/>
  </si>
  <si>
    <t>Letter of Paying Expenses</t>
    <phoneticPr fontId="5"/>
  </si>
  <si>
    <t>日本国法務大臣　殿</t>
    <phoneticPr fontId="5"/>
  </si>
  <si>
    <t>To: The Minister of Justice</t>
    <phoneticPr fontId="5"/>
  </si>
  <si>
    <t xml:space="preserve">申請者氏名   </t>
    <rPh sb="0" eb="3">
      <t>シンセイシャ</t>
    </rPh>
    <rPh sb="3" eb="5">
      <t>シメイ</t>
    </rPh>
    <phoneticPr fontId="5"/>
  </si>
  <si>
    <t>男</t>
    <rPh sb="0" eb="1">
      <t>オトコ</t>
    </rPh>
    <phoneticPr fontId="5"/>
  </si>
  <si>
    <t>Male</t>
    <phoneticPr fontId="5"/>
  </si>
  <si>
    <t>□</t>
    <phoneticPr fontId="5"/>
  </si>
  <si>
    <t>（学生）</t>
    <phoneticPr fontId="5"/>
  </si>
  <si>
    <t>女</t>
    <rPh sb="0" eb="1">
      <t>オンナ</t>
    </rPh>
    <phoneticPr fontId="5"/>
  </si>
  <si>
    <t>Female</t>
    <phoneticPr fontId="5"/>
  </si>
  <si>
    <t>Nationality</t>
    <phoneticPr fontId="5"/>
  </si>
  <si>
    <t>Full Name</t>
    <phoneticPr fontId="5"/>
  </si>
  <si>
    <t>Year</t>
    <phoneticPr fontId="5"/>
  </si>
  <si>
    <t xml:space="preserve"> Month  </t>
    <phoneticPr fontId="5"/>
  </si>
  <si>
    <t xml:space="preserve"> Day</t>
    <phoneticPr fontId="5"/>
  </si>
  <si>
    <t>Sex</t>
    <phoneticPr fontId="5"/>
  </si>
  <si>
    <t>　　私はこの度、上記の者が日本国に入国した場合・在留中の経費支弁者になりましたので、下記のとおり経費支弁の引き受け経緯を説明するとともに経費支弁について証明します。</t>
    <rPh sb="2" eb="3">
      <t>ワタシ</t>
    </rPh>
    <rPh sb="6" eb="7">
      <t>タビ</t>
    </rPh>
    <rPh sb="8" eb="9">
      <t>ウエ</t>
    </rPh>
    <rPh sb="9" eb="10">
      <t>キ</t>
    </rPh>
    <rPh sb="11" eb="12">
      <t>モノ</t>
    </rPh>
    <rPh sb="13" eb="15">
      <t>ニホン</t>
    </rPh>
    <rPh sb="15" eb="16">
      <t>コク</t>
    </rPh>
    <rPh sb="17" eb="19">
      <t>ニュウコク</t>
    </rPh>
    <rPh sb="21" eb="23">
      <t>バアイ</t>
    </rPh>
    <rPh sb="24" eb="27">
      <t>ザイリュウチュウ</t>
    </rPh>
    <rPh sb="28" eb="30">
      <t>ケイヒ</t>
    </rPh>
    <rPh sb="30" eb="32">
      <t>シベン</t>
    </rPh>
    <rPh sb="32" eb="33">
      <t>シャ</t>
    </rPh>
    <rPh sb="42" eb="43">
      <t>シタ</t>
    </rPh>
    <rPh sb="43" eb="44">
      <t>キ</t>
    </rPh>
    <rPh sb="48" eb="50">
      <t>ケイヒ</t>
    </rPh>
    <rPh sb="50" eb="52">
      <t>シベン</t>
    </rPh>
    <phoneticPr fontId="5"/>
  </si>
  <si>
    <t xml:space="preserve">     I hereby agree to take the responsibility of paying expenses of the applicant mentioned above during his or her stay in Japan.</t>
    <phoneticPr fontId="5"/>
  </si>
  <si>
    <t>記</t>
    <rPh sb="0" eb="1">
      <t>キ</t>
    </rPh>
    <phoneticPr fontId="5"/>
  </si>
  <si>
    <t>1.  経費支弁の引受経緯（申請者の経費の支弁を引き受けた経緯及び申請者との関係について具体的に記載してください。）</t>
    <rPh sb="4" eb="6">
      <t>ケイヒ</t>
    </rPh>
    <rPh sb="6" eb="8">
      <t>シベン</t>
    </rPh>
    <rPh sb="9" eb="10">
      <t>ヒ</t>
    </rPh>
    <rPh sb="10" eb="11">
      <t>ウ</t>
    </rPh>
    <rPh sb="11" eb="13">
      <t>ケイイ</t>
    </rPh>
    <rPh sb="14" eb="17">
      <t>シンセイシャ</t>
    </rPh>
    <rPh sb="18" eb="20">
      <t>ケイヒ</t>
    </rPh>
    <rPh sb="21" eb="23">
      <t>シベン</t>
    </rPh>
    <rPh sb="24" eb="25">
      <t>ヒ</t>
    </rPh>
    <rPh sb="26" eb="27">
      <t>ウ</t>
    </rPh>
    <rPh sb="29" eb="31">
      <t>ケイイ</t>
    </rPh>
    <rPh sb="31" eb="32">
      <t>オヨ</t>
    </rPh>
    <rPh sb="33" eb="36">
      <t>シンセイシャ</t>
    </rPh>
    <rPh sb="38" eb="40">
      <t>カンケイ</t>
    </rPh>
    <rPh sb="44" eb="45">
      <t>グ</t>
    </rPh>
    <phoneticPr fontId="5"/>
  </si>
  <si>
    <t>　　The reason for my bearing the expenses of the above-mentioned applicant and my relationship with him or her are as　follows.(Please be specific and concrete.)</t>
    <phoneticPr fontId="5"/>
  </si>
  <si>
    <t>2.  経費支弁内容</t>
    <rPh sb="4" eb="6">
      <t>ケイヒ</t>
    </rPh>
    <rPh sb="6" eb="8">
      <t>シベン</t>
    </rPh>
    <rPh sb="8" eb="10">
      <t>ナイヨウ</t>
    </rPh>
    <phoneticPr fontId="5"/>
  </si>
  <si>
    <t xml:space="preserve">   私は、上記の者の日本滞在について、下記のとおり経費支弁することを証明致します。</t>
    <rPh sb="3" eb="4">
      <t>ワタシ</t>
    </rPh>
    <phoneticPr fontId="5"/>
  </si>
  <si>
    <t xml:space="preserve">   また、上記の者が在留期間更新許可申請の際には、送金証明書又は本人名義の預金通帳（送金事実、経費支弁事実が</t>
    <rPh sb="43" eb="45">
      <t>ソウキン</t>
    </rPh>
    <rPh sb="45" eb="47">
      <t>ジジツ</t>
    </rPh>
    <rPh sb="48" eb="50">
      <t>ケイヒ</t>
    </rPh>
    <phoneticPr fontId="5"/>
  </si>
  <si>
    <t>記載されたもの）の写し等で、生活費等の支弁事実を明らかにする書類を提出します。</t>
    <phoneticPr fontId="5"/>
  </si>
  <si>
    <t>　　I swear to pay the expenses as stated below and I will submit such documents establishing my payment as a remittance certificate or a copy of the applicant's bank book which indicates the remittance at the time of application for extension of period of residence.</t>
    <phoneticPr fontId="5"/>
  </si>
  <si>
    <t xml:space="preserve">   </t>
    <phoneticPr fontId="5"/>
  </si>
  <si>
    <t>（1）</t>
    <phoneticPr fontId="5"/>
  </si>
  <si>
    <t xml:space="preserve">　学 　費 Tuition Fee　　　  </t>
    <phoneticPr fontId="5"/>
  </si>
  <si>
    <t>毎月 Monthly ・ 半年ごと Biannual ・ 年間 Yearly　</t>
    <phoneticPr fontId="5"/>
  </si>
  <si>
    <t>円/Yen</t>
    <rPh sb="0" eb="1">
      <t>エン</t>
    </rPh>
    <phoneticPr fontId="5"/>
  </si>
  <si>
    <t>（2）</t>
    <phoneticPr fontId="5"/>
  </si>
  <si>
    <t xml:space="preserve">　生活費 Living Expenses                 </t>
    <phoneticPr fontId="5"/>
  </si>
  <si>
    <t xml:space="preserve">月額 Monthly </t>
    <phoneticPr fontId="5"/>
  </si>
  <si>
    <t>（3）</t>
    <phoneticPr fontId="5"/>
  </si>
  <si>
    <t xml:space="preserve">　支弁方法（送金・振込等支弁方法を具体的に書いてください） </t>
    <rPh sb="1" eb="3">
      <t>シベン</t>
    </rPh>
    <rPh sb="3" eb="5">
      <t>ホウホウ</t>
    </rPh>
    <rPh sb="6" eb="8">
      <t>ソウキン</t>
    </rPh>
    <rPh sb="9" eb="11">
      <t>フリコミ</t>
    </rPh>
    <rPh sb="11" eb="12">
      <t>ナド</t>
    </rPh>
    <rPh sb="12" eb="14">
      <t>シベン</t>
    </rPh>
    <rPh sb="14" eb="16">
      <t>ホウホウ</t>
    </rPh>
    <rPh sb="17" eb="20">
      <t>グタイテキ</t>
    </rPh>
    <rPh sb="21" eb="22">
      <t>カ</t>
    </rPh>
    <phoneticPr fontId="5"/>
  </si>
  <si>
    <t xml:space="preserve">   Method of Payment(Please state concretely how to support)</t>
    <phoneticPr fontId="5"/>
  </si>
  <si>
    <t>【学費】 Tuition Fee</t>
    <rPh sb="1" eb="3">
      <t>ガクヒ</t>
    </rPh>
    <phoneticPr fontId="5"/>
  </si>
  <si>
    <t>直接学校の口座に振込む</t>
    <rPh sb="0" eb="2">
      <t>チョクセツ</t>
    </rPh>
    <rPh sb="2" eb="4">
      <t>ガッコウ</t>
    </rPh>
    <rPh sb="5" eb="7">
      <t>コウザ</t>
    </rPh>
    <rPh sb="8" eb="9">
      <t>フ</t>
    </rPh>
    <rPh sb="9" eb="10">
      <t>コ</t>
    </rPh>
    <phoneticPr fontId="5"/>
  </si>
  <si>
    <t>□</t>
    <phoneticPr fontId="5"/>
  </si>
  <si>
    <t>まず本人の口座に振込み、本人が学校の口座に振込む</t>
    <phoneticPr fontId="5"/>
  </si>
  <si>
    <t xml:space="preserve">  directly transfer to the school's bank account</t>
    <phoneticPr fontId="5"/>
  </si>
  <si>
    <t xml:space="preserve">   transfer to applicant's bank account and the applicant transfers school's account later</t>
    <phoneticPr fontId="5"/>
  </si>
  <si>
    <t>その他（　　　                                   　　　　　　　　　　　　　　　　　　　　　　　　　　　　　　　　　　）</t>
    <phoneticPr fontId="5"/>
  </si>
  <si>
    <t>　　other</t>
    <phoneticPr fontId="5"/>
  </si>
  <si>
    <t>【生活費】Living Expenses</t>
    <phoneticPr fontId="5"/>
  </si>
  <si>
    <t>支弁方法  ：</t>
    <rPh sb="0" eb="2">
      <t>シベン</t>
    </rPh>
    <rPh sb="2" eb="4">
      <t>ホウホウ</t>
    </rPh>
    <phoneticPr fontId="5"/>
  </si>
  <si>
    <t>本人の銀行口座に振込</t>
    <phoneticPr fontId="5"/>
  </si>
  <si>
    <t>本人に手渡し</t>
    <phoneticPr fontId="5"/>
  </si>
  <si>
    <t>その他（　　　　         　　　　）</t>
    <phoneticPr fontId="5"/>
  </si>
  <si>
    <t>method</t>
    <phoneticPr fontId="5"/>
  </si>
  <si>
    <t>transfer to applicant's bank account</t>
    <phoneticPr fontId="5"/>
  </si>
  <si>
    <t>hand to applicant</t>
    <phoneticPr fontId="5"/>
  </si>
  <si>
    <t>other</t>
    <phoneticPr fontId="5"/>
  </si>
  <si>
    <t>支弁時期　：</t>
    <rPh sb="0" eb="2">
      <t>シベン</t>
    </rPh>
    <rPh sb="2" eb="4">
      <t>ジキ</t>
    </rPh>
    <phoneticPr fontId="5"/>
  </si>
  <si>
    <t>毎月</t>
    <phoneticPr fontId="5"/>
  </si>
  <si>
    <t>３ヶ月に１回</t>
    <phoneticPr fontId="5"/>
  </si>
  <si>
    <t>半年に１回</t>
    <phoneticPr fontId="5"/>
  </si>
  <si>
    <t>その他（　　　　　  　       　　）</t>
    <rPh sb="2" eb="3">
      <t>タ</t>
    </rPh>
    <phoneticPr fontId="5"/>
  </si>
  <si>
    <t>how often</t>
    <phoneticPr fontId="5"/>
  </si>
  <si>
    <t>monthly</t>
    <phoneticPr fontId="5"/>
  </si>
  <si>
    <t>once in 3 months</t>
    <phoneticPr fontId="5"/>
  </si>
  <si>
    <t>once in 6 months</t>
    <phoneticPr fontId="5"/>
  </si>
  <si>
    <t>月</t>
    <phoneticPr fontId="5"/>
  </si>
  <si>
    <t>Year</t>
    <phoneticPr fontId="5"/>
  </si>
  <si>
    <t>Month</t>
    <phoneticPr fontId="5"/>
  </si>
  <si>
    <t>Day</t>
    <phoneticPr fontId="5"/>
  </si>
  <si>
    <t>経費支弁者 Supporter 　　　　　　　　</t>
    <phoneticPr fontId="5"/>
  </si>
  <si>
    <t xml:space="preserve">　　                                                                   </t>
    <phoneticPr fontId="5"/>
  </si>
  <si>
    <t>■</t>
  </si>
  <si>
    <t>①</t>
    <phoneticPr fontId="5"/>
  </si>
  <si>
    <r>
      <t xml:space="preserve">続柄
</t>
    </r>
    <r>
      <rPr>
        <sz val="8"/>
        <rFont val="ＭＳ Ｐ明朝"/>
        <family val="1"/>
        <charset val="128"/>
      </rPr>
      <t>Relationship</t>
    </r>
    <rPh sb="0" eb="2">
      <t>ツヅキガラ</t>
    </rPh>
    <phoneticPr fontId="5"/>
  </si>
  <si>
    <t>②</t>
    <phoneticPr fontId="5"/>
  </si>
  <si>
    <t>③</t>
    <phoneticPr fontId="5"/>
  </si>
  <si>
    <t>China</t>
    <phoneticPr fontId="5"/>
  </si>
  <si>
    <t>Vietnam</t>
    <phoneticPr fontId="5"/>
  </si>
  <si>
    <t>Nepal</t>
    <phoneticPr fontId="5"/>
  </si>
  <si>
    <t>Mongolia</t>
    <phoneticPr fontId="5"/>
  </si>
  <si>
    <t>父</t>
    <rPh sb="0" eb="1">
      <t>チチ</t>
    </rPh>
    <phoneticPr fontId="5"/>
  </si>
  <si>
    <t>通学先・勤務先</t>
    <rPh sb="0" eb="2">
      <t>ツウガク</t>
    </rPh>
    <rPh sb="2" eb="3">
      <t>サキ</t>
    </rPh>
    <rPh sb="4" eb="7">
      <t>キンムサキ</t>
    </rPh>
    <phoneticPr fontId="5"/>
  </si>
  <si>
    <r>
      <t>別記第六号の三様式</t>
    </r>
    <r>
      <rPr>
        <sz val="12"/>
        <rFont val="ＭＳ Ｐ明朝"/>
        <family val="1"/>
        <charset val="128"/>
      </rPr>
      <t>（第六条の二関係）</t>
    </r>
    <rPh sb="0" eb="2">
      <t>ベッキ</t>
    </rPh>
    <rPh sb="2" eb="3">
      <t>ダイ</t>
    </rPh>
    <rPh sb="3" eb="4">
      <t>ロク</t>
    </rPh>
    <rPh sb="4" eb="5">
      <t>ゴウ</t>
    </rPh>
    <rPh sb="6" eb="7">
      <t>サン</t>
    </rPh>
    <rPh sb="7" eb="9">
      <t>ヨウシキ</t>
    </rPh>
    <rPh sb="10" eb="11">
      <t>ダイ</t>
    </rPh>
    <rPh sb="11" eb="12">
      <t>ロク</t>
    </rPh>
    <rPh sb="12" eb="13">
      <t>ジョウ</t>
    </rPh>
    <rPh sb="14" eb="15">
      <t>ニ</t>
    </rPh>
    <rPh sb="15" eb="17">
      <t>カンケイ</t>
    </rPh>
    <phoneticPr fontId="5"/>
  </si>
  <si>
    <t>申請人等作成用 １</t>
    <rPh sb="0" eb="3">
      <t>シンセイニン</t>
    </rPh>
    <rPh sb="3" eb="6">
      <t>トウサクセイ</t>
    </rPh>
    <rPh sb="6" eb="7">
      <t>ヨウ</t>
    </rPh>
    <phoneticPr fontId="5"/>
  </si>
  <si>
    <t>日本国政府法務省</t>
    <rPh sb="0" eb="3">
      <t>ニホンコク</t>
    </rPh>
    <rPh sb="3" eb="5">
      <t>セイフ</t>
    </rPh>
    <rPh sb="5" eb="8">
      <t>ホウムショウ</t>
    </rPh>
    <phoneticPr fontId="5"/>
  </si>
  <si>
    <t>For applicant, part 1</t>
  </si>
  <si>
    <t>Ministry of Justice,Government of Japan</t>
  </si>
  <si>
    <t>在　留　資　格　認　定　証　明　書　交　付　申　請　書</t>
    <rPh sb="0" eb="1">
      <t>ザイ</t>
    </rPh>
    <rPh sb="2" eb="3">
      <t>トメ</t>
    </rPh>
    <rPh sb="4" eb="5">
      <t>シ</t>
    </rPh>
    <rPh sb="6" eb="7">
      <t>カク</t>
    </rPh>
    <rPh sb="8" eb="9">
      <t>シノブ</t>
    </rPh>
    <rPh sb="10" eb="11">
      <t>サダム</t>
    </rPh>
    <rPh sb="12" eb="13">
      <t>アカシ</t>
    </rPh>
    <rPh sb="14" eb="15">
      <t>メイ</t>
    </rPh>
    <rPh sb="16" eb="17">
      <t>ショ</t>
    </rPh>
    <rPh sb="18" eb="19">
      <t>コウ</t>
    </rPh>
    <rPh sb="20" eb="21">
      <t>ツキ</t>
    </rPh>
    <rPh sb="22" eb="23">
      <t>サル</t>
    </rPh>
    <rPh sb="24" eb="25">
      <t>ショウ</t>
    </rPh>
    <rPh sb="26" eb="27">
      <t>ショ</t>
    </rPh>
    <phoneticPr fontId="5"/>
  </si>
  <si>
    <t>APPLICATION FOR CERTIFICATE OF ELIGIBILITY</t>
    <phoneticPr fontId="30"/>
  </si>
  <si>
    <t>入国管理局長　　殿　　</t>
  </si>
  <si>
    <t xml:space="preserve"> To the Director General of</t>
  </si>
  <si>
    <t>Regional Immigration Bureau</t>
  </si>
  <si>
    <t>国籍・地域</t>
    <rPh sb="0" eb="2">
      <t>コクセキ</t>
    </rPh>
    <rPh sb="3" eb="5">
      <t>チイキ</t>
    </rPh>
    <phoneticPr fontId="30"/>
  </si>
  <si>
    <t>　出入国管理及び難民認定法第７条の２の規定に基づき，次のとおり同法第７条第１項第２号に</t>
    <rPh sb="1" eb="4">
      <t>シュツニュウコク</t>
    </rPh>
    <rPh sb="4" eb="6">
      <t>カンリ</t>
    </rPh>
    <rPh sb="6" eb="7">
      <t>オヨ</t>
    </rPh>
    <rPh sb="8" eb="10">
      <t>ナンミン</t>
    </rPh>
    <rPh sb="10" eb="13">
      <t>ニンテイホウ</t>
    </rPh>
    <rPh sb="13" eb="14">
      <t>ダイ</t>
    </rPh>
    <rPh sb="15" eb="16">
      <t>ジョウ</t>
    </rPh>
    <rPh sb="19" eb="21">
      <t>キテイ</t>
    </rPh>
    <rPh sb="22" eb="23">
      <t>モト</t>
    </rPh>
    <rPh sb="26" eb="27">
      <t>ツギ</t>
    </rPh>
    <rPh sb="31" eb="33">
      <t>ドウホウ</t>
    </rPh>
    <rPh sb="33" eb="34">
      <t>ダイ</t>
    </rPh>
    <rPh sb="35" eb="36">
      <t>ジョウ</t>
    </rPh>
    <rPh sb="36" eb="37">
      <t>ダイ</t>
    </rPh>
    <rPh sb="38" eb="39">
      <t>コウ</t>
    </rPh>
    <rPh sb="39" eb="40">
      <t>ダイ</t>
    </rPh>
    <rPh sb="41" eb="42">
      <t>ゴウ</t>
    </rPh>
    <phoneticPr fontId="5"/>
  </si>
  <si>
    <t>中国</t>
    <rPh sb="0" eb="2">
      <t>チュウゴク</t>
    </rPh>
    <phoneticPr fontId="30"/>
  </si>
  <si>
    <t>掲げる条件に適合している旨の証明書の交付を申請します。</t>
  </si>
  <si>
    <t>ベトナム</t>
    <phoneticPr fontId="30"/>
  </si>
  <si>
    <t>Pursuant to the provisions of Article 7-2 of the Immigration Control and Refugee Recognition Act,  I hereby apply for 
the certificate showing eligibility for the conditions provided for in 7, Paragraph 1, Item 2 of the said Act.</t>
    <phoneticPr fontId="30"/>
  </si>
  <si>
    <t>ネパール</t>
    <phoneticPr fontId="30"/>
  </si>
  <si>
    <t>ミャンマー</t>
    <phoneticPr fontId="30"/>
  </si>
  <si>
    <t>1　国　籍・地　域</t>
    <rPh sb="2" eb="3">
      <t>コク</t>
    </rPh>
    <rPh sb="4" eb="5">
      <t>セキ</t>
    </rPh>
    <rPh sb="6" eb="7">
      <t>チ</t>
    </rPh>
    <rPh sb="8" eb="9">
      <t>イキ</t>
    </rPh>
    <phoneticPr fontId="5"/>
  </si>
  <si>
    <t>2　生年月日</t>
    <rPh sb="2" eb="4">
      <t>セイネン</t>
    </rPh>
    <rPh sb="4" eb="6">
      <t>ガッピ</t>
    </rPh>
    <phoneticPr fontId="5"/>
  </si>
  <si>
    <t>Nationality/Region</t>
    <phoneticPr fontId="30"/>
  </si>
  <si>
    <t>Date of birth</t>
  </si>
  <si>
    <t>Year</t>
  </si>
  <si>
    <t>Month</t>
  </si>
  <si>
    <t>Day</t>
  </si>
  <si>
    <t>Family name</t>
  </si>
  <si>
    <t>Given name</t>
  </si>
  <si>
    <t>3　氏　名</t>
  </si>
  <si>
    <t>Name</t>
    <phoneticPr fontId="30"/>
  </si>
  <si>
    <t>職業</t>
    <rPh sb="0" eb="2">
      <t>ショクギョウ</t>
    </rPh>
    <phoneticPr fontId="30"/>
  </si>
  <si>
    <t>4　性　別</t>
  </si>
  <si>
    <t>・</t>
  </si>
  <si>
    <t>5　出生地</t>
    <rPh sb="2" eb="5">
      <t>シュッセイチ</t>
    </rPh>
    <phoneticPr fontId="5"/>
  </si>
  <si>
    <t>6　配偶者の有無</t>
  </si>
  <si>
    <t>有・無</t>
    <rPh sb="0" eb="1">
      <t>ユウ</t>
    </rPh>
    <rPh sb="2" eb="3">
      <t>ム</t>
    </rPh>
    <phoneticPr fontId="5"/>
  </si>
  <si>
    <t>Sex</t>
  </si>
  <si>
    <t>Male/Female</t>
  </si>
  <si>
    <t>Place of birth</t>
  </si>
  <si>
    <t>Marital status</t>
  </si>
  <si>
    <t>Married / Single</t>
  </si>
  <si>
    <t>来日準備中</t>
    <rPh sb="0" eb="2">
      <t>ライニチ</t>
    </rPh>
    <rPh sb="2" eb="5">
      <t>ジュンビチュウ</t>
    </rPh>
    <phoneticPr fontId="30"/>
  </si>
  <si>
    <t>学生</t>
    <rPh sb="0" eb="2">
      <t>ガクセイ</t>
    </rPh>
    <phoneticPr fontId="30"/>
  </si>
  <si>
    <t>7　職　業</t>
    <rPh sb="2" eb="3">
      <t>ショク</t>
    </rPh>
    <rPh sb="4" eb="5">
      <t>ギョウ</t>
    </rPh>
    <phoneticPr fontId="5"/>
  </si>
  <si>
    <t>8　本国における居住地</t>
    <rPh sb="2" eb="4">
      <t>ホンゴク</t>
    </rPh>
    <rPh sb="8" eb="11">
      <t>キョジュウチ</t>
    </rPh>
    <phoneticPr fontId="5"/>
  </si>
  <si>
    <t>会社員</t>
    <rPh sb="0" eb="3">
      <t>カイシャイン</t>
    </rPh>
    <phoneticPr fontId="30"/>
  </si>
  <si>
    <t>Occupation</t>
  </si>
  <si>
    <t>Home town/city</t>
  </si>
  <si>
    <t>9　日本における連絡先</t>
    <rPh sb="2" eb="4">
      <t>ニホン</t>
    </rPh>
    <rPh sb="8" eb="11">
      <t>レンラクサキ</t>
    </rPh>
    <phoneticPr fontId="5"/>
  </si>
  <si>
    <t>Address in Japan</t>
  </si>
  <si>
    <t>電話番号</t>
    <rPh sb="0" eb="2">
      <t>デンワ</t>
    </rPh>
    <rPh sb="2" eb="4">
      <t>バンゴウ</t>
    </rPh>
    <phoneticPr fontId="5"/>
  </si>
  <si>
    <t>携帯電話番号</t>
    <rPh sb="0" eb="2">
      <t>ケイタイ</t>
    </rPh>
    <rPh sb="2" eb="4">
      <t>デンワ</t>
    </rPh>
    <rPh sb="4" eb="6">
      <t>バンゴウ</t>
    </rPh>
    <phoneticPr fontId="5"/>
  </si>
  <si>
    <t>Telephone No.</t>
  </si>
  <si>
    <t>Cellular phone No.</t>
  </si>
  <si>
    <t>10　旅券</t>
    <rPh sb="3" eb="4">
      <t>タビ</t>
    </rPh>
    <rPh sb="4" eb="5">
      <t>ケン</t>
    </rPh>
    <phoneticPr fontId="5"/>
  </si>
  <si>
    <t>(1)番　号</t>
    <rPh sb="3" eb="4">
      <t>バン</t>
    </rPh>
    <rPh sb="5" eb="6">
      <t>ゴウ</t>
    </rPh>
    <phoneticPr fontId="5"/>
  </si>
  <si>
    <t>(2)有効期限</t>
    <rPh sb="3" eb="5">
      <t>ユウコウ</t>
    </rPh>
    <rPh sb="5" eb="7">
      <t>キゲン</t>
    </rPh>
    <phoneticPr fontId="5"/>
  </si>
  <si>
    <t xml:space="preserve">Passport </t>
  </si>
  <si>
    <t>Number</t>
  </si>
  <si>
    <t>Date of expiration</t>
  </si>
  <si>
    <t>11　入国目的 （次のいずれか該当するものを選んでください。）</t>
    <rPh sb="3" eb="5">
      <t>ニュウコク</t>
    </rPh>
    <rPh sb="5" eb="7">
      <t>モクテキ</t>
    </rPh>
    <rPh sb="9" eb="10">
      <t>ツギ</t>
    </rPh>
    <rPh sb="15" eb="17">
      <t>ガイトウ</t>
    </rPh>
    <rPh sb="22" eb="23">
      <t>エラ</t>
    </rPh>
    <phoneticPr fontId="5"/>
  </si>
  <si>
    <t>Purpose of entry: check one of the followings</t>
  </si>
  <si>
    <t>□</t>
    <phoneticPr fontId="30"/>
  </si>
  <si>
    <t>Ｉ 「教授」</t>
    <phoneticPr fontId="30"/>
  </si>
  <si>
    <t>□ Ｉ 「教育」</t>
    <phoneticPr fontId="30"/>
  </si>
  <si>
    <t>□ Ｊ 「芸術」</t>
    <phoneticPr fontId="30"/>
  </si>
  <si>
    <t>□J「文化活動」</t>
    <phoneticPr fontId="30"/>
  </si>
  <si>
    <t>Ｋ 「宗教」</t>
    <phoneticPr fontId="30"/>
  </si>
  <si>
    <t>L　「報道」</t>
    <rPh sb="3" eb="5">
      <t>ホウドウ</t>
    </rPh>
    <phoneticPr fontId="30"/>
  </si>
  <si>
    <t>"Professor"</t>
    <phoneticPr fontId="30"/>
  </si>
  <si>
    <t>"Instructor"</t>
    <phoneticPr fontId="30"/>
  </si>
  <si>
    <t>"Artist"</t>
    <phoneticPr fontId="30"/>
  </si>
  <si>
    <t>"Cultural Activities"</t>
    <phoneticPr fontId="30"/>
  </si>
  <si>
    <t xml:space="preserve">"Religious Activities"  </t>
  </si>
  <si>
    <t>"Journalist"</t>
    <phoneticPr fontId="30"/>
  </si>
  <si>
    <t>Ｌ　「企業内転勤」</t>
    <phoneticPr fontId="30"/>
  </si>
  <si>
    <t>Ｍ 「投資・経営」</t>
    <phoneticPr fontId="30"/>
  </si>
  <si>
    <t>L 「研究（転勤）」</t>
    <rPh sb="3" eb="5">
      <t>ケンキュウ</t>
    </rPh>
    <rPh sb="6" eb="8">
      <t>テンキン</t>
    </rPh>
    <phoneticPr fontId="30"/>
  </si>
  <si>
    <t>N 「研究」</t>
    <rPh sb="3" eb="5">
      <t>ケンキュウ</t>
    </rPh>
    <phoneticPr fontId="30"/>
  </si>
  <si>
    <t>N 「技術」</t>
    <rPh sb="3" eb="5">
      <t>ギジュツ</t>
    </rPh>
    <phoneticPr fontId="30"/>
  </si>
  <si>
    <t>"Intra-company Transferee"</t>
    <phoneticPr fontId="30"/>
  </si>
  <si>
    <t xml:space="preserve"> "Investor / Business Manager"</t>
  </si>
  <si>
    <t>"Researcher (Transferee)"</t>
    <phoneticPr fontId="30"/>
  </si>
  <si>
    <t>"Researcher"</t>
    <phoneticPr fontId="30"/>
  </si>
  <si>
    <t>"Engineer"</t>
    <phoneticPr fontId="30"/>
  </si>
  <si>
    <t>Ｎ 「人文知識・国際業務」</t>
    <phoneticPr fontId="30"/>
  </si>
  <si>
    <t>□</t>
    <phoneticPr fontId="30"/>
  </si>
  <si>
    <t>Ｎ 「技能」</t>
    <rPh sb="3" eb="5">
      <t>ギノウ</t>
    </rPh>
    <phoneticPr fontId="30"/>
  </si>
  <si>
    <t>Ｎ 「特定活動（イ・ロ）」</t>
    <rPh sb="3" eb="5">
      <t>トクテイ</t>
    </rPh>
    <rPh sb="5" eb="7">
      <t>カツドウ</t>
    </rPh>
    <phoneticPr fontId="30"/>
  </si>
  <si>
    <t xml:space="preserve"> Ｏ 「興行」</t>
  </si>
  <si>
    <t>Ｐ　「留学」</t>
    <phoneticPr fontId="30"/>
  </si>
  <si>
    <t>"Specialist in Humanities / International Services"</t>
    <phoneticPr fontId="30"/>
  </si>
  <si>
    <t>"Skilled Labor"</t>
    <phoneticPr fontId="30"/>
  </si>
  <si>
    <t>"Designated Activities (a/b)"</t>
    <phoneticPr fontId="30"/>
  </si>
  <si>
    <t xml:space="preserve"> "Entertainer"</t>
  </si>
  <si>
    <t xml:space="preserve"> "Student" </t>
    <phoneticPr fontId="30"/>
  </si>
  <si>
    <t>Ｑ 「研修」</t>
  </si>
  <si>
    <t>□ Y 「技能実習（1号）」</t>
    <rPh sb="5" eb="7">
      <t>ギノウ</t>
    </rPh>
    <rPh sb="7" eb="9">
      <t>ジッシュウ</t>
    </rPh>
    <rPh sb="11" eb="12">
      <t>ゴウ</t>
    </rPh>
    <phoneticPr fontId="30"/>
  </si>
  <si>
    <t>Ｒ 「家族滞在」</t>
    <phoneticPr fontId="30"/>
  </si>
  <si>
    <t>Ｒ 「特定活動（ハ）」</t>
    <rPh sb="3" eb="5">
      <t>トクテイ</t>
    </rPh>
    <rPh sb="5" eb="7">
      <t>カツドウ</t>
    </rPh>
    <phoneticPr fontId="30"/>
  </si>
  <si>
    <t>R「特定活動（EPA家族）」</t>
    <phoneticPr fontId="30"/>
  </si>
  <si>
    <t xml:space="preserve"> "Trainee"</t>
  </si>
  <si>
    <r>
      <t>"Technical Intern Training</t>
    </r>
    <r>
      <rPr>
        <sz val="7"/>
        <rFont val="ＭＳ Ｐゴシック"/>
        <family val="3"/>
        <charset val="128"/>
      </rPr>
      <t>（</t>
    </r>
    <r>
      <rPr>
        <sz val="7"/>
        <rFont val="Arial Narrow"/>
        <family val="2"/>
      </rPr>
      <t>i</t>
    </r>
    <r>
      <rPr>
        <sz val="7"/>
        <rFont val="ＭＳ Ｐゴシック"/>
        <family val="3"/>
        <charset val="128"/>
      </rPr>
      <t>）</t>
    </r>
    <r>
      <rPr>
        <sz val="7"/>
        <rFont val="Arial Narrow"/>
        <family val="2"/>
      </rPr>
      <t>"</t>
    </r>
    <phoneticPr fontId="30"/>
  </si>
  <si>
    <t xml:space="preserve"> "Dependent"</t>
    <phoneticPr fontId="30"/>
  </si>
  <si>
    <t>"Designated Activities (c)"</t>
    <phoneticPr fontId="30"/>
  </si>
  <si>
    <t>"Dependent of EPA"</t>
    <phoneticPr fontId="30"/>
  </si>
  <si>
    <t>Ｔ 「日本人の配偶者等」</t>
    <phoneticPr fontId="30"/>
  </si>
  <si>
    <t>T 「永住者の配偶者等」</t>
    <phoneticPr fontId="30"/>
  </si>
  <si>
    <t>□ T 「定住者」</t>
    <phoneticPr fontId="30"/>
  </si>
  <si>
    <t>Ｕ　「その他」</t>
  </si>
  <si>
    <t xml:space="preserve"> "Spouse or Child of Japanese National"</t>
    <phoneticPr fontId="30"/>
  </si>
  <si>
    <t>"Spouse or Child of Permanent Resident"</t>
    <phoneticPr fontId="30"/>
  </si>
  <si>
    <t>"Long Term Resident"</t>
    <phoneticPr fontId="30"/>
  </si>
  <si>
    <t>Others</t>
  </si>
  <si>
    <t>12　入国予定年月日</t>
    <rPh sb="3" eb="5">
      <t>ニュウコク</t>
    </rPh>
    <rPh sb="5" eb="7">
      <t>ヨテイ</t>
    </rPh>
    <rPh sb="7" eb="9">
      <t>ネンゲツ</t>
    </rPh>
    <rPh sb="9" eb="10">
      <t>ヒ</t>
    </rPh>
    <phoneticPr fontId="5"/>
  </si>
  <si>
    <t>13　上陸予定港</t>
    <rPh sb="3" eb="5">
      <t>ジョウリク</t>
    </rPh>
    <rPh sb="5" eb="7">
      <t>ヨテイ</t>
    </rPh>
    <rPh sb="7" eb="8">
      <t>コウ</t>
    </rPh>
    <phoneticPr fontId="5"/>
  </si>
  <si>
    <t xml:space="preserve">   Date of entry</t>
  </si>
  <si>
    <t>Port of entry</t>
  </si>
  <si>
    <t>14　滞在予定期間</t>
    <rPh sb="3" eb="5">
      <t>タイザイ</t>
    </rPh>
    <rPh sb="5" eb="7">
      <t>ヨテイ</t>
    </rPh>
    <rPh sb="7" eb="9">
      <t>キカン</t>
    </rPh>
    <phoneticPr fontId="5"/>
  </si>
  <si>
    <t>15　同伴者の有無</t>
    <rPh sb="3" eb="6">
      <t>ドウハンシャ</t>
    </rPh>
    <rPh sb="7" eb="9">
      <t>ウム</t>
    </rPh>
    <phoneticPr fontId="5"/>
  </si>
  <si>
    <t xml:space="preserve">   Intended length of stay</t>
  </si>
  <si>
    <t>Accompanying persons, if any</t>
  </si>
  <si>
    <t>Yes / No</t>
  </si>
  <si>
    <t>16　査証申請予定地</t>
    <rPh sb="3" eb="5">
      <t>サショウ</t>
    </rPh>
    <rPh sb="5" eb="7">
      <t>シンセイ</t>
    </rPh>
    <rPh sb="7" eb="10">
      <t>ヨテイチ</t>
    </rPh>
    <phoneticPr fontId="5"/>
  </si>
  <si>
    <t>査証申請予定地</t>
    <rPh sb="0" eb="2">
      <t>サショウ</t>
    </rPh>
    <rPh sb="2" eb="4">
      <t>シンセイ</t>
    </rPh>
    <rPh sb="4" eb="7">
      <t>ヨテイチ</t>
    </rPh>
    <phoneticPr fontId="30"/>
  </si>
  <si>
    <t xml:space="preserve">  Intended place to apply for visa</t>
    <phoneticPr fontId="30"/>
  </si>
  <si>
    <t>青島</t>
    <rPh sb="0" eb="2">
      <t>アオシマ</t>
    </rPh>
    <phoneticPr fontId="30"/>
  </si>
  <si>
    <t>17　過去の出入国歴</t>
    <rPh sb="3" eb="5">
      <t>カコ</t>
    </rPh>
    <rPh sb="6" eb="9">
      <t>シュツニュウコク</t>
    </rPh>
    <rPh sb="9" eb="10">
      <t>レキ</t>
    </rPh>
    <phoneticPr fontId="5"/>
  </si>
  <si>
    <t>北京</t>
    <rPh sb="0" eb="2">
      <t>ペキン</t>
    </rPh>
    <phoneticPr fontId="30"/>
  </si>
  <si>
    <t xml:space="preserve">   Past entry into / departure from Japan</t>
  </si>
  <si>
    <t>上海</t>
    <rPh sb="0" eb="2">
      <t>シャンハイ</t>
    </rPh>
    <phoneticPr fontId="30"/>
  </si>
  <si>
    <t>（上記で『有』を選択した場合）</t>
    <rPh sb="1" eb="3">
      <t>ジョウキ</t>
    </rPh>
    <rPh sb="5" eb="6">
      <t>ユウ</t>
    </rPh>
    <rPh sb="8" eb="10">
      <t>センタク</t>
    </rPh>
    <rPh sb="12" eb="14">
      <t>バアイ</t>
    </rPh>
    <phoneticPr fontId="5"/>
  </si>
  <si>
    <t>(Fill in the followings when the answer is "Yes")</t>
  </si>
  <si>
    <t>瀋陽</t>
    <rPh sb="0" eb="2">
      <t>シンヨウ</t>
    </rPh>
    <phoneticPr fontId="30"/>
  </si>
  <si>
    <t>回数</t>
    <rPh sb="0" eb="2">
      <t>カイスウ</t>
    </rPh>
    <phoneticPr fontId="5"/>
  </si>
  <si>
    <t>回</t>
    <rPh sb="0" eb="1">
      <t>カイ</t>
    </rPh>
    <phoneticPr fontId="5"/>
  </si>
  <si>
    <t>直近の出入国歴</t>
    <rPh sb="0" eb="2">
      <t>チョッキン</t>
    </rPh>
    <rPh sb="3" eb="6">
      <t>シュツニュウコク</t>
    </rPh>
    <rPh sb="6" eb="7">
      <t>レキ</t>
    </rPh>
    <phoneticPr fontId="5"/>
  </si>
  <si>
    <t>から</t>
  </si>
  <si>
    <t>重慶</t>
    <rPh sb="0" eb="2">
      <t>ジュウケイ</t>
    </rPh>
    <phoneticPr fontId="30"/>
  </si>
  <si>
    <t>time(s)</t>
  </si>
  <si>
    <t>(The latest entry</t>
  </si>
  <si>
    <t>from</t>
  </si>
  <si>
    <t>to</t>
  </si>
  <si>
    <t>広州</t>
    <rPh sb="0" eb="1">
      <t>ヒロ</t>
    </rPh>
    <rPh sb="1" eb="2">
      <t>シュウ</t>
    </rPh>
    <phoneticPr fontId="30"/>
  </si>
  <si>
    <t>ハノイ</t>
    <phoneticPr fontId="30"/>
  </si>
  <si>
    <t>18　犯罪を理由とする処分を受けたことの有無 （日本国外におけるものを含む。）</t>
    <rPh sb="3" eb="5">
      <t>ハンザイ</t>
    </rPh>
    <rPh sb="6" eb="8">
      <t>リユウ</t>
    </rPh>
    <rPh sb="11" eb="13">
      <t>ショブン</t>
    </rPh>
    <rPh sb="14" eb="15">
      <t>ウ</t>
    </rPh>
    <rPh sb="20" eb="22">
      <t>ウム</t>
    </rPh>
    <rPh sb="24" eb="26">
      <t>ニホン</t>
    </rPh>
    <rPh sb="26" eb="28">
      <t>コクガイ</t>
    </rPh>
    <rPh sb="35" eb="36">
      <t>フク</t>
    </rPh>
    <phoneticPr fontId="5"/>
  </si>
  <si>
    <t>Criminal record (in Japan / overseas)</t>
    <phoneticPr fontId="30"/>
  </si>
  <si>
    <t>ホーチミン</t>
    <phoneticPr fontId="30"/>
  </si>
  <si>
    <t>有</t>
    <rPh sb="0" eb="1">
      <t>ユウ</t>
    </rPh>
    <phoneticPr fontId="5"/>
  </si>
  <si>
    <t>（具体的内容</t>
    <rPh sb="1" eb="4">
      <t>グタイテキ</t>
    </rPh>
    <rPh sb="4" eb="6">
      <t>ナイヨウ</t>
    </rPh>
    <phoneticPr fontId="5"/>
  </si>
  <si>
    <t>） ・ 無</t>
    <rPh sb="4" eb="5">
      <t>ム</t>
    </rPh>
    <phoneticPr fontId="5"/>
  </si>
  <si>
    <t>ヤンゴン</t>
    <phoneticPr fontId="30"/>
  </si>
  <si>
    <t>Yes</t>
  </si>
  <si>
    <t>(Details</t>
  </si>
  <si>
    <t>)  /</t>
  </si>
  <si>
    <t>No</t>
  </si>
  <si>
    <t>カトマンズ</t>
    <phoneticPr fontId="30"/>
  </si>
  <si>
    <t>19　退去強制又は出国命令による出国の有無</t>
    <rPh sb="3" eb="5">
      <t>タイキョ</t>
    </rPh>
    <rPh sb="5" eb="7">
      <t>キョウセイ</t>
    </rPh>
    <rPh sb="7" eb="8">
      <t>マタ</t>
    </rPh>
    <rPh sb="9" eb="11">
      <t>シュッコク</t>
    </rPh>
    <rPh sb="11" eb="13">
      <t>メイレイ</t>
    </rPh>
    <rPh sb="16" eb="18">
      <t>シュッコク</t>
    </rPh>
    <rPh sb="19" eb="21">
      <t>ウム</t>
    </rPh>
    <phoneticPr fontId="5"/>
  </si>
  <si>
    <t>有・無</t>
  </si>
  <si>
    <t xml:space="preserve">   Departure by deportation /dearture order</t>
  </si>
  <si>
    <t>直近の送還歴</t>
    <rPh sb="0" eb="2">
      <t>チョッキン</t>
    </rPh>
    <rPh sb="3" eb="5">
      <t>ソウカン</t>
    </rPh>
    <rPh sb="5" eb="6">
      <t>レキ</t>
    </rPh>
    <phoneticPr fontId="5"/>
  </si>
  <si>
    <t xml:space="preserve"> (Fill in the followings when the answer is "Yes")</t>
  </si>
  <si>
    <t>time(s)</t>
    <phoneticPr fontId="30"/>
  </si>
  <si>
    <t>The latest departure by deportation</t>
  </si>
  <si>
    <t>20　在日親族（父・母・配偶者・子・兄弟姉妹など）及び同居者</t>
    <rPh sb="3" eb="5">
      <t>ザイニチ</t>
    </rPh>
    <rPh sb="5" eb="7">
      <t>シンゾク</t>
    </rPh>
    <rPh sb="8" eb="9">
      <t>チチ</t>
    </rPh>
    <rPh sb="10" eb="11">
      <t>ハハ</t>
    </rPh>
    <rPh sb="12" eb="15">
      <t>ハイグウシャ</t>
    </rPh>
    <rPh sb="16" eb="17">
      <t>コ</t>
    </rPh>
    <rPh sb="18" eb="20">
      <t>キョウダイ</t>
    </rPh>
    <rPh sb="20" eb="22">
      <t>シマイ</t>
    </rPh>
    <rPh sb="25" eb="26">
      <t>オヨ</t>
    </rPh>
    <rPh sb="27" eb="30">
      <t>ドウキョシャ</t>
    </rPh>
    <phoneticPr fontId="5"/>
  </si>
  <si>
    <t xml:space="preserve">   Family in Japan (Father, Mother, Spouse, Son, Daughter, Brother, Sister or others) or co-residents</t>
  </si>
  <si>
    <t>続　柄</t>
    <rPh sb="0" eb="1">
      <t>ゾク</t>
    </rPh>
    <rPh sb="2" eb="3">
      <t>エ</t>
    </rPh>
    <phoneticPr fontId="5"/>
  </si>
  <si>
    <t>氏　名</t>
    <rPh sb="0" eb="1">
      <t>シ</t>
    </rPh>
    <rPh sb="2" eb="3">
      <t>メイ</t>
    </rPh>
    <phoneticPr fontId="5"/>
  </si>
  <si>
    <t>生年月日</t>
    <rPh sb="0" eb="2">
      <t>セイネン</t>
    </rPh>
    <rPh sb="2" eb="4">
      <t>ガッピ</t>
    </rPh>
    <phoneticPr fontId="5"/>
  </si>
  <si>
    <t>国 籍・地 域</t>
    <rPh sb="0" eb="1">
      <t>クニ</t>
    </rPh>
    <rPh sb="2" eb="3">
      <t>セキ</t>
    </rPh>
    <rPh sb="4" eb="5">
      <t>チ</t>
    </rPh>
    <rPh sb="6" eb="7">
      <t>イキ</t>
    </rPh>
    <phoneticPr fontId="5"/>
  </si>
  <si>
    <t>勤務先・通学先</t>
    <rPh sb="0" eb="3">
      <t>キンムサキ</t>
    </rPh>
    <rPh sb="4" eb="6">
      <t>ツウガク</t>
    </rPh>
    <rPh sb="6" eb="7">
      <t>サキ</t>
    </rPh>
    <phoneticPr fontId="5"/>
  </si>
  <si>
    <t>在留カード番号
特別永住者証明書番号</t>
    <rPh sb="0" eb="2">
      <t>ザイリュウ</t>
    </rPh>
    <rPh sb="5" eb="7">
      <t>バンゴウ</t>
    </rPh>
    <rPh sb="8" eb="10">
      <t>トクベツ</t>
    </rPh>
    <rPh sb="10" eb="13">
      <t>エイジュウシャ</t>
    </rPh>
    <rPh sb="13" eb="16">
      <t>ショウメイショ</t>
    </rPh>
    <rPh sb="16" eb="18">
      <t>バンゴウ</t>
    </rPh>
    <phoneticPr fontId="30"/>
  </si>
  <si>
    <t>Relationship</t>
  </si>
  <si>
    <t>Name</t>
  </si>
  <si>
    <t>Nationality/Region</t>
    <phoneticPr fontId="30"/>
  </si>
  <si>
    <t>Intended to reside
with applicant or not</t>
    <phoneticPr fontId="30"/>
  </si>
  <si>
    <t>Residence card number
Special Permanent Resident Certificate number</t>
    <phoneticPr fontId="30"/>
  </si>
  <si>
    <t>はい・いいえ</t>
  </si>
  <si>
    <t>　　　　※20については、記載欄が不足する場合は別紙に記入して添付すること。なお、「研修」、「技能実習」に係る申請の場合は記載不要です。
　　　　　 Regarding item 20, if there is not enough space in the given columns to write in all of your family in Japan, fill in and attach a separate sheet.
　　　　　 In addition, take note that you are not required to fill in item 20 for applications pertaining to "Trainee"/"Technical Intern Training".</t>
    <rPh sb="13" eb="15">
      <t>キサイ</t>
    </rPh>
    <rPh sb="15" eb="16">
      <t>ラン</t>
    </rPh>
    <rPh sb="17" eb="19">
      <t>フソク</t>
    </rPh>
    <rPh sb="21" eb="23">
      <t>バアイ</t>
    </rPh>
    <rPh sb="24" eb="26">
      <t>ベッシ</t>
    </rPh>
    <rPh sb="27" eb="29">
      <t>キニュウ</t>
    </rPh>
    <rPh sb="31" eb="33">
      <t>テンプ</t>
    </rPh>
    <rPh sb="42" eb="44">
      <t>ケンシュウ</t>
    </rPh>
    <rPh sb="47" eb="49">
      <t>ギノウ</t>
    </rPh>
    <rPh sb="49" eb="51">
      <t>ジッシュウ</t>
    </rPh>
    <rPh sb="53" eb="54">
      <t>カカ</t>
    </rPh>
    <rPh sb="55" eb="57">
      <t>シンセイ</t>
    </rPh>
    <rPh sb="58" eb="60">
      <t>バアイ</t>
    </rPh>
    <rPh sb="61" eb="63">
      <t>キサイ</t>
    </rPh>
    <rPh sb="63" eb="65">
      <t>フヨウ</t>
    </rPh>
    <phoneticPr fontId="30"/>
  </si>
  <si>
    <t>（注） 裏面参照の上，申請に必要な書類を作成して下さい。</t>
    <rPh sb="1" eb="2">
      <t>チュウ</t>
    </rPh>
    <rPh sb="4" eb="6">
      <t>リメン</t>
    </rPh>
    <rPh sb="6" eb="8">
      <t>サンショウ</t>
    </rPh>
    <rPh sb="9" eb="10">
      <t>ウエ</t>
    </rPh>
    <rPh sb="11" eb="13">
      <t>シンセイ</t>
    </rPh>
    <rPh sb="14" eb="16">
      <t>ヒツヨウ</t>
    </rPh>
    <rPh sb="17" eb="19">
      <t>ショルイ</t>
    </rPh>
    <rPh sb="20" eb="22">
      <t>サクセイ</t>
    </rPh>
    <rPh sb="24" eb="25">
      <t>クダ</t>
    </rPh>
    <phoneticPr fontId="5"/>
  </si>
  <si>
    <t>Note : Please fill in forms required for application. (See notes on reverse side.)</t>
  </si>
  <si>
    <t>申請人等作成用 ２　　Ｐ　（「留学」）</t>
    <rPh sb="0" eb="3">
      <t>シンセイニン</t>
    </rPh>
    <rPh sb="3" eb="6">
      <t>トウサクセイ</t>
    </rPh>
    <rPh sb="6" eb="7">
      <t>ヨウ</t>
    </rPh>
    <rPh sb="15" eb="17">
      <t>リュウガク</t>
    </rPh>
    <phoneticPr fontId="5"/>
  </si>
  <si>
    <t>在留資格認定証明書用</t>
    <rPh sb="0" eb="2">
      <t>ザイリュウ</t>
    </rPh>
    <rPh sb="2" eb="4">
      <t>シカク</t>
    </rPh>
    <rPh sb="4" eb="6">
      <t>ニンテイ</t>
    </rPh>
    <rPh sb="6" eb="9">
      <t>ショウメイショ</t>
    </rPh>
    <rPh sb="9" eb="10">
      <t>ヨウ</t>
    </rPh>
    <phoneticPr fontId="5"/>
  </si>
  <si>
    <r>
      <t xml:space="preserve">For applicant, part 2  </t>
    </r>
    <r>
      <rPr>
        <sz val="9"/>
        <rFont val="ＭＳ Ｐ明朝"/>
        <family val="1"/>
        <charset val="128"/>
      </rPr>
      <t>Ｐ</t>
    </r>
    <r>
      <rPr>
        <sz val="9"/>
        <rFont val="Arial Narrow"/>
        <family val="2"/>
      </rPr>
      <t xml:space="preserve"> ("Student")                                                   </t>
    </r>
    <phoneticPr fontId="5"/>
  </si>
  <si>
    <t xml:space="preserve">    For certificate of eligibility</t>
  </si>
  <si>
    <t>21　通学先</t>
    <rPh sb="3" eb="5">
      <t>ツウガク</t>
    </rPh>
    <rPh sb="5" eb="6">
      <t>サキ</t>
    </rPh>
    <phoneticPr fontId="5"/>
  </si>
  <si>
    <t>Place of study</t>
    <phoneticPr fontId="5"/>
  </si>
  <si>
    <t>(1)名　称</t>
    <rPh sb="3" eb="4">
      <t>メイ</t>
    </rPh>
    <rPh sb="5" eb="6">
      <t>ショウ</t>
    </rPh>
    <phoneticPr fontId="5"/>
  </si>
  <si>
    <t>Name of school</t>
    <phoneticPr fontId="5"/>
  </si>
  <si>
    <t>(2)所在地</t>
    <rPh sb="3" eb="6">
      <t>ショザイチ</t>
    </rPh>
    <phoneticPr fontId="5"/>
  </si>
  <si>
    <t>(3)電話番号</t>
    <rPh sb="3" eb="5">
      <t>デンワ</t>
    </rPh>
    <rPh sb="5" eb="7">
      <t>バンゴウ</t>
    </rPh>
    <phoneticPr fontId="5"/>
  </si>
  <si>
    <t>Address</t>
    <phoneticPr fontId="5"/>
  </si>
  <si>
    <t>Telephone No.</t>
    <phoneticPr fontId="5"/>
  </si>
  <si>
    <t>22　修学年数 （小学校～最終学歴）</t>
    <rPh sb="3" eb="5">
      <t>シュウガク</t>
    </rPh>
    <rPh sb="5" eb="7">
      <t>ネンスウ</t>
    </rPh>
    <rPh sb="9" eb="12">
      <t>ショウガッコウ</t>
    </rPh>
    <rPh sb="13" eb="15">
      <t>サイシュウ</t>
    </rPh>
    <rPh sb="15" eb="17">
      <t>ガクレキ</t>
    </rPh>
    <phoneticPr fontId="5"/>
  </si>
  <si>
    <t>Total period of education (from elementary school to last institution of education)</t>
    <phoneticPr fontId="5"/>
  </si>
  <si>
    <t>Years</t>
    <phoneticPr fontId="5"/>
  </si>
  <si>
    <t>23　最終学歴 （又は在学中の学校）</t>
    <rPh sb="3" eb="5">
      <t>サイシュウ</t>
    </rPh>
    <rPh sb="5" eb="7">
      <t>ガクレキ</t>
    </rPh>
    <rPh sb="9" eb="10">
      <t>マタ</t>
    </rPh>
    <rPh sb="11" eb="14">
      <t>ザイガクチュウ</t>
    </rPh>
    <rPh sb="15" eb="17">
      <t>ガッコウ</t>
    </rPh>
    <phoneticPr fontId="5"/>
  </si>
  <si>
    <t>Education (last school or institution) or present school</t>
    <phoneticPr fontId="5"/>
  </si>
  <si>
    <t>(1)在籍状況</t>
    <rPh sb="3" eb="5">
      <t>ザイセキ</t>
    </rPh>
    <rPh sb="5" eb="7">
      <t>ジョウキョウ</t>
    </rPh>
    <phoneticPr fontId="5"/>
  </si>
  <si>
    <t>在学中</t>
  </si>
  <si>
    <t>休学中</t>
  </si>
  <si>
    <t>中退</t>
  </si>
  <si>
    <t>Registered enrollment</t>
    <phoneticPr fontId="5"/>
  </si>
  <si>
    <t>Graduated</t>
    <phoneticPr fontId="5"/>
  </si>
  <si>
    <t>In school</t>
    <phoneticPr fontId="5"/>
  </si>
  <si>
    <t>Temporary absence</t>
    <phoneticPr fontId="5"/>
  </si>
  <si>
    <t>Withdrawal</t>
    <phoneticPr fontId="5"/>
  </si>
  <si>
    <t>■</t>
    <phoneticPr fontId="30"/>
  </si>
  <si>
    <t>大学院 （博士）</t>
    <rPh sb="0" eb="3">
      <t>ダイガクイン</t>
    </rPh>
    <rPh sb="5" eb="7">
      <t>ハクシ</t>
    </rPh>
    <phoneticPr fontId="5"/>
  </si>
  <si>
    <t>大学院 （修士）</t>
    <rPh sb="0" eb="3">
      <t>ダイガクイン</t>
    </rPh>
    <rPh sb="5" eb="7">
      <t>シュウシ</t>
    </rPh>
    <phoneticPr fontId="5"/>
  </si>
  <si>
    <t>□</t>
    <phoneticPr fontId="5"/>
  </si>
  <si>
    <t>Doctor</t>
    <phoneticPr fontId="5"/>
  </si>
  <si>
    <t>Master</t>
    <phoneticPr fontId="5"/>
  </si>
  <si>
    <t>Bachelor</t>
    <phoneticPr fontId="5"/>
  </si>
  <si>
    <t>Junior college</t>
    <phoneticPr fontId="5"/>
  </si>
  <si>
    <t>高等学校</t>
    <rPh sb="0" eb="2">
      <t>コウトウ</t>
    </rPh>
    <rPh sb="2" eb="4">
      <t>ガッコウ</t>
    </rPh>
    <phoneticPr fontId="5"/>
  </si>
  <si>
    <t>中学校</t>
    <rPh sb="0" eb="3">
      <t>チュウガッコウ</t>
    </rPh>
    <phoneticPr fontId="5"/>
  </si>
  <si>
    <t>その他（</t>
    <rPh sb="2" eb="3">
      <t>タ</t>
    </rPh>
    <phoneticPr fontId="5"/>
  </si>
  <si>
    <t>）</t>
    <phoneticPr fontId="5"/>
  </si>
  <si>
    <t>Senior high school</t>
    <phoneticPr fontId="5"/>
  </si>
  <si>
    <t>Junior high school</t>
    <phoneticPr fontId="5"/>
  </si>
  <si>
    <t>Others</t>
    <phoneticPr fontId="5"/>
  </si>
  <si>
    <t>(2)学校名</t>
    <rPh sb="3" eb="6">
      <t>ガッコウメイ</t>
    </rPh>
    <phoneticPr fontId="5"/>
  </si>
  <si>
    <t>(3)卒業又は卒業見込み年月日</t>
    <rPh sb="3" eb="5">
      <t>ソツギョウ</t>
    </rPh>
    <rPh sb="5" eb="6">
      <t>マタ</t>
    </rPh>
    <rPh sb="7" eb="9">
      <t>ソツギョウ</t>
    </rPh>
    <rPh sb="9" eb="11">
      <t>ミコ</t>
    </rPh>
    <rPh sb="12" eb="13">
      <t>ネン</t>
    </rPh>
    <rPh sb="13" eb="15">
      <t>ガッピ</t>
    </rPh>
    <phoneticPr fontId="5"/>
  </si>
  <si>
    <t>日</t>
    <rPh sb="0" eb="1">
      <t>ニチ</t>
    </rPh>
    <phoneticPr fontId="5"/>
  </si>
  <si>
    <t>Name of the school</t>
    <phoneticPr fontId="5"/>
  </si>
  <si>
    <t>Date of graduation or expected graduation</t>
    <phoneticPr fontId="5"/>
  </si>
  <si>
    <r>
      <t>24　日本語能力</t>
    </r>
    <r>
      <rPr>
        <sz val="10"/>
        <color indexed="8"/>
        <rFont val="ＭＳ Ｐ明朝"/>
        <family val="1"/>
        <charset val="128"/>
      </rPr>
      <t xml:space="preserve"> （専修学校又は各種学校において日本語教育以外の教育を受ける場合に記入）</t>
    </r>
    <rPh sb="3" eb="6">
      <t>ニホンゴ</t>
    </rPh>
    <rPh sb="6" eb="8">
      <t>ノウリョク</t>
    </rPh>
    <rPh sb="10" eb="12">
      <t>センシュウ</t>
    </rPh>
    <rPh sb="12" eb="14">
      <t>ガッコウ</t>
    </rPh>
    <rPh sb="14" eb="15">
      <t>マタ</t>
    </rPh>
    <rPh sb="16" eb="18">
      <t>カクシュ</t>
    </rPh>
    <rPh sb="18" eb="20">
      <t>ガッコウ</t>
    </rPh>
    <rPh sb="24" eb="27">
      <t>ニホンゴ</t>
    </rPh>
    <rPh sb="27" eb="29">
      <t>キョウイク</t>
    </rPh>
    <rPh sb="29" eb="31">
      <t>イガイ</t>
    </rPh>
    <rPh sb="32" eb="34">
      <t>キョウイク</t>
    </rPh>
    <rPh sb="35" eb="36">
      <t>ウ</t>
    </rPh>
    <rPh sb="38" eb="40">
      <t>バアイ</t>
    </rPh>
    <rPh sb="41" eb="43">
      <t>キニュウ</t>
    </rPh>
    <phoneticPr fontId="5"/>
  </si>
  <si>
    <t xml:space="preserve">   Japanese language ability (Fill in the followings when the applicant plans to study at advanced vocational school or vocational school</t>
    <phoneticPr fontId="5"/>
  </si>
  <si>
    <t xml:space="preserve">   (except Japanese language).)</t>
    <phoneticPr fontId="30"/>
  </si>
  <si>
    <t>□</t>
    <phoneticPr fontId="30"/>
  </si>
  <si>
    <t xml:space="preserve">試験による証明 </t>
    <phoneticPr fontId="30"/>
  </si>
  <si>
    <t>Proof based on a Japanese language test</t>
  </si>
  <si>
    <t xml:space="preserve">(1)試験名 </t>
    <rPh sb="4" eb="6">
      <t>シケン</t>
    </rPh>
    <rPh sb="6" eb="7">
      <t>メイ</t>
    </rPh>
    <phoneticPr fontId="30"/>
  </si>
  <si>
    <t>Name of the test</t>
  </si>
  <si>
    <t>(2)級又は点数</t>
    <rPh sb="3" eb="4">
      <t>キュウ</t>
    </rPh>
    <rPh sb="4" eb="5">
      <t>マタ</t>
    </rPh>
    <rPh sb="6" eb="8">
      <t>テンスウ</t>
    </rPh>
    <phoneticPr fontId="30"/>
  </si>
  <si>
    <t>Attained level or score</t>
    <phoneticPr fontId="30"/>
  </si>
  <si>
    <t>□</t>
    <phoneticPr fontId="5"/>
  </si>
  <si>
    <t>日本語教育を受けた教育機関及び期間</t>
  </si>
  <si>
    <t>Organization and period to have received Japanese language education</t>
    <phoneticPr fontId="5"/>
  </si>
  <si>
    <t>機関名</t>
    <rPh sb="0" eb="3">
      <t>キカンメイ</t>
    </rPh>
    <phoneticPr fontId="5"/>
  </si>
  <si>
    <t>Organization</t>
    <phoneticPr fontId="5"/>
  </si>
  <si>
    <t>期間：</t>
    <rPh sb="0" eb="2">
      <t>キカン</t>
    </rPh>
    <phoneticPr fontId="5"/>
  </si>
  <si>
    <t>から</t>
    <phoneticPr fontId="5"/>
  </si>
  <si>
    <t>まで</t>
    <phoneticPr fontId="5"/>
  </si>
  <si>
    <t>Period</t>
    <phoneticPr fontId="5"/>
  </si>
  <si>
    <t>from</t>
    <phoneticPr fontId="5"/>
  </si>
  <si>
    <t>Year</t>
    <phoneticPr fontId="5"/>
  </si>
  <si>
    <t>Month</t>
    <phoneticPr fontId="5"/>
  </si>
  <si>
    <t>to</t>
    <phoneticPr fontId="5"/>
  </si>
  <si>
    <t>Year</t>
    <phoneticPr fontId="5"/>
  </si>
  <si>
    <t>その他</t>
    <rPh sb="2" eb="3">
      <t>タ</t>
    </rPh>
    <phoneticPr fontId="30"/>
  </si>
  <si>
    <t>その他：</t>
    <rPh sb="2" eb="3">
      <t>タ</t>
    </rPh>
    <phoneticPr fontId="5"/>
  </si>
  <si>
    <t>Others</t>
    <phoneticPr fontId="5"/>
  </si>
  <si>
    <t>25　日本語学習歴 （高等学校において教育を受ける場合に記入）</t>
    <phoneticPr fontId="5"/>
  </si>
  <si>
    <t>Japanese education history (Fill in the followings when the applicant plans to study in high school.)</t>
    <phoneticPr fontId="5"/>
  </si>
  <si>
    <t>日本語の教育又は日本語による教育を受けた教育機関及び期間</t>
    <rPh sb="0" eb="3">
      <t>ニホンゴ</t>
    </rPh>
    <rPh sb="4" eb="6">
      <t>キョウイク</t>
    </rPh>
    <rPh sb="6" eb="7">
      <t>マタ</t>
    </rPh>
    <rPh sb="8" eb="11">
      <t>ニホンゴ</t>
    </rPh>
    <rPh sb="14" eb="16">
      <t>キョウイク</t>
    </rPh>
    <rPh sb="17" eb="18">
      <t>ウ</t>
    </rPh>
    <rPh sb="20" eb="22">
      <t>キョウイク</t>
    </rPh>
    <rPh sb="22" eb="24">
      <t>キカン</t>
    </rPh>
    <rPh sb="24" eb="25">
      <t>オヨ</t>
    </rPh>
    <rPh sb="26" eb="28">
      <t>キカン</t>
    </rPh>
    <phoneticPr fontId="5"/>
  </si>
  <si>
    <t>Organization and period to have received Japanese language education / received education by Japanese language</t>
    <phoneticPr fontId="5"/>
  </si>
  <si>
    <t xml:space="preserve">Organization </t>
    <phoneticPr fontId="5"/>
  </si>
  <si>
    <t>から</t>
    <phoneticPr fontId="5"/>
  </si>
  <si>
    <t>from</t>
    <phoneticPr fontId="5"/>
  </si>
  <si>
    <t>26　滞在費の支弁方法等</t>
    <phoneticPr fontId="5"/>
  </si>
  <si>
    <t>Method of support to pay for expenses while in Japan</t>
    <phoneticPr fontId="5"/>
  </si>
  <si>
    <t>(1)支弁方法及び月平均支弁額</t>
    <rPh sb="3" eb="5">
      <t>シベン</t>
    </rPh>
    <rPh sb="5" eb="7">
      <t>ホウホウ</t>
    </rPh>
    <rPh sb="7" eb="8">
      <t>オヨ</t>
    </rPh>
    <rPh sb="9" eb="12">
      <t>ツキヘイキン</t>
    </rPh>
    <rPh sb="12" eb="15">
      <t>シベンガク</t>
    </rPh>
    <phoneticPr fontId="5"/>
  </si>
  <si>
    <t>Method of support and an amount of support per month (average)</t>
    <phoneticPr fontId="5"/>
  </si>
  <si>
    <t>□</t>
    <phoneticPr fontId="5"/>
  </si>
  <si>
    <t>本人負担</t>
  </si>
  <si>
    <t>円</t>
    <rPh sb="0" eb="1">
      <t>エン</t>
    </rPh>
    <phoneticPr fontId="5"/>
  </si>
  <si>
    <t>在外経費支弁者負担</t>
    <rPh sb="1" eb="2">
      <t>ソト</t>
    </rPh>
    <phoneticPr fontId="30"/>
  </si>
  <si>
    <t>Self</t>
    <phoneticPr fontId="5"/>
  </si>
  <si>
    <t>Yen</t>
    <phoneticPr fontId="5"/>
  </si>
  <si>
    <t>Supporter living abroad</t>
    <phoneticPr fontId="5"/>
  </si>
  <si>
    <t>Yen</t>
  </si>
  <si>
    <t>在日経費支弁者負担</t>
  </si>
  <si>
    <t>奨学金</t>
  </si>
  <si>
    <t>Supporter in Japan</t>
    <phoneticPr fontId="5"/>
  </si>
  <si>
    <t>Scholarship</t>
    <phoneticPr fontId="5"/>
  </si>
  <si>
    <t>□</t>
    <phoneticPr fontId="5"/>
  </si>
  <si>
    <t>その他</t>
  </si>
  <si>
    <t>Others</t>
    <phoneticPr fontId="5"/>
  </si>
  <si>
    <t>(2)送金・携行の別</t>
    <rPh sb="3" eb="5">
      <t>ソウキン</t>
    </rPh>
    <rPh sb="6" eb="8">
      <t>ケイコウ</t>
    </rPh>
    <rPh sb="9" eb="10">
      <t>ベツ</t>
    </rPh>
    <phoneticPr fontId="30"/>
  </si>
  <si>
    <t>Remittances from abroad or carrying cash</t>
    <phoneticPr fontId="5"/>
  </si>
  <si>
    <t>外国からの携行</t>
  </si>
  <si>
    <t>外国からの送金</t>
  </si>
  <si>
    <t>Carrying from abroad</t>
    <phoneticPr fontId="5"/>
  </si>
  <si>
    <t>Remittance from abroad</t>
    <phoneticPr fontId="5"/>
  </si>
  <si>
    <t>（携行者</t>
    <rPh sb="1" eb="3">
      <t>ケイコウ</t>
    </rPh>
    <rPh sb="3" eb="4">
      <t>シャ</t>
    </rPh>
    <phoneticPr fontId="5"/>
  </si>
  <si>
    <t>携行時期</t>
    <rPh sb="0" eb="2">
      <t>ケイコウ</t>
    </rPh>
    <rPh sb="2" eb="4">
      <t>ジキ</t>
    </rPh>
    <phoneticPr fontId="5"/>
  </si>
  <si>
    <t>□</t>
    <phoneticPr fontId="30"/>
  </si>
  <si>
    <t>Name of the individual</t>
    <phoneticPr fontId="5"/>
  </si>
  <si>
    <t>Date and time of</t>
    <phoneticPr fontId="5"/>
  </si>
  <si>
    <t>Yen</t>
    <phoneticPr fontId="5"/>
  </si>
  <si>
    <t>carrying cash</t>
    <phoneticPr fontId="5"/>
  </si>
  <si>
    <t>(3)経費支弁者</t>
    <rPh sb="3" eb="5">
      <t>ケイヒ</t>
    </rPh>
    <rPh sb="5" eb="7">
      <t>シベン</t>
    </rPh>
    <rPh sb="7" eb="8">
      <t>シャ</t>
    </rPh>
    <phoneticPr fontId="5"/>
  </si>
  <si>
    <t>Supporter</t>
    <phoneticPr fontId="5"/>
  </si>
  <si>
    <t>①氏　名</t>
    <rPh sb="1" eb="2">
      <t>シ</t>
    </rPh>
    <rPh sb="3" eb="4">
      <t>メイ</t>
    </rPh>
    <phoneticPr fontId="5"/>
  </si>
  <si>
    <t>Name</t>
    <phoneticPr fontId="5"/>
  </si>
  <si>
    <t>②住　所</t>
    <rPh sb="1" eb="2">
      <t>ジュウ</t>
    </rPh>
    <rPh sb="3" eb="4">
      <t>ショ</t>
    </rPh>
    <phoneticPr fontId="5"/>
  </si>
  <si>
    <t>Address</t>
    <phoneticPr fontId="5"/>
  </si>
  <si>
    <t>Telephone No.</t>
    <phoneticPr fontId="5"/>
  </si>
  <si>
    <t>③職業 （勤務先の名称）</t>
    <rPh sb="1" eb="3">
      <t>ショクギョウ</t>
    </rPh>
    <rPh sb="5" eb="8">
      <t>キンムサキ</t>
    </rPh>
    <rPh sb="9" eb="11">
      <t>メイショウ</t>
    </rPh>
    <phoneticPr fontId="5"/>
  </si>
  <si>
    <t>Occupation (place of employment)</t>
    <phoneticPr fontId="5"/>
  </si>
  <si>
    <t>④年　収</t>
    <rPh sb="1" eb="2">
      <t>トシ</t>
    </rPh>
    <rPh sb="3" eb="4">
      <t>オサム</t>
    </rPh>
    <phoneticPr fontId="5"/>
  </si>
  <si>
    <t>Annual income</t>
    <phoneticPr fontId="5"/>
  </si>
  <si>
    <t>申請人等作成用 ３　　Ｐ　（「留学」）</t>
    <rPh sb="0" eb="3">
      <t>シンセイニン</t>
    </rPh>
    <rPh sb="3" eb="6">
      <t>トウサクセイ</t>
    </rPh>
    <rPh sb="6" eb="7">
      <t>ヨウ</t>
    </rPh>
    <rPh sb="15" eb="17">
      <t>リュウガク</t>
    </rPh>
    <phoneticPr fontId="5"/>
  </si>
  <si>
    <r>
      <t xml:space="preserve">For applicant, part </t>
    </r>
    <r>
      <rPr>
        <sz val="9"/>
        <rFont val="ＭＳ Ｐゴシック"/>
        <family val="3"/>
        <charset val="128"/>
      </rPr>
      <t>３Ｐ</t>
    </r>
    <r>
      <rPr>
        <sz val="9"/>
        <rFont val="Arial Narrow"/>
        <family val="2"/>
      </rPr>
      <t xml:space="preserve"> ("Student")                                                   </t>
    </r>
    <phoneticPr fontId="5"/>
  </si>
  <si>
    <r>
      <t>(4)申請人との関係</t>
    </r>
    <r>
      <rPr>
        <sz val="10"/>
        <color indexed="8"/>
        <rFont val="ＭＳ Ｐ明朝"/>
        <family val="1"/>
        <charset val="128"/>
      </rPr>
      <t xml:space="preserve"> </t>
    </r>
    <r>
      <rPr>
        <sz val="9"/>
        <color indexed="8"/>
        <rFont val="ＭＳ Ｐ明朝"/>
        <family val="1"/>
        <charset val="128"/>
      </rPr>
      <t>（上記(1)で在外経費支弁者負担又は在日経費支弁者負担を選択した場合に記入）</t>
    </r>
    <rPh sb="3" eb="6">
      <t>シンセイニン</t>
    </rPh>
    <rPh sb="8" eb="10">
      <t>カンケイ</t>
    </rPh>
    <rPh sb="18" eb="20">
      <t>ザイガイ</t>
    </rPh>
    <rPh sb="20" eb="22">
      <t>ケイヒ</t>
    </rPh>
    <rPh sb="22" eb="24">
      <t>シベン</t>
    </rPh>
    <rPh sb="24" eb="25">
      <t>シャ</t>
    </rPh>
    <rPh sb="25" eb="27">
      <t>フタン</t>
    </rPh>
    <rPh sb="27" eb="28">
      <t>マタ</t>
    </rPh>
    <phoneticPr fontId="5"/>
  </si>
  <si>
    <t>Relationship with the applicant (Check one of the followings when your answer to the question 26(1) is supporter living abroad or Japan.)</t>
    <phoneticPr fontId="5"/>
  </si>
  <si>
    <t>夫</t>
  </si>
  <si>
    <t>妻</t>
  </si>
  <si>
    <t>父</t>
  </si>
  <si>
    <t>母</t>
  </si>
  <si>
    <t>祖父</t>
    <phoneticPr fontId="5"/>
  </si>
  <si>
    <t>祖母</t>
  </si>
  <si>
    <t>養父</t>
  </si>
  <si>
    <t>養母</t>
  </si>
  <si>
    <t>Husband</t>
    <phoneticPr fontId="5"/>
  </si>
  <si>
    <t>Wife</t>
    <phoneticPr fontId="5"/>
  </si>
  <si>
    <t>Father</t>
    <phoneticPr fontId="5"/>
  </si>
  <si>
    <t>Mother</t>
    <phoneticPr fontId="5"/>
  </si>
  <si>
    <t>Grandfather</t>
    <phoneticPr fontId="5"/>
  </si>
  <si>
    <t>Grandmother</t>
    <phoneticPr fontId="5"/>
  </si>
  <si>
    <t>Foster father</t>
    <phoneticPr fontId="5"/>
  </si>
  <si>
    <t>Foster mother</t>
    <phoneticPr fontId="5"/>
  </si>
  <si>
    <t>兄弟姉妹</t>
  </si>
  <si>
    <t>□</t>
    <phoneticPr fontId="5"/>
  </si>
  <si>
    <t>受入教育機関</t>
  </si>
  <si>
    <t>友人・知人</t>
  </si>
  <si>
    <t>Brother / Sister</t>
    <phoneticPr fontId="5"/>
  </si>
  <si>
    <t>Uncle / Aunt</t>
    <phoneticPr fontId="5"/>
  </si>
  <si>
    <t>Educational institute</t>
    <phoneticPr fontId="5"/>
  </si>
  <si>
    <t>Friend / Acquaintance</t>
    <phoneticPr fontId="5"/>
  </si>
  <si>
    <t>友人・知人の親族</t>
  </si>
  <si>
    <t>取引関係者・現地企業等職員</t>
  </si>
  <si>
    <t>Relative of friend / acquaintance</t>
    <phoneticPr fontId="5"/>
  </si>
  <si>
    <t>Business connection / Personnel of local enterprise</t>
    <phoneticPr fontId="5"/>
  </si>
  <si>
    <t>□</t>
    <phoneticPr fontId="5"/>
  </si>
  <si>
    <t>取引関係者・現地企業等職員の親族</t>
  </si>
  <si>
    <t>その他 （</t>
  </si>
  <si>
    <t>）</t>
    <phoneticPr fontId="5"/>
  </si>
  <si>
    <t>Relative of business connection / personnel of local enterprise</t>
    <phoneticPr fontId="5"/>
  </si>
  <si>
    <t>Others</t>
    <phoneticPr fontId="5"/>
  </si>
  <si>
    <t>(5)奨学金支給機関 （上記(1)で奨学金を選択した場合に記入）</t>
    <rPh sb="3" eb="6">
      <t>ショウガクキン</t>
    </rPh>
    <rPh sb="6" eb="8">
      <t>シキュウ</t>
    </rPh>
    <rPh sb="8" eb="10">
      <t>キカン</t>
    </rPh>
    <rPh sb="12" eb="14">
      <t>ジョウキ</t>
    </rPh>
    <rPh sb="18" eb="21">
      <t>ショウガクキン</t>
    </rPh>
    <rPh sb="22" eb="24">
      <t>センタク</t>
    </rPh>
    <rPh sb="26" eb="28">
      <t>バアイ</t>
    </rPh>
    <rPh sb="29" eb="31">
      <t>キニュウ</t>
    </rPh>
    <phoneticPr fontId="5"/>
  </si>
  <si>
    <t>Organization which provide scholarship (Check one of the following when the answer to the question 26(1) is scholarship)</t>
    <phoneticPr fontId="5"/>
  </si>
  <si>
    <t>外国政府</t>
  </si>
  <si>
    <t>日本国政府</t>
  </si>
  <si>
    <t>□</t>
    <phoneticPr fontId="5"/>
  </si>
  <si>
    <t>地方公共団体</t>
    <rPh sb="0" eb="2">
      <t>チホウ</t>
    </rPh>
    <rPh sb="2" eb="4">
      <t>コウキョウ</t>
    </rPh>
    <rPh sb="4" eb="6">
      <t>ダンタイ</t>
    </rPh>
    <phoneticPr fontId="30"/>
  </si>
  <si>
    <t>Foreign government</t>
    <phoneticPr fontId="5"/>
  </si>
  <si>
    <t>Japanese government</t>
    <phoneticPr fontId="5"/>
  </si>
  <si>
    <t>Local government</t>
    <phoneticPr fontId="5"/>
  </si>
  <si>
    <t>公益社団法人又は公益財団法人 （</t>
    <rPh sb="2" eb="4">
      <t>シャダン</t>
    </rPh>
    <rPh sb="6" eb="7">
      <t>マタ</t>
    </rPh>
    <rPh sb="8" eb="10">
      <t>コウエキ</t>
    </rPh>
    <rPh sb="10" eb="12">
      <t>ザイダン</t>
    </rPh>
    <rPh sb="12" eb="14">
      <t>ホウジン</t>
    </rPh>
    <phoneticPr fontId="30"/>
  </si>
  <si>
    <t>)</t>
    <phoneticPr fontId="30"/>
  </si>
  <si>
    <t>その他 （ 　　　　　　　　　　　　　　 　）</t>
    <phoneticPr fontId="30"/>
  </si>
  <si>
    <t>Public interest incorporated association /</t>
    <phoneticPr fontId="5"/>
  </si>
  <si>
    <t>Public interest incorporated foundation</t>
    <phoneticPr fontId="5"/>
  </si>
  <si>
    <t>27　卒業後の予定</t>
    <rPh sb="3" eb="6">
      <t>ソツギョウゴ</t>
    </rPh>
    <rPh sb="7" eb="9">
      <t>ヨテイ</t>
    </rPh>
    <phoneticPr fontId="5"/>
  </si>
  <si>
    <t>Plans after graduation</t>
    <phoneticPr fontId="5"/>
  </si>
  <si>
    <t>帰　国</t>
  </si>
  <si>
    <t>日本での進学</t>
  </si>
  <si>
    <t>Return to home country</t>
    <phoneticPr fontId="5"/>
  </si>
  <si>
    <t>Enter school of higher education in Japan</t>
    <phoneticPr fontId="5"/>
  </si>
  <si>
    <t>日本での就職</t>
  </si>
  <si>
    <t>）</t>
    <phoneticPr fontId="5"/>
  </si>
  <si>
    <t>Find work in Japan</t>
    <phoneticPr fontId="5"/>
  </si>
  <si>
    <t>28　申請人，法定代理人，法第７条の２第２項に規定する代理人</t>
    <rPh sb="3" eb="6">
      <t>シンセイニン</t>
    </rPh>
    <rPh sb="7" eb="9">
      <t>ホウテイ</t>
    </rPh>
    <rPh sb="9" eb="12">
      <t>ダイリニン</t>
    </rPh>
    <rPh sb="13" eb="14">
      <t>ホウ</t>
    </rPh>
    <rPh sb="14" eb="15">
      <t>ダイ</t>
    </rPh>
    <rPh sb="16" eb="17">
      <t>ジョウ</t>
    </rPh>
    <rPh sb="19" eb="20">
      <t>ダイ</t>
    </rPh>
    <rPh sb="21" eb="22">
      <t>コウ</t>
    </rPh>
    <rPh sb="23" eb="25">
      <t>キテイ</t>
    </rPh>
    <rPh sb="27" eb="30">
      <t>ダイリニン</t>
    </rPh>
    <phoneticPr fontId="5"/>
  </si>
  <si>
    <t>Applicant, legal representative or the authorized representative, prescribed in Paragraph 2 of Article 7-2.</t>
    <phoneticPr fontId="5"/>
  </si>
  <si>
    <t>(1)氏　名</t>
    <rPh sb="3" eb="4">
      <t>シ</t>
    </rPh>
    <rPh sb="5" eb="6">
      <t>メイ</t>
    </rPh>
    <phoneticPr fontId="5"/>
  </si>
  <si>
    <t>(2)本人との関係</t>
    <rPh sb="3" eb="5">
      <t>ホンニン</t>
    </rPh>
    <rPh sb="7" eb="9">
      <t>カンケイ</t>
    </rPh>
    <phoneticPr fontId="5"/>
  </si>
  <si>
    <t>日本語学校担当者</t>
    <rPh sb="0" eb="3">
      <t>ニホンゴ</t>
    </rPh>
    <rPh sb="3" eb="5">
      <t>ガッコウ</t>
    </rPh>
    <rPh sb="5" eb="8">
      <t>タントウシャ</t>
    </rPh>
    <phoneticPr fontId="5"/>
  </si>
  <si>
    <t>Name</t>
    <phoneticPr fontId="5"/>
  </si>
  <si>
    <t>Relationship with the applicant</t>
    <phoneticPr fontId="5"/>
  </si>
  <si>
    <t>(3)住　所</t>
    <rPh sb="3" eb="4">
      <t>ジュウ</t>
    </rPh>
    <rPh sb="5" eb="6">
      <t>ショ</t>
    </rPh>
    <phoneticPr fontId="5"/>
  </si>
  <si>
    <t>Address</t>
    <phoneticPr fontId="5"/>
  </si>
  <si>
    <t>Telephone No.</t>
    <phoneticPr fontId="5"/>
  </si>
  <si>
    <t>Cellular Phone No.</t>
    <phoneticPr fontId="5"/>
  </si>
  <si>
    <t>以上の記載内容は事実と相違ありません。</t>
    <rPh sb="0" eb="2">
      <t>イジョウ</t>
    </rPh>
    <rPh sb="3" eb="5">
      <t>キサイ</t>
    </rPh>
    <rPh sb="5" eb="7">
      <t>ナイヨウ</t>
    </rPh>
    <rPh sb="8" eb="10">
      <t>ジジツ</t>
    </rPh>
    <rPh sb="11" eb="13">
      <t>ソウイ</t>
    </rPh>
    <phoneticPr fontId="5"/>
  </si>
  <si>
    <t xml:space="preserve">I hereby declare that the statement given above is true and correct. </t>
    <phoneticPr fontId="5"/>
  </si>
  <si>
    <t>申請人（代理人）の署名 / 申請書作成年月日</t>
    <rPh sb="0" eb="3">
      <t>シンセイニン</t>
    </rPh>
    <rPh sb="4" eb="7">
      <t>ダイリニン</t>
    </rPh>
    <rPh sb="9" eb="11">
      <t>ショメイ</t>
    </rPh>
    <rPh sb="14" eb="17">
      <t>シンセイショ</t>
    </rPh>
    <rPh sb="17" eb="19">
      <t>サクセイ</t>
    </rPh>
    <rPh sb="19" eb="22">
      <t>ネンガッピ</t>
    </rPh>
    <phoneticPr fontId="5"/>
  </si>
  <si>
    <t>Signature of the applicant (representative) / Date of filling in this form</t>
    <phoneticPr fontId="5"/>
  </si>
  <si>
    <t>Day</t>
    <phoneticPr fontId="5"/>
  </si>
  <si>
    <t>注 意</t>
    <rPh sb="0" eb="1">
      <t>チュウ</t>
    </rPh>
    <rPh sb="2" eb="3">
      <t>イ</t>
    </rPh>
    <phoneticPr fontId="3"/>
  </si>
  <si>
    <t>申請書作成後申請までに記載内容に変更が生じた場合，申請人（代理人）が変更箇所を訂正し，署名すること。</t>
    <rPh sb="0" eb="3">
      <t>シンセイショ</t>
    </rPh>
    <rPh sb="3" eb="5">
      <t>サクセイ</t>
    </rPh>
    <rPh sb="5" eb="6">
      <t>ゴ</t>
    </rPh>
    <rPh sb="6" eb="8">
      <t>シンセイ</t>
    </rPh>
    <rPh sb="11" eb="13">
      <t>キサイ</t>
    </rPh>
    <rPh sb="13" eb="15">
      <t>ナイヨウ</t>
    </rPh>
    <rPh sb="16" eb="18">
      <t>ヘンコウ</t>
    </rPh>
    <rPh sb="19" eb="20">
      <t>ショウ</t>
    </rPh>
    <rPh sb="22" eb="24">
      <t>バアイ</t>
    </rPh>
    <rPh sb="25" eb="28">
      <t>シンセイニン</t>
    </rPh>
    <rPh sb="29" eb="32">
      <t>ダイリニン</t>
    </rPh>
    <rPh sb="34" eb="36">
      <t>ヘンコウ</t>
    </rPh>
    <rPh sb="36" eb="38">
      <t>カショ</t>
    </rPh>
    <rPh sb="39" eb="41">
      <t>テイセイ</t>
    </rPh>
    <rPh sb="43" eb="45">
      <t>ショメイ</t>
    </rPh>
    <phoneticPr fontId="3"/>
  </si>
  <si>
    <t>Attention</t>
  </si>
  <si>
    <t>In cases where descriptions have changed after filling in this application form up until submission of this application,  the applicant</t>
    <phoneticPr fontId="30"/>
  </si>
  <si>
    <t>(representative) must correct the part concerned and sign their name.</t>
    <phoneticPr fontId="30"/>
  </si>
  <si>
    <t>29　取次者　</t>
    <rPh sb="3" eb="6">
      <t>トリツギシャ</t>
    </rPh>
    <phoneticPr fontId="5"/>
  </si>
  <si>
    <t>Agent or other authorized person</t>
  </si>
  <si>
    <t>(2)住　所</t>
    <rPh sb="3" eb="4">
      <t>ジュウ</t>
    </rPh>
    <rPh sb="5" eb="6">
      <t>ショ</t>
    </rPh>
    <phoneticPr fontId="5"/>
  </si>
  <si>
    <t>Address</t>
    <phoneticPr fontId="5"/>
  </si>
  <si>
    <t>(3)所属機関等</t>
    <rPh sb="3" eb="5">
      <t>ショゾク</t>
    </rPh>
    <rPh sb="5" eb="7">
      <t>キカン</t>
    </rPh>
    <rPh sb="7" eb="8">
      <t>トウ</t>
    </rPh>
    <phoneticPr fontId="5"/>
  </si>
  <si>
    <t>Organization to which the agent belongs</t>
    <phoneticPr fontId="5"/>
  </si>
  <si>
    <t>所属機関等作成用 １　　　Ｐ　（「留学」）</t>
    <rPh sb="0" eb="2">
      <t>ショゾク</t>
    </rPh>
    <rPh sb="2" eb="4">
      <t>キカン</t>
    </rPh>
    <rPh sb="4" eb="5">
      <t>トウ</t>
    </rPh>
    <rPh sb="5" eb="7">
      <t>サクセイ</t>
    </rPh>
    <rPh sb="7" eb="8">
      <t>ヨウ</t>
    </rPh>
    <rPh sb="17" eb="19">
      <t>リュウガク</t>
    </rPh>
    <phoneticPr fontId="5"/>
  </si>
  <si>
    <t>For organization, part 1  P ("Student")</t>
    <phoneticPr fontId="5"/>
  </si>
  <si>
    <t xml:space="preserve">    For certificate of eligibility</t>
    <phoneticPr fontId="5"/>
  </si>
  <si>
    <t>1　入学する外国人の氏名</t>
    <rPh sb="2" eb="4">
      <t>ニュウガク</t>
    </rPh>
    <rPh sb="6" eb="9">
      <t>ガイコクジン</t>
    </rPh>
    <rPh sb="10" eb="12">
      <t>シメイ</t>
    </rPh>
    <phoneticPr fontId="5"/>
  </si>
  <si>
    <t>Name of the foreigner to enter school</t>
    <phoneticPr fontId="5"/>
  </si>
  <si>
    <t>2　通学先</t>
    <rPh sb="2" eb="4">
      <t>ツウガク</t>
    </rPh>
    <rPh sb="4" eb="5">
      <t>サキ</t>
    </rPh>
    <phoneticPr fontId="5"/>
  </si>
  <si>
    <t>Place of Study</t>
    <phoneticPr fontId="5"/>
  </si>
  <si>
    <t>(1)学校名</t>
    <rPh sb="3" eb="6">
      <t>ガッコウメイ</t>
    </rPh>
    <phoneticPr fontId="5"/>
  </si>
  <si>
    <t>Name of School</t>
    <phoneticPr fontId="5"/>
  </si>
  <si>
    <t>Address</t>
    <phoneticPr fontId="5"/>
  </si>
  <si>
    <t>Telephone No.</t>
    <phoneticPr fontId="5"/>
  </si>
  <si>
    <t>(3)学校の種類</t>
    <rPh sb="3" eb="5">
      <t>ガッコウ</t>
    </rPh>
    <rPh sb="6" eb="8">
      <t>シュルイ</t>
    </rPh>
    <phoneticPr fontId="5"/>
  </si>
  <si>
    <t>Classification of school</t>
    <phoneticPr fontId="5"/>
  </si>
  <si>
    <t>□</t>
    <phoneticPr fontId="5"/>
  </si>
  <si>
    <t>大学院</t>
  </si>
  <si>
    <t>□</t>
    <phoneticPr fontId="5"/>
  </si>
  <si>
    <t>大学</t>
  </si>
  <si>
    <t>短期大学</t>
  </si>
  <si>
    <t>専修学校（日本語教育以外）</t>
  </si>
  <si>
    <t>Graduate school</t>
    <phoneticPr fontId="5"/>
  </si>
  <si>
    <t>University</t>
    <phoneticPr fontId="5"/>
  </si>
  <si>
    <t>Junior college</t>
    <phoneticPr fontId="5"/>
  </si>
  <si>
    <t>Advanced vocational school (except Japanese language school)</t>
    <phoneticPr fontId="5"/>
  </si>
  <si>
    <t>各種学校（日本語教育以外）</t>
  </si>
  <si>
    <t>日本語教育機関</t>
  </si>
  <si>
    <t>Vocational school (except Japanese language school)</t>
    <phoneticPr fontId="5"/>
  </si>
  <si>
    <t>Japanese language institution</t>
    <phoneticPr fontId="5"/>
  </si>
  <si>
    <t xml:space="preserve">その他 </t>
    <phoneticPr fontId="5"/>
  </si>
  <si>
    <t>（</t>
    <phoneticPr fontId="5"/>
  </si>
  <si>
    <t>）</t>
    <phoneticPr fontId="5"/>
  </si>
  <si>
    <t>Senior high school</t>
    <phoneticPr fontId="5"/>
  </si>
  <si>
    <t>Others</t>
    <phoneticPr fontId="5"/>
  </si>
  <si>
    <t>(4)授業形態</t>
    <rPh sb="3" eb="5">
      <t>ジュギョウ</t>
    </rPh>
    <rPh sb="5" eb="7">
      <t>ケイタイ</t>
    </rPh>
    <phoneticPr fontId="5"/>
  </si>
  <si>
    <t>Type of class</t>
    <phoneticPr fontId="5"/>
  </si>
  <si>
    <t>昼間制</t>
  </si>
  <si>
    <t>昼夜間制</t>
  </si>
  <si>
    <t>夜間制</t>
  </si>
  <si>
    <t>Day classes</t>
    <phoneticPr fontId="5"/>
  </si>
  <si>
    <t>Day-Evening classes</t>
    <phoneticPr fontId="5"/>
  </si>
  <si>
    <t>Evening classes</t>
    <phoneticPr fontId="5"/>
  </si>
  <si>
    <t>サテライト制 （双方向通信による遠隔授業を受ける場合に記入）</t>
    <rPh sb="8" eb="11">
      <t>ソウホウコウ</t>
    </rPh>
    <rPh sb="11" eb="13">
      <t>ツウシン</t>
    </rPh>
    <rPh sb="16" eb="18">
      <t>エンカク</t>
    </rPh>
    <rPh sb="18" eb="20">
      <t>ジュギョウ</t>
    </rPh>
    <rPh sb="21" eb="22">
      <t>ウ</t>
    </rPh>
    <rPh sb="24" eb="26">
      <t>バアイ</t>
    </rPh>
    <rPh sb="27" eb="29">
      <t>キニュウ</t>
    </rPh>
    <phoneticPr fontId="30"/>
  </si>
  <si>
    <t>Satellite program (fill in this box when attending remote classes that use two-way communication.)</t>
    <phoneticPr fontId="5"/>
  </si>
  <si>
    <t>通信制 （単位の一部をビデオ又はインターネット等による教育により取得できる場合を含む）</t>
  </si>
  <si>
    <t>Correspondence course (including cases receiving credits for education via video or internet)</t>
    <phoneticPr fontId="5"/>
  </si>
  <si>
    <t>(5)教育を受ける校舎の所在地</t>
    <rPh sb="3" eb="5">
      <t>キョウイク</t>
    </rPh>
    <rPh sb="6" eb="7">
      <t>ウ</t>
    </rPh>
    <rPh sb="9" eb="11">
      <t>コウシャ</t>
    </rPh>
    <rPh sb="12" eb="15">
      <t>ショザイチ</t>
    </rPh>
    <phoneticPr fontId="5"/>
  </si>
  <si>
    <t>Address of the school where the applicant will be educated</t>
    <phoneticPr fontId="5"/>
  </si>
  <si>
    <t>(6)生活指導担当者名 （通学先が専修学校又は各種学校の場合に記入）</t>
    <rPh sb="3" eb="5">
      <t>セイカツ</t>
    </rPh>
    <rPh sb="5" eb="7">
      <t>シドウ</t>
    </rPh>
    <rPh sb="7" eb="11">
      <t>タントウシャメイ</t>
    </rPh>
    <rPh sb="13" eb="15">
      <t>ツウガク</t>
    </rPh>
    <rPh sb="15" eb="16">
      <t>サキ</t>
    </rPh>
    <rPh sb="17" eb="19">
      <t>センシュウ</t>
    </rPh>
    <rPh sb="19" eb="21">
      <t>ガッコウ</t>
    </rPh>
    <rPh sb="21" eb="22">
      <t>マタ</t>
    </rPh>
    <rPh sb="23" eb="25">
      <t>カクシュ</t>
    </rPh>
    <rPh sb="25" eb="27">
      <t>ガッコウ</t>
    </rPh>
    <rPh sb="28" eb="30">
      <t>バアイ</t>
    </rPh>
    <rPh sb="31" eb="33">
      <t>キニュウ</t>
    </rPh>
    <phoneticPr fontId="5"/>
  </si>
  <si>
    <t>Name of the resident adviser in Japan (in case that the place of study is an advanced vocational school or vocational school.)</t>
    <phoneticPr fontId="5"/>
  </si>
  <si>
    <t>(7)学生交換計画の有無及び当該計画の策定主体 (通学先が高等学校の場合に記入）</t>
    <rPh sb="3" eb="5">
      <t>ガクセイ</t>
    </rPh>
    <rPh sb="5" eb="7">
      <t>コウカン</t>
    </rPh>
    <rPh sb="7" eb="9">
      <t>ケイカク</t>
    </rPh>
    <rPh sb="10" eb="12">
      <t>ウム</t>
    </rPh>
    <rPh sb="12" eb="13">
      <t>オヨ</t>
    </rPh>
    <rPh sb="14" eb="16">
      <t>トウガイ</t>
    </rPh>
    <rPh sb="16" eb="18">
      <t>ケイカク</t>
    </rPh>
    <rPh sb="19" eb="21">
      <t>サクテイ</t>
    </rPh>
    <rPh sb="21" eb="23">
      <t>シュタイ</t>
    </rPh>
    <rPh sb="25" eb="27">
      <t>ツウガク</t>
    </rPh>
    <rPh sb="27" eb="28">
      <t>サキ</t>
    </rPh>
    <rPh sb="29" eb="31">
      <t>コウトウ</t>
    </rPh>
    <rPh sb="31" eb="33">
      <t>ガッコウ</t>
    </rPh>
    <rPh sb="34" eb="36">
      <t>バアイ</t>
    </rPh>
    <rPh sb="37" eb="39">
      <t>キニュウ</t>
    </rPh>
    <phoneticPr fontId="5"/>
  </si>
  <si>
    <t>Is the applicant participating in a student exchange program? Which organization is in charge of that program? (when the place of study is senior high school.)</t>
    <phoneticPr fontId="30"/>
  </si>
  <si>
    <t>Yes / No</t>
    <phoneticPr fontId="5"/>
  </si>
  <si>
    <t>国又は地方公共団体の機関</t>
  </si>
  <si>
    <t>独立行政法人</t>
  </si>
  <si>
    <t>国立大学法人</t>
    <rPh sb="0" eb="2">
      <t>コクリツ</t>
    </rPh>
    <rPh sb="2" eb="4">
      <t>ダイガク</t>
    </rPh>
    <rPh sb="4" eb="6">
      <t>ホウジン</t>
    </rPh>
    <phoneticPr fontId="30"/>
  </si>
  <si>
    <t>学校法人</t>
  </si>
  <si>
    <t>National or local government</t>
    <phoneticPr fontId="5"/>
  </si>
  <si>
    <t>Incorporated administrative agency</t>
    <phoneticPr fontId="5"/>
  </si>
  <si>
    <t>National university corporation</t>
    <phoneticPr fontId="5"/>
  </si>
  <si>
    <t>Educational foundation</t>
    <phoneticPr fontId="5"/>
  </si>
  <si>
    <t>公益社団法人又は公益財団法人</t>
    <rPh sb="0" eb="2">
      <t>コウエキ</t>
    </rPh>
    <rPh sb="2" eb="4">
      <t>シャダン</t>
    </rPh>
    <rPh sb="4" eb="6">
      <t>ホウジン</t>
    </rPh>
    <rPh sb="6" eb="7">
      <t>マタ</t>
    </rPh>
    <rPh sb="8" eb="10">
      <t>コウエキ</t>
    </rPh>
    <rPh sb="10" eb="12">
      <t>ザイダン</t>
    </rPh>
    <rPh sb="12" eb="14">
      <t>ホウジン</t>
    </rPh>
    <phoneticPr fontId="30"/>
  </si>
  <si>
    <t>）</t>
    <phoneticPr fontId="5"/>
  </si>
  <si>
    <t>Public interest incorporated association or public interest incorporated foundation</t>
    <phoneticPr fontId="5"/>
  </si>
  <si>
    <t>3　入学年月日</t>
    <rPh sb="2" eb="4">
      <t>ニュウガク</t>
    </rPh>
    <rPh sb="4" eb="7">
      <t>ネンガッピ</t>
    </rPh>
    <phoneticPr fontId="5"/>
  </si>
  <si>
    <t>Date of entrance</t>
    <phoneticPr fontId="5"/>
  </si>
  <si>
    <t>Year</t>
    <phoneticPr fontId="5"/>
  </si>
  <si>
    <t>Month</t>
    <phoneticPr fontId="5"/>
  </si>
  <si>
    <t>4　週間授業時間</t>
    <rPh sb="2" eb="4">
      <t>シュウカン</t>
    </rPh>
    <rPh sb="4" eb="6">
      <t>ジュギョウ</t>
    </rPh>
    <rPh sb="6" eb="8">
      <t>ジカン</t>
    </rPh>
    <phoneticPr fontId="5"/>
  </si>
  <si>
    <t>20時間</t>
    <rPh sb="2" eb="4">
      <t>ジカン</t>
    </rPh>
    <phoneticPr fontId="5"/>
  </si>
  <si>
    <t>Lesson hours per week</t>
    <phoneticPr fontId="5"/>
  </si>
  <si>
    <t>5　在籍区分</t>
    <rPh sb="2" eb="4">
      <t>ザイセキ</t>
    </rPh>
    <rPh sb="4" eb="6">
      <t>クブン</t>
    </rPh>
    <phoneticPr fontId="5"/>
  </si>
  <si>
    <t>Registration</t>
    <phoneticPr fontId="5"/>
  </si>
  <si>
    <t>大学院 （博士）</t>
  </si>
  <si>
    <t>大学院 （修士）</t>
  </si>
  <si>
    <t>大学院 （研究生）</t>
  </si>
  <si>
    <t>Doctor</t>
    <phoneticPr fontId="5"/>
  </si>
  <si>
    <t>Master</t>
    <phoneticPr fontId="5"/>
  </si>
  <si>
    <t>Graduate school (Research student)</t>
    <phoneticPr fontId="5"/>
  </si>
  <si>
    <t>大学 （学部生）</t>
  </si>
  <si>
    <t>大学 （聴講生・科目等履修生）</t>
  </si>
  <si>
    <t>大学 （研究生）</t>
  </si>
  <si>
    <t>Undergraduate student</t>
    <phoneticPr fontId="5"/>
  </si>
  <si>
    <t>University (Auditor elective course student)</t>
    <phoneticPr fontId="5"/>
  </si>
  <si>
    <t>University (Research student)</t>
    <phoneticPr fontId="5"/>
  </si>
  <si>
    <t>大学 （別科生）</t>
  </si>
  <si>
    <t>University (Japanese language course student)</t>
    <phoneticPr fontId="5"/>
  </si>
  <si>
    <t>短期大学 （学科生）</t>
    <phoneticPr fontId="30"/>
  </si>
  <si>
    <t>□</t>
    <phoneticPr fontId="5"/>
  </si>
  <si>
    <t>短期大学(聴講生・科目等履修生)</t>
    <phoneticPr fontId="30"/>
  </si>
  <si>
    <t>短期大学 （別科生）</t>
  </si>
  <si>
    <t>Junior college (Traditional student)</t>
    <phoneticPr fontId="5"/>
  </si>
  <si>
    <t>Junior college (Auditor elective course student)</t>
    <phoneticPr fontId="5"/>
  </si>
  <si>
    <t>Junior college (Japanese language course student)</t>
    <phoneticPr fontId="5"/>
  </si>
  <si>
    <t>高等専門学校</t>
  </si>
  <si>
    <t>Higher advanced professional school</t>
    <phoneticPr fontId="5"/>
  </si>
  <si>
    <t>専修学校 （専門課程）</t>
  </si>
  <si>
    <t>専修学校 （高等課程）</t>
  </si>
  <si>
    <t>専修学校 （一般課程）</t>
  </si>
  <si>
    <t>Advanced vocational school (Specialized course)</t>
    <phoneticPr fontId="5"/>
  </si>
  <si>
    <t>Advanced vocational school (Higher course)</t>
    <phoneticPr fontId="5"/>
  </si>
  <si>
    <t>Advanced vocational school (General course)</t>
    <phoneticPr fontId="5"/>
  </si>
  <si>
    <t>各種学校</t>
  </si>
  <si>
    <t>Vocational school</t>
    <phoneticPr fontId="5"/>
  </si>
  <si>
    <t>日本語教育機関 （専修学校専門課程）</t>
  </si>
  <si>
    <t>日本語教育機関 （準備教育課程）</t>
  </si>
  <si>
    <t>Japanese language institution (Advanced vocational school of specialized course)</t>
    <phoneticPr fontId="5"/>
  </si>
  <si>
    <t>Japanese language institution (Preparatory courses)</t>
    <phoneticPr fontId="5"/>
  </si>
  <si>
    <t>日本語教育機関 （その他）</t>
  </si>
  <si>
    <t>高等学校</t>
  </si>
  <si>
    <t>Japanese language institution (Others)</t>
    <phoneticPr fontId="5"/>
  </si>
  <si>
    <t>Senior high school</t>
    <phoneticPr fontId="5"/>
  </si>
  <si>
    <t>Others</t>
    <phoneticPr fontId="5"/>
  </si>
  <si>
    <t>所属機関等作成用 ２　　　Ｐ　（「留学」）</t>
    <rPh sb="0" eb="2">
      <t>ショゾク</t>
    </rPh>
    <rPh sb="2" eb="4">
      <t>キカン</t>
    </rPh>
    <rPh sb="4" eb="5">
      <t>トウ</t>
    </rPh>
    <rPh sb="5" eb="7">
      <t>サクセイ</t>
    </rPh>
    <rPh sb="7" eb="8">
      <t>ヨウ</t>
    </rPh>
    <rPh sb="17" eb="19">
      <t>リュウガク</t>
    </rPh>
    <phoneticPr fontId="5"/>
  </si>
  <si>
    <t>For organization, part 2  P ("Student")</t>
    <phoneticPr fontId="5"/>
  </si>
  <si>
    <t xml:space="preserve">   For certificate of eligibility</t>
    <phoneticPr fontId="5"/>
  </si>
  <si>
    <t xml:space="preserve">6　学部・課程 </t>
    <rPh sb="2" eb="4">
      <t>ガクブ</t>
    </rPh>
    <rPh sb="5" eb="7">
      <t>カテイ</t>
    </rPh>
    <phoneticPr fontId="5"/>
  </si>
  <si>
    <t>Faculty / Course</t>
    <phoneticPr fontId="5"/>
  </si>
  <si>
    <t>（5で大学院 （博士）～大学 （研究生），短期大学 （学科生），短期大学 （聴講生・科目等履修生）の場合に記入）</t>
    <phoneticPr fontId="5"/>
  </si>
  <si>
    <r>
      <t xml:space="preserve">(Check one of the followings when the answer to the question 5 is doctor </t>
    </r>
    <r>
      <rPr>
        <sz val="9"/>
        <rFont val="ＭＳ Ｐゴシック"/>
        <family val="3"/>
        <charset val="128"/>
      </rPr>
      <t>～</t>
    </r>
    <r>
      <rPr>
        <sz val="9"/>
        <rFont val="Arial Narrow"/>
        <family val="2"/>
      </rPr>
      <t xml:space="preserve"> university (research student), junior college (Traditional student), junior</t>
    </r>
    <phoneticPr fontId="30"/>
  </si>
  <si>
    <t>college (auditor elective course student).)</t>
    <phoneticPr fontId="30"/>
  </si>
  <si>
    <t>法学</t>
  </si>
  <si>
    <t>経済学</t>
  </si>
  <si>
    <t>政治学</t>
  </si>
  <si>
    <t>商学</t>
  </si>
  <si>
    <t>経営学</t>
  </si>
  <si>
    <t>文学</t>
  </si>
  <si>
    <t xml:space="preserve">Law </t>
    <phoneticPr fontId="5"/>
  </si>
  <si>
    <t>Politics</t>
    <phoneticPr fontId="5"/>
  </si>
  <si>
    <t>Commercial science</t>
  </si>
  <si>
    <t xml:space="preserve">  Business administration</t>
    <phoneticPr fontId="5"/>
  </si>
  <si>
    <t>Literature</t>
    <phoneticPr fontId="5"/>
  </si>
  <si>
    <t>語学</t>
  </si>
  <si>
    <t>社会学</t>
  </si>
  <si>
    <t>歴史学</t>
  </si>
  <si>
    <t>心理学</t>
  </si>
  <si>
    <t>教育学</t>
  </si>
  <si>
    <t>芸術学</t>
  </si>
  <si>
    <t>Linguistics</t>
    <phoneticPr fontId="5"/>
  </si>
  <si>
    <t>Sociology</t>
    <phoneticPr fontId="5"/>
  </si>
  <si>
    <t>History</t>
    <phoneticPr fontId="5"/>
  </si>
  <si>
    <t>Psychology</t>
    <phoneticPr fontId="5"/>
  </si>
  <si>
    <t>Education</t>
    <phoneticPr fontId="5"/>
  </si>
  <si>
    <t>Science of art</t>
    <phoneticPr fontId="5"/>
  </si>
  <si>
    <t>その他人文・社会科学 （</t>
  </si>
  <si>
    <t>理学</t>
  </si>
  <si>
    <t>化学</t>
  </si>
  <si>
    <t>工学</t>
  </si>
  <si>
    <t>Others(cultural science/ social science)</t>
    <phoneticPr fontId="5"/>
  </si>
  <si>
    <t>Science</t>
    <phoneticPr fontId="5"/>
  </si>
  <si>
    <t>Chemistry</t>
    <phoneticPr fontId="5"/>
  </si>
  <si>
    <t>Engineer</t>
    <phoneticPr fontId="5"/>
  </si>
  <si>
    <t>農学</t>
  </si>
  <si>
    <t>水産学</t>
  </si>
  <si>
    <t>薬学</t>
  </si>
  <si>
    <t>医学</t>
  </si>
  <si>
    <t>歯学</t>
  </si>
  <si>
    <t>Agriculture</t>
    <phoneticPr fontId="5"/>
  </si>
  <si>
    <t>Fisheries</t>
    <phoneticPr fontId="5"/>
  </si>
  <si>
    <t>Pharmacy</t>
    <phoneticPr fontId="5"/>
  </si>
  <si>
    <t>Medicine</t>
    <phoneticPr fontId="5"/>
  </si>
  <si>
    <t>Dentistry</t>
    <phoneticPr fontId="5"/>
  </si>
  <si>
    <t>その他自然科学 （</t>
  </si>
  <si>
    <t>体育学</t>
  </si>
  <si>
    <t>Others(natural science)</t>
    <phoneticPr fontId="5"/>
  </si>
  <si>
    <t>Sports science</t>
    <phoneticPr fontId="5"/>
  </si>
  <si>
    <t>7　専門課程名称 （5で高等専門学校～各種学校の場合に記入）</t>
    <rPh sb="2" eb="4">
      <t>センモン</t>
    </rPh>
    <rPh sb="4" eb="6">
      <t>カテイ</t>
    </rPh>
    <rPh sb="6" eb="8">
      <t>メイショウ</t>
    </rPh>
    <rPh sb="12" eb="14">
      <t>コウトウ</t>
    </rPh>
    <rPh sb="14" eb="16">
      <t>センモン</t>
    </rPh>
    <rPh sb="16" eb="18">
      <t>ガッコウ</t>
    </rPh>
    <rPh sb="19" eb="21">
      <t>カクシュ</t>
    </rPh>
    <rPh sb="21" eb="23">
      <t>ガッコウ</t>
    </rPh>
    <rPh sb="24" eb="26">
      <t>バアイ</t>
    </rPh>
    <rPh sb="27" eb="29">
      <t>キニュウ</t>
    </rPh>
    <phoneticPr fontId="5"/>
  </si>
  <si>
    <r>
      <t xml:space="preserve">Name of specialized course (Check of the followings when the answer to the question 5 is higher advanced professional school </t>
    </r>
    <r>
      <rPr>
        <sz val="8"/>
        <rFont val="ＭＳ Ｐゴシック"/>
        <family val="3"/>
        <charset val="128"/>
      </rPr>
      <t>～</t>
    </r>
    <r>
      <rPr>
        <sz val="8"/>
        <rFont val="Arial Narrow"/>
        <family val="2"/>
      </rPr>
      <t xml:space="preserve"> vocational school)</t>
    </r>
    <phoneticPr fontId="5"/>
  </si>
  <si>
    <t>工業</t>
  </si>
  <si>
    <t>農業</t>
  </si>
  <si>
    <t>医療・衛生</t>
  </si>
  <si>
    <t>教育・社会福祉</t>
  </si>
  <si>
    <t>法律</t>
  </si>
  <si>
    <t>Medical services / Hygienics</t>
    <phoneticPr fontId="5"/>
  </si>
  <si>
    <t>Education / Social welfare</t>
    <phoneticPr fontId="5"/>
  </si>
  <si>
    <t>Law</t>
    <phoneticPr fontId="5"/>
  </si>
  <si>
    <t>商業実務</t>
  </si>
  <si>
    <t>服飾・家政</t>
  </si>
  <si>
    <t>文化・教養</t>
  </si>
  <si>
    <t>Practical commercial business</t>
    <phoneticPr fontId="5"/>
  </si>
  <si>
    <t>Dress design / Home economics</t>
    <phoneticPr fontId="5"/>
  </si>
  <si>
    <t>Culture / Education</t>
    <phoneticPr fontId="5"/>
  </si>
  <si>
    <t>8　卒業までの所要年数</t>
    <rPh sb="2" eb="4">
      <t>ソツギョウ</t>
    </rPh>
    <rPh sb="7" eb="9">
      <t>ショヨウ</t>
    </rPh>
    <rPh sb="9" eb="11">
      <t>ネンスウ</t>
    </rPh>
    <phoneticPr fontId="5"/>
  </si>
  <si>
    <t>Period of education until graduation</t>
    <phoneticPr fontId="5"/>
  </si>
  <si>
    <t>Year(s)</t>
    <phoneticPr fontId="5"/>
  </si>
  <si>
    <t xml:space="preserve">I hereby declare that the statement given above is true and correct. </t>
    <phoneticPr fontId="5"/>
  </si>
  <si>
    <t>通学先又は所属機関，代表者氏名の記名及び押印 / 申請書作成年月日</t>
    <rPh sb="0" eb="2">
      <t>ツウガク</t>
    </rPh>
    <rPh sb="2" eb="3">
      <t>サキ</t>
    </rPh>
    <rPh sb="3" eb="4">
      <t>マタ</t>
    </rPh>
    <rPh sb="5" eb="7">
      <t>ショゾク</t>
    </rPh>
    <rPh sb="7" eb="9">
      <t>キカン</t>
    </rPh>
    <rPh sb="10" eb="13">
      <t>ダイヒョウシャ</t>
    </rPh>
    <rPh sb="13" eb="15">
      <t>シメイ</t>
    </rPh>
    <rPh sb="16" eb="18">
      <t>キメイ</t>
    </rPh>
    <rPh sb="18" eb="19">
      <t>オヨ</t>
    </rPh>
    <rPh sb="20" eb="22">
      <t>オウイン</t>
    </rPh>
    <rPh sb="25" eb="28">
      <t>シンセイショ</t>
    </rPh>
    <rPh sb="28" eb="30">
      <t>サクセイ</t>
    </rPh>
    <rPh sb="30" eb="33">
      <t>ネンガッピ</t>
    </rPh>
    <phoneticPr fontId="5"/>
  </si>
  <si>
    <t>Name of the place of study or organization and representative, and official seal of the organization / Date of filling in this form</t>
    <phoneticPr fontId="5"/>
  </si>
  <si>
    <t>印</t>
    <rPh sb="0" eb="1">
      <t>イン</t>
    </rPh>
    <phoneticPr fontId="5"/>
  </si>
  <si>
    <t>Seal</t>
    <phoneticPr fontId="5"/>
  </si>
  <si>
    <t>Year</t>
    <phoneticPr fontId="5"/>
  </si>
  <si>
    <t>Month</t>
    <phoneticPr fontId="5"/>
  </si>
  <si>
    <t>Day</t>
    <phoneticPr fontId="5"/>
  </si>
  <si>
    <t>注 意   Attention</t>
    <rPh sb="0" eb="1">
      <t>チュウ</t>
    </rPh>
    <rPh sb="2" eb="3">
      <t>イ</t>
    </rPh>
    <phoneticPr fontId="3"/>
  </si>
  <si>
    <t>申請書作成後申請までに記載内容に変更が生じた場合，所属機関等が変更箇所を訂正し，押印すること。</t>
    <rPh sb="0" eb="3">
      <t>シンセイショ</t>
    </rPh>
    <rPh sb="3" eb="5">
      <t>サクセイ</t>
    </rPh>
    <rPh sb="5" eb="6">
      <t>ゴ</t>
    </rPh>
    <rPh sb="6" eb="8">
      <t>シンセイ</t>
    </rPh>
    <rPh sb="11" eb="13">
      <t>キサイ</t>
    </rPh>
    <rPh sb="13" eb="15">
      <t>ナイヨウ</t>
    </rPh>
    <rPh sb="16" eb="18">
      <t>ヘンコウ</t>
    </rPh>
    <rPh sb="19" eb="20">
      <t>ショウ</t>
    </rPh>
    <rPh sb="22" eb="24">
      <t>バアイ</t>
    </rPh>
    <rPh sb="25" eb="27">
      <t>ショゾク</t>
    </rPh>
    <rPh sb="27" eb="30">
      <t>キカントウ</t>
    </rPh>
    <rPh sb="31" eb="33">
      <t>ヘンコウ</t>
    </rPh>
    <rPh sb="33" eb="35">
      <t>カショ</t>
    </rPh>
    <rPh sb="36" eb="38">
      <t>テイセイ</t>
    </rPh>
    <rPh sb="40" eb="42">
      <t>オウイン</t>
    </rPh>
    <phoneticPr fontId="3"/>
  </si>
  <si>
    <t>In cases where descriptions have changed after filling in this application form up until submission of this application,  the organization must correct the part</t>
    <phoneticPr fontId="30"/>
  </si>
  <si>
    <t>concerned and press its seal on the correction.</t>
    <phoneticPr fontId="30"/>
  </si>
  <si>
    <t>母</t>
    <rPh sb="0" eb="1">
      <t>ハハ</t>
    </rPh>
    <phoneticPr fontId="5"/>
  </si>
  <si>
    <t>回</t>
    <phoneticPr fontId="5"/>
  </si>
  <si>
    <t>Student</t>
    <phoneticPr fontId="5"/>
  </si>
  <si>
    <t>Trainee</t>
    <phoneticPr fontId="5"/>
  </si>
  <si>
    <t>夫
husband</t>
    <rPh sb="0" eb="1">
      <t>オット</t>
    </rPh>
    <phoneticPr fontId="5"/>
  </si>
  <si>
    <t>妻
wife</t>
    <rPh sb="0" eb="1">
      <t>ツマ</t>
    </rPh>
    <phoneticPr fontId="5"/>
  </si>
  <si>
    <t>Information about the jobs you have held.</t>
    <phoneticPr fontId="5"/>
  </si>
  <si>
    <t>不要</t>
    <rPh sb="0" eb="2">
      <t>フヨウ</t>
    </rPh>
    <phoneticPr fontId="5"/>
  </si>
  <si>
    <t>not needed</t>
    <phoneticPr fontId="5"/>
  </si>
  <si>
    <t>not completed</t>
    <phoneticPr fontId="5"/>
  </si>
  <si>
    <t>未終了</t>
    <rPh sb="0" eb="1">
      <t>ミ</t>
    </rPh>
    <rPh sb="1" eb="3">
      <t>シュウリョウ</t>
    </rPh>
    <phoneticPr fontId="5"/>
  </si>
  <si>
    <t>)</t>
    <phoneticPr fontId="5"/>
  </si>
  <si>
    <t>入寮申込書</t>
    <rPh sb="0" eb="2">
      <t>ニュウリョウ</t>
    </rPh>
    <rPh sb="2" eb="3">
      <t>モウ</t>
    </rPh>
    <rPh sb="3" eb="4">
      <t>コ</t>
    </rPh>
    <rPh sb="4" eb="5">
      <t>ショ</t>
    </rPh>
    <phoneticPr fontId="5"/>
  </si>
  <si>
    <t>Dormitory Reservation form</t>
    <phoneticPr fontId="5"/>
  </si>
  <si>
    <t xml:space="preserve">　　Full name in your </t>
    <phoneticPr fontId="5"/>
  </si>
  <si>
    <t xml:space="preserve">　　Full name as shown    </t>
    <phoneticPr fontId="5"/>
  </si>
  <si>
    <t xml:space="preserve">  　native language</t>
    <phoneticPr fontId="5"/>
  </si>
  <si>
    <t>　　in your passport</t>
    <phoneticPr fontId="5"/>
  </si>
  <si>
    <t xml:space="preserve"> 3. 性別　 </t>
    <phoneticPr fontId="5"/>
  </si>
  <si>
    <t xml:space="preserve"> 4. 生年月日</t>
    <phoneticPr fontId="5"/>
  </si>
  <si>
    <t xml:space="preserve">     Sex</t>
    <phoneticPr fontId="5"/>
  </si>
  <si>
    <t>Day</t>
    <phoneticPr fontId="5"/>
  </si>
  <si>
    <t xml:space="preserve"> 6. 国籍（地域）</t>
    <rPh sb="4" eb="6">
      <t>コクセキ</t>
    </rPh>
    <rPh sb="7" eb="9">
      <t>チイキ</t>
    </rPh>
    <phoneticPr fontId="5"/>
  </si>
  <si>
    <t xml:space="preserve">     Nationality ( Locality)</t>
    <phoneticPr fontId="5"/>
  </si>
  <si>
    <t xml:space="preserve">     </t>
    <phoneticPr fontId="5"/>
  </si>
  <si>
    <t xml:space="preserve"> 8. 寮の種類：</t>
    <rPh sb="4" eb="5">
      <t>リョウ</t>
    </rPh>
    <rPh sb="6" eb="8">
      <t>シュルイ</t>
    </rPh>
    <phoneticPr fontId="5"/>
  </si>
  <si>
    <t>1部屋に2人　（2.5万円／人）</t>
    <rPh sb="1" eb="3">
      <t>ヘヤ</t>
    </rPh>
    <rPh sb="5" eb="6">
      <t>ニン</t>
    </rPh>
    <rPh sb="11" eb="13">
      <t>マンエン</t>
    </rPh>
    <rPh sb="14" eb="15">
      <t>ヒト</t>
    </rPh>
    <phoneticPr fontId="5"/>
  </si>
  <si>
    <t>　  Dormitory type</t>
    <phoneticPr fontId="5"/>
  </si>
  <si>
    <t xml:space="preserve">    1 room for 2people (JPY 25,000／person)</t>
    <phoneticPr fontId="5"/>
  </si>
  <si>
    <t xml:space="preserve">     Bed clothes is not provided. You can buy a bedclothes set by 8,000yen if you need.</t>
    <phoneticPr fontId="5"/>
  </si>
  <si>
    <t xml:space="preserve">購入する </t>
    <rPh sb="0" eb="2">
      <t>コウニュウ</t>
    </rPh>
    <phoneticPr fontId="5"/>
  </si>
  <si>
    <t xml:space="preserve">購入しない </t>
    <rPh sb="0" eb="2">
      <t>コウニュウ</t>
    </rPh>
    <phoneticPr fontId="5"/>
  </si>
  <si>
    <t>　　Yes</t>
    <phoneticPr fontId="5"/>
  </si>
  <si>
    <t xml:space="preserve">    No</t>
    <phoneticPr fontId="5"/>
  </si>
  <si>
    <t>　注意事項</t>
    <rPh sb="1" eb="3">
      <t>チュウイ</t>
    </rPh>
    <rPh sb="3" eb="5">
      <t>ジコウ</t>
    </rPh>
    <phoneticPr fontId="5"/>
  </si>
  <si>
    <t xml:space="preserve">   Notice</t>
    <phoneticPr fontId="5"/>
  </si>
  <si>
    <t xml:space="preserve">       Students need to pay the water, electricity, and gas charges.</t>
    <phoneticPr fontId="5"/>
  </si>
  <si>
    <t xml:space="preserve">       Students must stay over 6months..</t>
    <phoneticPr fontId="5"/>
  </si>
  <si>
    <t xml:space="preserve">       After 6 months, students need to pay monthly.</t>
    <phoneticPr fontId="5"/>
  </si>
  <si>
    <t xml:space="preserve">     　Student needs to submit a "cancellation form"one month before leaving.</t>
  </si>
  <si>
    <t>Male</t>
  </si>
  <si>
    <t>Female</t>
  </si>
  <si>
    <t>　Given names</t>
  </si>
  <si>
    <t xml:space="preserve">Date of Birth </t>
    <phoneticPr fontId="5"/>
  </si>
  <si>
    <t>Year</t>
    <phoneticPr fontId="5"/>
  </si>
  <si>
    <t>　①新入生は原則として、入寮してください。特別な理由で入寮できない場合は、事務局まで相談してください。</t>
    <rPh sb="21" eb="23">
      <t>トクベツ</t>
    </rPh>
    <rPh sb="24" eb="26">
      <t>リユウ</t>
    </rPh>
    <rPh sb="27" eb="29">
      <t>ニュウリョウ</t>
    </rPh>
    <rPh sb="33" eb="35">
      <t>バアイ</t>
    </rPh>
    <rPh sb="37" eb="40">
      <t>ジムキョク</t>
    </rPh>
    <rPh sb="42" eb="44">
      <t>ソウダン</t>
    </rPh>
    <phoneticPr fontId="5"/>
  </si>
  <si>
    <t>　②寮生は寮規則を守る必要があります。守らない場合は、退寮させる場合があり、その際は寮費の返金はできません。</t>
    <rPh sb="2" eb="4">
      <t>リョウセイ</t>
    </rPh>
    <rPh sb="5" eb="6">
      <t>リョウ</t>
    </rPh>
    <rPh sb="6" eb="8">
      <t>キソク</t>
    </rPh>
    <rPh sb="9" eb="10">
      <t>マモ</t>
    </rPh>
    <rPh sb="11" eb="13">
      <t>ヒツヨウ</t>
    </rPh>
    <rPh sb="19" eb="20">
      <t>マモ</t>
    </rPh>
    <rPh sb="23" eb="25">
      <t>バアイ</t>
    </rPh>
    <rPh sb="27" eb="29">
      <t>タイリョウ</t>
    </rPh>
    <rPh sb="32" eb="34">
      <t>バアイ</t>
    </rPh>
    <rPh sb="40" eb="41">
      <t>サイ</t>
    </rPh>
    <rPh sb="42" eb="44">
      <t>リョウヒ</t>
    </rPh>
    <rPh sb="45" eb="47">
      <t>ヘンキン</t>
    </rPh>
    <phoneticPr fontId="5"/>
  </si>
  <si>
    <t xml:space="preserve">      If that case, they can't get the refund.</t>
    <phoneticPr fontId="5"/>
  </si>
  <si>
    <t>　③いずれの部屋も月額で、電気代、ガス代は各自負担。水道代は1000円/月が必要。</t>
    <rPh sb="6" eb="8">
      <t>ヘヤ</t>
    </rPh>
    <rPh sb="9" eb="11">
      <t>ゲツガク</t>
    </rPh>
    <rPh sb="13" eb="16">
      <t>デンキダイ</t>
    </rPh>
    <rPh sb="19" eb="20">
      <t>ダイ</t>
    </rPh>
    <rPh sb="21" eb="23">
      <t>カクジ</t>
    </rPh>
    <rPh sb="23" eb="25">
      <t>フタン</t>
    </rPh>
    <rPh sb="26" eb="28">
      <t>スイドウ</t>
    </rPh>
    <rPh sb="28" eb="29">
      <t>ダイ</t>
    </rPh>
    <rPh sb="34" eb="35">
      <t>エン</t>
    </rPh>
    <rPh sb="36" eb="37">
      <t>ツキ</t>
    </rPh>
    <rPh sb="38" eb="40">
      <t>ヒツヨウ</t>
    </rPh>
    <phoneticPr fontId="5"/>
  </si>
  <si>
    <t>　④入寮期間は、原則として６ヶ月以上とします。</t>
    <rPh sb="2" eb="4">
      <t>ニュウリョウ</t>
    </rPh>
    <rPh sb="4" eb="6">
      <t>キカン</t>
    </rPh>
    <rPh sb="8" eb="10">
      <t>ゲンソク</t>
    </rPh>
    <rPh sb="15" eb="16">
      <t>ゲツ</t>
    </rPh>
    <rPh sb="16" eb="18">
      <t>イジョウ</t>
    </rPh>
    <phoneticPr fontId="5"/>
  </si>
  <si>
    <t>　⑤寮費は、入寮時６カ月分、以降は１カ月ごとの前納です。</t>
    <rPh sb="2" eb="4">
      <t>リョウヒ</t>
    </rPh>
    <rPh sb="6" eb="8">
      <t>ニュウリョウ</t>
    </rPh>
    <rPh sb="8" eb="9">
      <t>ジ</t>
    </rPh>
    <rPh sb="11" eb="12">
      <t>ゲツ</t>
    </rPh>
    <rPh sb="12" eb="13">
      <t>ブン</t>
    </rPh>
    <rPh sb="14" eb="16">
      <t>イコウ</t>
    </rPh>
    <rPh sb="19" eb="20">
      <t>ゲツ</t>
    </rPh>
    <rPh sb="23" eb="25">
      <t>ゼンノウ</t>
    </rPh>
    <phoneticPr fontId="5"/>
  </si>
  <si>
    <t>　⑥寮を出るときは１か月前に退寮届を提出してください。</t>
    <rPh sb="2" eb="3">
      <t>リョウ</t>
    </rPh>
    <rPh sb="4" eb="5">
      <t>デ</t>
    </rPh>
    <rPh sb="11" eb="12">
      <t>ゲツ</t>
    </rPh>
    <rPh sb="12" eb="13">
      <t>マエ</t>
    </rPh>
    <rPh sb="14" eb="16">
      <t>タイリョウ</t>
    </rPh>
    <rPh sb="16" eb="17">
      <t>トド</t>
    </rPh>
    <rPh sb="18" eb="20">
      <t>テイシュツ</t>
    </rPh>
    <phoneticPr fontId="5"/>
  </si>
  <si>
    <t xml:space="preserve">       New students basicly have to stay in the dorm. If students can't stay in the dorm for the special reason, please consult us.</t>
  </si>
  <si>
    <t xml:space="preserve">       At the time of Entrance, students need to pay dorm charge of six months.</t>
  </si>
  <si>
    <t>　　 Students who stay in the dorm have to keep dorm rules. If they can't keep the rules, they may have to leave the dorm.</t>
    <phoneticPr fontId="5"/>
  </si>
  <si>
    <t>Place of employment/school</t>
    <phoneticPr fontId="5"/>
  </si>
  <si>
    <t>Place of employment/school</t>
    <phoneticPr fontId="5"/>
  </si>
  <si>
    <t>Residing together</t>
    <phoneticPr fontId="5"/>
  </si>
  <si>
    <t>義父
father in law</t>
    <rPh sb="0" eb="2">
      <t>ギフ</t>
    </rPh>
    <phoneticPr fontId="5"/>
  </si>
  <si>
    <t>義母
mother in law</t>
    <rPh sb="0" eb="2">
      <t>ギボ</t>
    </rPh>
    <phoneticPr fontId="5"/>
  </si>
  <si>
    <t>継母
Stepf Mother</t>
    <rPh sb="0" eb="2">
      <t>ママハハ</t>
    </rPh>
    <phoneticPr fontId="5"/>
  </si>
  <si>
    <t>継父
Step Father</t>
    <rPh sb="0" eb="2">
      <t>ケイフ</t>
    </rPh>
    <phoneticPr fontId="5"/>
  </si>
  <si>
    <t>在留資格</t>
    <rPh sb="0" eb="2">
      <t>ザイリュウ</t>
    </rPh>
    <rPh sb="2" eb="4">
      <t>シカク</t>
    </rPh>
    <phoneticPr fontId="5"/>
  </si>
  <si>
    <t>国籍</t>
    <rPh sb="0" eb="2">
      <t>コクセキ</t>
    </rPh>
    <phoneticPr fontId="5"/>
  </si>
  <si>
    <t>叔母・伯母
aunt</t>
    <rPh sb="0" eb="2">
      <t>オバ</t>
    </rPh>
    <rPh sb="3" eb="5">
      <t>オバ</t>
    </rPh>
    <phoneticPr fontId="5"/>
  </si>
  <si>
    <t>叔父・伯父
uncle</t>
    <rPh sb="0" eb="2">
      <t>オジ</t>
    </rPh>
    <rPh sb="3" eb="5">
      <t>オジ</t>
    </rPh>
    <phoneticPr fontId="5"/>
  </si>
  <si>
    <t>同居予定</t>
    <rPh sb="0" eb="2">
      <t>ドウキョ</t>
    </rPh>
    <rPh sb="2" eb="4">
      <t>ヨテイ</t>
    </rPh>
    <phoneticPr fontId="5"/>
  </si>
  <si>
    <t>性別</t>
    <rPh sb="0" eb="2">
      <t>セイベツ</t>
    </rPh>
    <phoneticPr fontId="5"/>
  </si>
  <si>
    <t>配偶者</t>
    <rPh sb="0" eb="3">
      <t>ハイグウシャ</t>
    </rPh>
    <phoneticPr fontId="5"/>
  </si>
  <si>
    <t>入出国歴</t>
    <rPh sb="0" eb="2">
      <t>ニュウシュツ</t>
    </rPh>
    <rPh sb="2" eb="3">
      <t>クニ</t>
    </rPh>
    <rPh sb="3" eb="4">
      <t>レキ</t>
    </rPh>
    <phoneticPr fontId="5"/>
  </si>
  <si>
    <t>犯罪</t>
    <rPh sb="0" eb="2">
      <t>ハンザイ</t>
    </rPh>
    <phoneticPr fontId="5"/>
  </si>
  <si>
    <t>状況</t>
    <rPh sb="0" eb="2">
      <t>ジョウキョウ</t>
    </rPh>
    <phoneticPr fontId="5"/>
  </si>
  <si>
    <t>Status</t>
    <phoneticPr fontId="5"/>
  </si>
  <si>
    <t>卒業
graduated</t>
    <rPh sb="0" eb="2">
      <t>ソツギョウ</t>
    </rPh>
    <phoneticPr fontId="5"/>
  </si>
  <si>
    <t>卒業見込
intend to graduate</t>
    <rPh sb="0" eb="2">
      <t>ソツギョウ</t>
    </rPh>
    <rPh sb="2" eb="4">
      <t>ミコ</t>
    </rPh>
    <phoneticPr fontId="5"/>
  </si>
  <si>
    <t>在学中
in school</t>
    <rPh sb="0" eb="3">
      <t>ザイガクチュウ</t>
    </rPh>
    <phoneticPr fontId="5"/>
  </si>
  <si>
    <t>卒業試験結果待ち
result waiting</t>
    <rPh sb="0" eb="2">
      <t>ソツギョウ</t>
    </rPh>
    <rPh sb="2" eb="4">
      <t>シケン</t>
    </rPh>
    <rPh sb="4" eb="6">
      <t>ケッカ</t>
    </rPh>
    <rPh sb="6" eb="7">
      <t>マ</t>
    </rPh>
    <phoneticPr fontId="5"/>
  </si>
  <si>
    <t>家族関係</t>
    <rPh sb="0" eb="2">
      <t>カゾク</t>
    </rPh>
    <rPh sb="2" eb="4">
      <t>カンケイ</t>
    </rPh>
    <phoneticPr fontId="5"/>
  </si>
  <si>
    <t>学歴状態</t>
    <rPh sb="0" eb="2">
      <t>ガクレキ</t>
    </rPh>
    <rPh sb="2" eb="4">
      <t>ジョウタイ</t>
    </rPh>
    <phoneticPr fontId="5"/>
  </si>
  <si>
    <t>母
Mother</t>
    <rPh sb="0" eb="1">
      <t>ハハ</t>
    </rPh>
    <phoneticPr fontId="5"/>
  </si>
  <si>
    <t>夫
Husband</t>
    <rPh sb="0" eb="1">
      <t>オット</t>
    </rPh>
    <phoneticPr fontId="5"/>
  </si>
  <si>
    <t>学校種別</t>
    <rPh sb="0" eb="2">
      <t>ガッコウ</t>
    </rPh>
    <rPh sb="2" eb="4">
      <t>シュベツ</t>
    </rPh>
    <phoneticPr fontId="5"/>
  </si>
  <si>
    <t>短期大学
Junior college</t>
    <rPh sb="0" eb="2">
      <t>タンキ</t>
    </rPh>
    <rPh sb="2" eb="4">
      <t>ダイガク</t>
    </rPh>
    <phoneticPr fontId="5"/>
  </si>
  <si>
    <t>中退
withdrawl</t>
    <rPh sb="0" eb="2">
      <t>チュウタイ</t>
    </rPh>
    <phoneticPr fontId="5"/>
  </si>
  <si>
    <t>大学院（修士課程)</t>
    <rPh sb="0" eb="3">
      <t>ダイガクイン</t>
    </rPh>
    <rPh sb="4" eb="6">
      <t>シュウシ</t>
    </rPh>
    <rPh sb="6" eb="8">
      <t>カテイ</t>
    </rPh>
    <phoneticPr fontId="5"/>
  </si>
  <si>
    <t>大学院（博士課程）</t>
    <rPh sb="0" eb="3">
      <t>ダイガクイン</t>
    </rPh>
    <rPh sb="4" eb="6">
      <t>ハクシ</t>
    </rPh>
    <rPh sb="6" eb="8">
      <t>カテイ</t>
    </rPh>
    <phoneticPr fontId="5"/>
  </si>
  <si>
    <t>Colleges of technology</t>
    <phoneticPr fontId="5"/>
  </si>
  <si>
    <t>University(Bachelor)</t>
    <phoneticPr fontId="5"/>
  </si>
  <si>
    <t>Junior college</t>
    <phoneticPr fontId="5"/>
  </si>
  <si>
    <t>After graduating from school, please explain your plan.</t>
    <phoneticPr fontId="5"/>
  </si>
  <si>
    <t>Technical college / Vocational college</t>
    <phoneticPr fontId="5"/>
  </si>
  <si>
    <t>Graduate School (Master)</t>
    <phoneticPr fontId="5"/>
  </si>
  <si>
    <t>Graduate School (Doctorr)</t>
    <phoneticPr fontId="5"/>
  </si>
  <si>
    <t>休学中
Temporary absense</t>
    <rPh sb="0" eb="3">
      <t>キュウガクチュウ</t>
    </rPh>
    <phoneticPr fontId="5"/>
  </si>
  <si>
    <t>専門学校
Vocational School</t>
    <rPh sb="0" eb="2">
      <t>センモン</t>
    </rPh>
    <rPh sb="2" eb="4">
      <t>ガッコウ</t>
    </rPh>
    <phoneticPr fontId="5"/>
  </si>
  <si>
    <t>大学院
Master</t>
    <rPh sb="0" eb="2">
      <t>ダイガク</t>
    </rPh>
    <rPh sb="2" eb="3">
      <t>イン</t>
    </rPh>
    <phoneticPr fontId="5"/>
  </si>
  <si>
    <t>大学院
Doctor</t>
    <rPh sb="0" eb="2">
      <t>ダイガク</t>
    </rPh>
    <rPh sb="2" eb="3">
      <t>イン</t>
    </rPh>
    <phoneticPr fontId="5"/>
  </si>
  <si>
    <t>大学
Bachelor</t>
    <rPh sb="0" eb="2">
      <t>ダイガク</t>
    </rPh>
    <phoneticPr fontId="5"/>
  </si>
  <si>
    <t>（計算用）</t>
    <rPh sb="1" eb="4">
      <t>ケイサンヨウ</t>
    </rPh>
    <phoneticPr fontId="5"/>
  </si>
  <si>
    <t>ヶ月</t>
    <rPh sb="1" eb="2">
      <t>ゲツ</t>
    </rPh>
    <phoneticPr fontId="5"/>
  </si>
  <si>
    <t>1人目</t>
    <rPh sb="1" eb="2">
      <t>ヒト</t>
    </rPh>
    <rPh sb="2" eb="3">
      <t>メ</t>
    </rPh>
    <phoneticPr fontId="5"/>
  </si>
  <si>
    <t>経費支弁者続柄
英語付</t>
    <rPh sb="0" eb="2">
      <t>ケイヒ</t>
    </rPh>
    <rPh sb="2" eb="4">
      <t>シベン</t>
    </rPh>
    <rPh sb="4" eb="5">
      <t>シャ</t>
    </rPh>
    <rPh sb="5" eb="7">
      <t>ゾクガラ</t>
    </rPh>
    <rPh sb="8" eb="10">
      <t>エイゴ</t>
    </rPh>
    <rPh sb="10" eb="11">
      <t>ツキ</t>
    </rPh>
    <phoneticPr fontId="5"/>
  </si>
  <si>
    <t>夫</t>
    <rPh sb="0" eb="1">
      <t>オット</t>
    </rPh>
    <phoneticPr fontId="5"/>
  </si>
  <si>
    <t>妻</t>
    <rPh sb="0" eb="1">
      <t>ツマ</t>
    </rPh>
    <phoneticPr fontId="5"/>
  </si>
  <si>
    <t>叔父・伯父</t>
    <rPh sb="0" eb="2">
      <t>オジ</t>
    </rPh>
    <rPh sb="3" eb="5">
      <t>オジ</t>
    </rPh>
    <phoneticPr fontId="5"/>
  </si>
  <si>
    <t>叔母・伯母</t>
    <rPh sb="0" eb="2">
      <t>オバ</t>
    </rPh>
    <rPh sb="3" eb="5">
      <t>オバ</t>
    </rPh>
    <phoneticPr fontId="5"/>
  </si>
  <si>
    <t>兄</t>
    <rPh sb="0" eb="1">
      <t>アニ</t>
    </rPh>
    <phoneticPr fontId="5"/>
  </si>
  <si>
    <t>弟</t>
    <rPh sb="0" eb="1">
      <t>オトウト</t>
    </rPh>
    <phoneticPr fontId="5"/>
  </si>
  <si>
    <t>姉</t>
    <rPh sb="0" eb="1">
      <t>アネ</t>
    </rPh>
    <phoneticPr fontId="5"/>
  </si>
  <si>
    <t>妹</t>
    <rPh sb="0" eb="1">
      <t>イモウト</t>
    </rPh>
    <phoneticPr fontId="5"/>
  </si>
  <si>
    <t>義父</t>
    <rPh sb="0" eb="2">
      <t>ギフ</t>
    </rPh>
    <phoneticPr fontId="5"/>
  </si>
  <si>
    <t>義母</t>
    <rPh sb="0" eb="2">
      <t>ギボ</t>
    </rPh>
    <phoneticPr fontId="5"/>
  </si>
  <si>
    <t>継父</t>
    <rPh sb="0" eb="2">
      <t>ケイフ</t>
    </rPh>
    <phoneticPr fontId="5"/>
  </si>
  <si>
    <t>継母</t>
    <rPh sb="0" eb="2">
      <t>ママハハ</t>
    </rPh>
    <phoneticPr fontId="5"/>
  </si>
  <si>
    <t>祖父</t>
    <rPh sb="0" eb="2">
      <t>ソフ</t>
    </rPh>
    <phoneticPr fontId="5"/>
  </si>
  <si>
    <t>祖母</t>
    <rPh sb="0" eb="2">
      <t>ソボ</t>
    </rPh>
    <phoneticPr fontId="5"/>
  </si>
  <si>
    <t>2人目</t>
    <rPh sb="1" eb="2">
      <t>ヒト</t>
    </rPh>
    <rPh sb="2" eb="3">
      <t>メ</t>
    </rPh>
    <phoneticPr fontId="5"/>
  </si>
  <si>
    <t>3人目</t>
    <rPh sb="1" eb="2">
      <t>ヒト</t>
    </rPh>
    <rPh sb="2" eb="3">
      <t>メ</t>
    </rPh>
    <phoneticPr fontId="5"/>
  </si>
  <si>
    <t>合計</t>
    <rPh sb="0" eb="2">
      <t>ゴウケイ</t>
    </rPh>
    <phoneticPr fontId="5"/>
  </si>
  <si>
    <t>判別用</t>
    <rPh sb="0" eb="2">
      <t>ハンベツ</t>
    </rPh>
    <rPh sb="2" eb="3">
      <t>ヨウ</t>
    </rPh>
    <phoneticPr fontId="5"/>
  </si>
  <si>
    <t>経費支弁者電話番号転送用</t>
    <rPh sb="0" eb="2">
      <t>ケイヒ</t>
    </rPh>
    <rPh sb="2" eb="4">
      <t>シベン</t>
    </rPh>
    <rPh sb="4" eb="5">
      <t>シャ</t>
    </rPh>
    <rPh sb="5" eb="7">
      <t>デンワ</t>
    </rPh>
    <rPh sb="7" eb="9">
      <t>バンゴウ</t>
    </rPh>
    <rPh sb="9" eb="12">
      <t>テンソウヨウ</t>
    </rPh>
    <phoneticPr fontId="5"/>
  </si>
  <si>
    <t>経費支弁者勤務先電話番号転送用</t>
    <rPh sb="0" eb="2">
      <t>ケイヒ</t>
    </rPh>
    <rPh sb="2" eb="4">
      <t>シベン</t>
    </rPh>
    <rPh sb="4" eb="5">
      <t>シャ</t>
    </rPh>
    <rPh sb="5" eb="8">
      <t>キンムサキ</t>
    </rPh>
    <rPh sb="8" eb="10">
      <t>デンワ</t>
    </rPh>
    <rPh sb="10" eb="12">
      <t>バンゴウ</t>
    </rPh>
    <rPh sb="12" eb="15">
      <t>テンソウヨウ</t>
    </rPh>
    <phoneticPr fontId="5"/>
  </si>
  <si>
    <t>滞在予定期間</t>
    <rPh sb="0" eb="2">
      <t>タイザイ</t>
    </rPh>
    <rPh sb="2" eb="4">
      <t>ヨテイ</t>
    </rPh>
    <rPh sb="4" eb="6">
      <t>キカン</t>
    </rPh>
    <phoneticPr fontId="5"/>
  </si>
  <si>
    <t>1年6月</t>
    <rPh sb="1" eb="2">
      <t>ネン</t>
    </rPh>
    <rPh sb="3" eb="4">
      <t>ツキ</t>
    </rPh>
    <phoneticPr fontId="5"/>
  </si>
  <si>
    <t>1年9月</t>
    <rPh sb="1" eb="2">
      <t>ネン</t>
    </rPh>
    <rPh sb="3" eb="4">
      <t>ツキ</t>
    </rPh>
    <phoneticPr fontId="5"/>
  </si>
  <si>
    <t>2年</t>
    <rPh sb="1" eb="2">
      <t>ネン</t>
    </rPh>
    <phoneticPr fontId="5"/>
  </si>
  <si>
    <t>=</t>
    <phoneticPr fontId="5"/>
  </si>
  <si>
    <t>1年半コース</t>
    <rPh sb="1" eb="2">
      <t>ネン</t>
    </rPh>
    <rPh sb="2" eb="3">
      <t>ハン</t>
    </rPh>
    <phoneticPr fontId="5"/>
  </si>
  <si>
    <t>1年9ヶ月コース</t>
    <rPh sb="1" eb="2">
      <t>ネン</t>
    </rPh>
    <rPh sb="4" eb="5">
      <t>ゲツ</t>
    </rPh>
    <phoneticPr fontId="5"/>
  </si>
  <si>
    <t>2年コース</t>
    <rPh sb="1" eb="2">
      <t>ネン</t>
    </rPh>
    <phoneticPr fontId="5"/>
  </si>
  <si>
    <t>経費支弁者①</t>
    <rPh sb="0" eb="2">
      <t>ケイヒ</t>
    </rPh>
    <rPh sb="2" eb="4">
      <t>シベン</t>
    </rPh>
    <rPh sb="4" eb="5">
      <t>シャ</t>
    </rPh>
    <phoneticPr fontId="5"/>
  </si>
  <si>
    <t>経費支弁者②</t>
    <rPh sb="0" eb="2">
      <t>ケイヒ</t>
    </rPh>
    <rPh sb="2" eb="4">
      <t>シベン</t>
    </rPh>
    <rPh sb="4" eb="5">
      <t>シャ</t>
    </rPh>
    <phoneticPr fontId="5"/>
  </si>
  <si>
    <t>経費支弁者③</t>
    <rPh sb="0" eb="2">
      <t>ケイヒ</t>
    </rPh>
    <rPh sb="2" eb="4">
      <t>シベン</t>
    </rPh>
    <rPh sb="4" eb="5">
      <t>シャ</t>
    </rPh>
    <phoneticPr fontId="5"/>
  </si>
  <si>
    <t>■収入</t>
    <rPh sb="1" eb="3">
      <t>シュウニュウ</t>
    </rPh>
    <phoneticPr fontId="5"/>
  </si>
  <si>
    <t>■レート</t>
    <phoneticPr fontId="5"/>
  </si>
  <si>
    <t>■入学日</t>
    <rPh sb="1" eb="3">
      <t>ニュウガク</t>
    </rPh>
    <rPh sb="3" eb="4">
      <t>ビ</t>
    </rPh>
    <phoneticPr fontId="5"/>
  </si>
  <si>
    <t>■入国予定年月日</t>
    <rPh sb="1" eb="3">
      <t>ニュウコク</t>
    </rPh>
    <rPh sb="3" eb="5">
      <t>ヨテイ</t>
    </rPh>
    <rPh sb="5" eb="8">
      <t>ネンガッピ</t>
    </rPh>
    <phoneticPr fontId="5"/>
  </si>
  <si>
    <t>■コース</t>
    <phoneticPr fontId="5"/>
  </si>
  <si>
    <t>氏名</t>
    <rPh sb="0" eb="2">
      <t>シメイ</t>
    </rPh>
    <phoneticPr fontId="5"/>
  </si>
  <si>
    <t>関係</t>
    <rPh sb="0" eb="2">
      <t>カンケイ</t>
    </rPh>
    <phoneticPr fontId="5"/>
  </si>
  <si>
    <t>金額</t>
    <rPh sb="0" eb="2">
      <t>キンガク</t>
    </rPh>
    <phoneticPr fontId="5"/>
  </si>
  <si>
    <t>日本円</t>
    <rPh sb="0" eb="3">
      <t>ニホンエン</t>
    </rPh>
    <phoneticPr fontId="5"/>
  </si>
  <si>
    <t>＜初回だけ入力＞</t>
    <rPh sb="1" eb="3">
      <t>ショカイ</t>
    </rPh>
    <rPh sb="5" eb="7">
      <t>ニュウリョク</t>
    </rPh>
    <phoneticPr fontId="5"/>
  </si>
  <si>
    <t>＜個人ごとに入力＞</t>
    <rPh sb="1" eb="3">
      <t>コジン</t>
    </rPh>
    <rPh sb="6" eb="8">
      <t>ニュウリョク</t>
    </rPh>
    <phoneticPr fontId="5"/>
  </si>
  <si>
    <t>名字</t>
    <rPh sb="0" eb="2">
      <t>ミョウジ</t>
    </rPh>
    <phoneticPr fontId="5"/>
  </si>
  <si>
    <t>名前</t>
    <rPh sb="0" eb="2">
      <t>ナマエ</t>
    </rPh>
    <phoneticPr fontId="5"/>
  </si>
  <si>
    <t>現住所</t>
    <rPh sb="0" eb="3">
      <t>ゲンジュウショ</t>
    </rPh>
    <phoneticPr fontId="5"/>
  </si>
  <si>
    <t>日本語学習開始</t>
    <rPh sb="0" eb="3">
      <t>ニホンゴ</t>
    </rPh>
    <rPh sb="3" eb="5">
      <t>ガクシュウ</t>
    </rPh>
    <rPh sb="5" eb="7">
      <t>カイシ</t>
    </rPh>
    <phoneticPr fontId="5"/>
  </si>
  <si>
    <t>転送用</t>
    <rPh sb="0" eb="3">
      <t>テンソウヨウ</t>
    </rPh>
    <phoneticPr fontId="5"/>
  </si>
  <si>
    <t>在留へ転送</t>
    <rPh sb="0" eb="2">
      <t>ザイリュウ</t>
    </rPh>
    <rPh sb="3" eb="5">
      <t>テンソウ</t>
    </rPh>
    <phoneticPr fontId="5"/>
  </si>
  <si>
    <t>経費支弁者①</t>
    <rPh sb="0" eb="2">
      <t>ケイヒ</t>
    </rPh>
    <rPh sb="2" eb="4">
      <t>シベン</t>
    </rPh>
    <rPh sb="4" eb="5">
      <t>シャ</t>
    </rPh>
    <phoneticPr fontId="5"/>
  </si>
  <si>
    <t>経費支弁者②</t>
    <rPh sb="0" eb="2">
      <t>ケイヒ</t>
    </rPh>
    <rPh sb="2" eb="4">
      <t>シベン</t>
    </rPh>
    <rPh sb="4" eb="5">
      <t>シャ</t>
    </rPh>
    <phoneticPr fontId="5"/>
  </si>
  <si>
    <t>経費支弁者③</t>
    <rPh sb="0" eb="2">
      <t>ケイヒ</t>
    </rPh>
    <rPh sb="2" eb="4">
      <t>シベン</t>
    </rPh>
    <rPh sb="4" eb="5">
      <t>シャ</t>
    </rPh>
    <phoneticPr fontId="5"/>
  </si>
  <si>
    <t>叔父 （伯父）・叔母（伯母）</t>
    <phoneticPr fontId="5"/>
  </si>
  <si>
    <t>叔父 （伯父）・叔母（伯母）</t>
    <rPh sb="0" eb="2">
      <t>オジ</t>
    </rPh>
    <rPh sb="4" eb="6">
      <t>オジ</t>
    </rPh>
    <rPh sb="8" eb="10">
      <t>オバ</t>
    </rPh>
    <rPh sb="11" eb="13">
      <t>オバ</t>
    </rPh>
    <phoneticPr fontId="5"/>
  </si>
  <si>
    <t>兄弟姉妹</t>
    <phoneticPr fontId="5"/>
  </si>
  <si>
    <t>兄弟姉妹</t>
    <rPh sb="0" eb="2">
      <t>キョウダイ</t>
    </rPh>
    <rPh sb="2" eb="4">
      <t>シマイ</t>
    </rPh>
    <phoneticPr fontId="5"/>
  </si>
  <si>
    <t>所属機関</t>
    <rPh sb="0" eb="2">
      <t>ショゾク</t>
    </rPh>
    <rPh sb="2" eb="4">
      <t>キカン</t>
    </rPh>
    <phoneticPr fontId="5"/>
  </si>
  <si>
    <t>最終学歴</t>
    <rPh sb="0" eb="2">
      <t>サイシュウ</t>
    </rPh>
    <rPh sb="2" eb="4">
      <t>ガクレキ</t>
    </rPh>
    <phoneticPr fontId="5"/>
  </si>
  <si>
    <t>経費支弁続柄
英語なし</t>
    <rPh sb="0" eb="2">
      <t>ケイヒ</t>
    </rPh>
    <rPh sb="2" eb="4">
      <t>シベン</t>
    </rPh>
    <rPh sb="4" eb="6">
      <t>ゾクガラ</t>
    </rPh>
    <rPh sb="7" eb="9">
      <t>エイゴ</t>
    </rPh>
    <phoneticPr fontId="5"/>
  </si>
  <si>
    <t>経費支弁者続柄
在留用</t>
    <rPh sb="0" eb="2">
      <t>ケイヒ</t>
    </rPh>
    <rPh sb="2" eb="4">
      <t>シベン</t>
    </rPh>
    <rPh sb="4" eb="5">
      <t>シャ</t>
    </rPh>
    <rPh sb="5" eb="7">
      <t>ツヅキガラ</t>
    </rPh>
    <rPh sb="8" eb="10">
      <t>ザイリュウ</t>
    </rPh>
    <rPh sb="10" eb="11">
      <t>ヨウ</t>
    </rPh>
    <phoneticPr fontId="5"/>
  </si>
  <si>
    <t>学校種別
在留用</t>
    <rPh sb="0" eb="2">
      <t>ガッコウ</t>
    </rPh>
    <rPh sb="2" eb="4">
      <t>シュベツ</t>
    </rPh>
    <rPh sb="5" eb="7">
      <t>ザイリュウ</t>
    </rPh>
    <rPh sb="7" eb="8">
      <t>ヨウ</t>
    </rPh>
    <phoneticPr fontId="5"/>
  </si>
  <si>
    <t>大学院 （博士）</t>
    <phoneticPr fontId="5"/>
  </si>
  <si>
    <t>大学院 （修士）</t>
    <phoneticPr fontId="5"/>
  </si>
  <si>
    <t>大学</t>
    <phoneticPr fontId="5"/>
  </si>
  <si>
    <t>短期大学</t>
    <phoneticPr fontId="5"/>
  </si>
  <si>
    <t>専門学校</t>
    <phoneticPr fontId="5"/>
  </si>
  <si>
    <t>最終学歴</t>
    <rPh sb="0" eb="2">
      <t>サイシュウ</t>
    </rPh>
    <rPh sb="2" eb="4">
      <t>ガクレキ</t>
    </rPh>
    <phoneticPr fontId="5"/>
  </si>
  <si>
    <t>氏名（英語）</t>
    <rPh sb="0" eb="2">
      <t>シメイ</t>
    </rPh>
    <rPh sb="3" eb="5">
      <t>エイゴ</t>
    </rPh>
    <phoneticPr fontId="5"/>
  </si>
  <si>
    <t>国籍
（日本語）</t>
    <rPh sb="0" eb="2">
      <t>コクセキ</t>
    </rPh>
    <rPh sb="4" eb="7">
      <t>ニホンゴ</t>
    </rPh>
    <phoneticPr fontId="5"/>
  </si>
  <si>
    <t>中国</t>
    <rPh sb="0" eb="2">
      <t>チュウゴク</t>
    </rPh>
    <phoneticPr fontId="5"/>
  </si>
  <si>
    <t>ベトナム</t>
    <phoneticPr fontId="5"/>
  </si>
  <si>
    <t>ネパール</t>
    <phoneticPr fontId="5"/>
  </si>
  <si>
    <t>モンゴル</t>
    <phoneticPr fontId="5"/>
  </si>
  <si>
    <t>氏名
name</t>
    <rPh sb="0" eb="2">
      <t>シメイ</t>
    </rPh>
    <phoneticPr fontId="5"/>
  </si>
  <si>
    <t>住所
Address</t>
    <rPh sb="0" eb="2">
      <t>ジュウショ</t>
    </rPh>
    <phoneticPr fontId="5"/>
  </si>
  <si>
    <t>署名
Signature</t>
    <rPh sb="0" eb="2">
      <t>ショメイ</t>
    </rPh>
    <phoneticPr fontId="5"/>
  </si>
  <si>
    <t>Japan</t>
    <phoneticPr fontId="5"/>
  </si>
  <si>
    <t>日本</t>
    <rPh sb="0" eb="2">
      <t>ニホン</t>
    </rPh>
    <phoneticPr fontId="5"/>
  </si>
  <si>
    <t>高等学校</t>
    <phoneticPr fontId="5"/>
  </si>
  <si>
    <t>提出書類一覧表</t>
    <rPh sb="0" eb="1">
      <t>テイ</t>
    </rPh>
    <rPh sb="1" eb="2">
      <t>デ</t>
    </rPh>
    <rPh sb="2" eb="3">
      <t>ショ</t>
    </rPh>
    <rPh sb="3" eb="4">
      <t>タグイ</t>
    </rPh>
    <rPh sb="4" eb="5">
      <t>イチ</t>
    </rPh>
    <rPh sb="5" eb="6">
      <t>ラン</t>
    </rPh>
    <rPh sb="6" eb="7">
      <t>ヒョウ</t>
    </rPh>
    <phoneticPr fontId="5"/>
  </si>
  <si>
    <t>申請者氏名</t>
    <rPh sb="0" eb="3">
      <t>シンセイシャ</t>
    </rPh>
    <rPh sb="3" eb="5">
      <t>シメイ</t>
    </rPh>
    <phoneticPr fontId="5"/>
  </si>
  <si>
    <t>書類名</t>
    <rPh sb="0" eb="2">
      <t>ショルイ</t>
    </rPh>
    <rPh sb="2" eb="3">
      <t>メイ</t>
    </rPh>
    <phoneticPr fontId="5"/>
  </si>
  <si>
    <t>原本か
コピー</t>
    <rPh sb="0" eb="2">
      <t>ゲンポン</t>
    </rPh>
    <phoneticPr fontId="5"/>
  </si>
  <si>
    <t>訳文</t>
    <rPh sb="0" eb="2">
      <t>ヤクブン</t>
    </rPh>
    <phoneticPr fontId="5"/>
  </si>
  <si>
    <t>備考</t>
    <rPh sb="0" eb="2">
      <t>ビコウ</t>
    </rPh>
    <phoneticPr fontId="5"/>
  </si>
  <si>
    <t>在留資格認定証明書交付申請書</t>
    <phoneticPr fontId="5"/>
  </si>
  <si>
    <t>-</t>
    <phoneticPr fontId="5"/>
  </si>
  <si>
    <t>-</t>
  </si>
  <si>
    <t>最終学歴の卒業証書の写し</t>
    <rPh sb="0" eb="2">
      <t>サイシュウ</t>
    </rPh>
    <rPh sb="2" eb="4">
      <t>ガクレキ</t>
    </rPh>
    <rPh sb="5" eb="7">
      <t>ソツギョウ</t>
    </rPh>
    <rPh sb="7" eb="9">
      <t>ショウショ</t>
    </rPh>
    <rPh sb="10" eb="11">
      <t>ウツ</t>
    </rPh>
    <phoneticPr fontId="5"/>
  </si>
  <si>
    <t>成績証明書</t>
    <rPh sb="0" eb="2">
      <t>セイセキ</t>
    </rPh>
    <rPh sb="2" eb="5">
      <t>ショウメイショ</t>
    </rPh>
    <phoneticPr fontId="5"/>
  </si>
  <si>
    <t>学歴認証</t>
    <rPh sb="0" eb="2">
      <t>ガクレキ</t>
    </rPh>
    <rPh sb="2" eb="4">
      <t>ニンショウ</t>
    </rPh>
    <phoneticPr fontId="5"/>
  </si>
  <si>
    <t>日本語学習証明・日本語能力立証資料</t>
    <rPh sb="8" eb="11">
      <t>ニホンゴ</t>
    </rPh>
    <rPh sb="11" eb="13">
      <t>ノウリョク</t>
    </rPh>
    <rPh sb="13" eb="15">
      <t>リッショウ</t>
    </rPh>
    <rPh sb="15" eb="17">
      <t>シリョウ</t>
    </rPh>
    <phoneticPr fontId="5"/>
  </si>
  <si>
    <t>受験票（J.TEST・日本語NAT-TEST・日本語能力試験・その他）</t>
    <rPh sb="33" eb="34">
      <t>タ</t>
    </rPh>
    <phoneticPr fontId="5"/>
  </si>
  <si>
    <t>申請人の職歴資料</t>
    <rPh sb="0" eb="3">
      <t>シンセイニン</t>
    </rPh>
    <rPh sb="4" eb="6">
      <t>ショクレキ</t>
    </rPh>
    <rPh sb="6" eb="8">
      <t>シリョウ</t>
    </rPh>
    <phoneticPr fontId="5"/>
  </si>
  <si>
    <t>経費支弁書</t>
    <rPh sb="0" eb="2">
      <t>ケイヒ</t>
    </rPh>
    <rPh sb="2" eb="4">
      <t>シベン</t>
    </rPh>
    <rPh sb="4" eb="5">
      <t>ショ</t>
    </rPh>
    <phoneticPr fontId="5"/>
  </si>
  <si>
    <t>経費支弁理由書（別紙である場合）</t>
    <rPh sb="0" eb="2">
      <t>ケイヒ</t>
    </rPh>
    <rPh sb="2" eb="4">
      <t>シベン</t>
    </rPh>
    <rPh sb="4" eb="7">
      <t>リユウショ</t>
    </rPh>
    <rPh sb="8" eb="10">
      <t>ベッシ</t>
    </rPh>
    <rPh sb="13" eb="15">
      <t>バアイ</t>
    </rPh>
    <phoneticPr fontId="5"/>
  </si>
  <si>
    <t>預金残高証明書原本</t>
    <rPh sb="0" eb="2">
      <t>ヨキン</t>
    </rPh>
    <rPh sb="2" eb="4">
      <t>ザンダカ</t>
    </rPh>
    <rPh sb="4" eb="7">
      <t>ショウメイショ</t>
    </rPh>
    <rPh sb="7" eb="9">
      <t>ゲンポン</t>
    </rPh>
    <phoneticPr fontId="5"/>
  </si>
  <si>
    <t>確認報告書（ベトナム・ネパール）</t>
    <rPh sb="0" eb="2">
      <t>カクニン</t>
    </rPh>
    <rPh sb="2" eb="5">
      <t>ホウコクショ</t>
    </rPh>
    <phoneticPr fontId="5"/>
  </si>
  <si>
    <t>募集体制及び選抜方法の経緯に関する説明書</t>
    <phoneticPr fontId="5"/>
  </si>
  <si>
    <t>～～～についての説明書</t>
    <rPh sb="8" eb="11">
      <t>セツメイショ</t>
    </rPh>
    <phoneticPr fontId="5"/>
  </si>
  <si>
    <t>申請受理番号</t>
    <rPh sb="0" eb="2">
      <t>シンセイ</t>
    </rPh>
    <rPh sb="2" eb="4">
      <t>ジュリ</t>
    </rPh>
    <rPh sb="4" eb="6">
      <t>バンゴウ</t>
    </rPh>
    <phoneticPr fontId="5"/>
  </si>
  <si>
    <t>阪留認Ｐ</t>
    <rPh sb="0" eb="1">
      <t>サカ</t>
    </rPh>
    <rPh sb="1" eb="2">
      <t>リュウ</t>
    </rPh>
    <rPh sb="2" eb="3">
      <t>ニン</t>
    </rPh>
    <phoneticPr fontId="5"/>
  </si>
  <si>
    <t>上記の申請者の～～について、下記の通りご説明致します。</t>
    <rPh sb="0" eb="2">
      <t>ジョウキ</t>
    </rPh>
    <rPh sb="3" eb="6">
      <t>シンセイシャ</t>
    </rPh>
    <rPh sb="14" eb="16">
      <t>カキ</t>
    </rPh>
    <rPh sb="17" eb="18">
      <t>トオ</t>
    </rPh>
    <rPh sb="20" eb="22">
      <t>セツメイ</t>
    </rPh>
    <rPh sb="22" eb="23">
      <t>イタ</t>
    </rPh>
    <phoneticPr fontId="5"/>
  </si>
  <si>
    <t>以上</t>
    <rPh sb="0" eb="2">
      <t>イジョウ</t>
    </rPh>
    <phoneticPr fontId="5"/>
  </si>
  <si>
    <t>高等学校
High school</t>
    <phoneticPr fontId="5"/>
  </si>
  <si>
    <t>高専</t>
    <rPh sb="0" eb="1">
      <t>タカ</t>
    </rPh>
    <rPh sb="1" eb="2">
      <t>アツム</t>
    </rPh>
    <phoneticPr fontId="5"/>
  </si>
  <si>
    <t>具体的に説明してください。</t>
    <rPh sb="0" eb="3">
      <t>グタイテキ</t>
    </rPh>
    <rPh sb="4" eb="6">
      <t>セツメイ</t>
    </rPh>
    <phoneticPr fontId="5"/>
  </si>
  <si>
    <t>Back to home country</t>
    <phoneticPr fontId="5"/>
  </si>
  <si>
    <t>Join the higher education</t>
    <phoneticPr fontId="5"/>
  </si>
  <si>
    <t>Explain the detail of your plan.</t>
    <phoneticPr fontId="5"/>
  </si>
  <si>
    <t>＜訳文＞</t>
    <rPh sb="1" eb="3">
      <t>ヤクブン</t>
    </rPh>
    <phoneticPr fontId="5"/>
  </si>
  <si>
    <t>Purpose of Study</t>
    <phoneticPr fontId="5"/>
  </si>
  <si>
    <t>After finishing Japanese language course in our school, what kind of school would you like to join and in which what would you like to study?</t>
    <phoneticPr fontId="5"/>
  </si>
  <si>
    <t>)</t>
    <phoneticPr fontId="5"/>
  </si>
  <si>
    <t>Work in Japan</t>
    <phoneticPr fontId="5"/>
  </si>
  <si>
    <t xml:space="preserve"> 11. (1) 本国・その他 </t>
    <rPh sb="9" eb="11">
      <t>ホンゴク</t>
    </rPh>
    <rPh sb="14" eb="15">
      <t>タ</t>
    </rPh>
    <phoneticPr fontId="5"/>
  </si>
  <si>
    <t>10. 電話番号
     TEL</t>
    <rPh sb="4" eb="6">
      <t>デンワ</t>
    </rPh>
    <rPh sb="6" eb="8">
      <t>バンゴウ</t>
    </rPh>
    <phoneticPr fontId="5"/>
  </si>
  <si>
    <t>義理の姉・妹
Sister in law</t>
    <rPh sb="0" eb="2">
      <t>ギリ</t>
    </rPh>
    <rPh sb="3" eb="4">
      <t>アネ</t>
    </rPh>
    <rPh sb="5" eb="6">
      <t>イモウト</t>
    </rPh>
    <phoneticPr fontId="5"/>
  </si>
  <si>
    <t>義理の兄・弟
Brother in law</t>
    <rPh sb="0" eb="2">
      <t>ギリ</t>
    </rPh>
    <rPh sb="3" eb="4">
      <t>アニ</t>
    </rPh>
    <rPh sb="5" eb="6">
      <t>オトウト</t>
    </rPh>
    <phoneticPr fontId="5"/>
  </si>
  <si>
    <t>翻訳者氏名</t>
    <rPh sb="0" eb="3">
      <t>ホンヤクシャ</t>
    </rPh>
    <rPh sb="3" eb="5">
      <t>シメイ</t>
    </rPh>
    <phoneticPr fontId="5"/>
  </si>
  <si>
    <t>■経費支弁書</t>
    <rPh sb="1" eb="3">
      <t>ケイヒ</t>
    </rPh>
    <rPh sb="3" eb="5">
      <t>シベン</t>
    </rPh>
    <rPh sb="5" eb="6">
      <t>ショ</t>
    </rPh>
    <phoneticPr fontId="5"/>
  </si>
  <si>
    <t>1.  経費支弁の引受経緯（申請者の経費の支弁を引き受けた経緯及び</t>
    <rPh sb="4" eb="6">
      <t>ケイヒ</t>
    </rPh>
    <rPh sb="6" eb="8">
      <t>シベン</t>
    </rPh>
    <rPh sb="9" eb="10">
      <t>ヒ</t>
    </rPh>
    <rPh sb="10" eb="11">
      <t>ウ</t>
    </rPh>
    <rPh sb="11" eb="13">
      <t>ケイイ</t>
    </rPh>
    <rPh sb="14" eb="17">
      <t>シンセイシャ</t>
    </rPh>
    <rPh sb="18" eb="20">
      <t>ケイヒ</t>
    </rPh>
    <rPh sb="21" eb="23">
      <t>シベン</t>
    </rPh>
    <rPh sb="24" eb="25">
      <t>ヒ</t>
    </rPh>
    <rPh sb="26" eb="27">
      <t>ウ</t>
    </rPh>
    <rPh sb="29" eb="31">
      <t>ケイイ</t>
    </rPh>
    <rPh sb="31" eb="32">
      <t>オヨ</t>
    </rPh>
    <phoneticPr fontId="5"/>
  </si>
  <si>
    <t>申請者との関係について具体的に記載してください。）</t>
    <phoneticPr fontId="5"/>
  </si>
  <si>
    <t>原文</t>
    <rPh sb="0" eb="2">
      <t>ゲンブン</t>
    </rPh>
    <phoneticPr fontId="5"/>
  </si>
  <si>
    <t>在職</t>
    <phoneticPr fontId="5"/>
  </si>
  <si>
    <t>19.</t>
    <phoneticPr fontId="5"/>
  </si>
  <si>
    <t>21.本校卒業後、どのような学校へ進学し、どのような勉強をする予定ですか？</t>
    <rPh sb="3" eb="5">
      <t>ホンコウ</t>
    </rPh>
    <rPh sb="5" eb="8">
      <t>ソツギョウゴ</t>
    </rPh>
    <rPh sb="14" eb="16">
      <t>ガッコウ</t>
    </rPh>
    <rPh sb="17" eb="19">
      <t>シンガク</t>
    </rPh>
    <rPh sb="26" eb="28">
      <t>ベンキョウ</t>
    </rPh>
    <rPh sb="31" eb="33">
      <t>ヨテイ</t>
    </rPh>
    <phoneticPr fontId="5"/>
  </si>
  <si>
    <t>23.進学先を卒業した後の計画について教えてください。</t>
    <rPh sb="3" eb="5">
      <t>シンガク</t>
    </rPh>
    <rPh sb="5" eb="6">
      <t>サキ</t>
    </rPh>
    <rPh sb="7" eb="9">
      <t>ソツギョウ</t>
    </rPh>
    <rPh sb="11" eb="12">
      <t>アト</t>
    </rPh>
    <rPh sb="13" eb="15">
      <t>ケイカク</t>
    </rPh>
    <rPh sb="19" eb="20">
      <t>オシ</t>
    </rPh>
    <phoneticPr fontId="5"/>
  </si>
  <si>
    <t>■留学理由（入学願書３枚目）</t>
    <rPh sb="1" eb="3">
      <t>リュウガク</t>
    </rPh>
    <rPh sb="3" eb="5">
      <t>リユウ</t>
    </rPh>
    <rPh sb="6" eb="8">
      <t>ニュウガク</t>
    </rPh>
    <rPh sb="8" eb="10">
      <t>ガンショ</t>
    </rPh>
    <rPh sb="11" eb="13">
      <t>マイメ</t>
    </rPh>
    <phoneticPr fontId="5"/>
  </si>
  <si>
    <t>22.上記21のように考えるに至った理由と、それに関連する自分の経歴や経験があれば説明してください。</t>
  </si>
  <si>
    <t>22.上記21のように考えるに至った理由と、それに関連する自分の経歴や経験があれば説明してください。</t>
    <phoneticPr fontId="5"/>
  </si>
  <si>
    <t>And if you have background or experience which is related with the reason, explain them.</t>
  </si>
  <si>
    <t xml:space="preserve">Explain the reason why you think as above 21. </t>
    <phoneticPr fontId="5"/>
  </si>
  <si>
    <t>Explain the reason why you think as above 21. And if you have background or experience which is related with the reason, explain them.</t>
    <phoneticPr fontId="5"/>
  </si>
  <si>
    <t>)</t>
    <phoneticPr fontId="5"/>
  </si>
  <si>
    <t>ベトナムドン</t>
    <phoneticPr fontId="5"/>
  </si>
  <si>
    <t>妹
younger sister</t>
    <rPh sb="0" eb="1">
      <t>イモウト</t>
    </rPh>
    <phoneticPr fontId="5"/>
  </si>
  <si>
    <t>学生氏名</t>
    <rPh sb="0" eb="2">
      <t>ガクセイ</t>
    </rPh>
    <rPh sb="2" eb="4">
      <t>シメイ</t>
    </rPh>
    <phoneticPr fontId="5"/>
  </si>
  <si>
    <t xml:space="preserve"> Full name as </t>
  </si>
  <si>
    <t>shown in your passport</t>
    <phoneticPr fontId="5"/>
  </si>
  <si>
    <t>ベトナム</t>
  </si>
  <si>
    <t>氏名（母語）</t>
    <rPh sb="0" eb="2">
      <t>シメイ</t>
    </rPh>
    <rPh sb="3" eb="5">
      <t>ボゴ</t>
    </rPh>
    <phoneticPr fontId="5"/>
  </si>
  <si>
    <t>経費支弁者</t>
    <rPh sb="0" eb="2">
      <t>ケイヒ</t>
    </rPh>
    <rPh sb="2" eb="4">
      <t>シベン</t>
    </rPh>
    <rPh sb="4" eb="5">
      <t>シャ</t>
    </rPh>
    <phoneticPr fontId="5"/>
  </si>
  <si>
    <t>在日親族</t>
    <rPh sb="0" eb="2">
      <t>ザイニチ</t>
    </rPh>
    <rPh sb="2" eb="4">
      <t>シンゾク</t>
    </rPh>
    <phoneticPr fontId="5"/>
  </si>
  <si>
    <t>学校名</t>
    <rPh sb="0" eb="3">
      <t>ガッコウメイ</t>
    </rPh>
    <phoneticPr fontId="5"/>
  </si>
  <si>
    <t>住所</t>
    <rPh sb="0" eb="2">
      <t>ジュウショ</t>
    </rPh>
    <phoneticPr fontId="5"/>
  </si>
  <si>
    <t>勤務先名</t>
    <rPh sb="0" eb="3">
      <t>キンムサキ</t>
    </rPh>
    <rPh sb="3" eb="4">
      <t>メイ</t>
    </rPh>
    <phoneticPr fontId="5"/>
  </si>
  <si>
    <t>勤務先ＴＥＬ</t>
    <rPh sb="0" eb="3">
      <t>キンムサキ</t>
    </rPh>
    <phoneticPr fontId="5"/>
  </si>
  <si>
    <t>年収</t>
    <rPh sb="0" eb="2">
      <t>ネンシュウ</t>
    </rPh>
    <phoneticPr fontId="5"/>
  </si>
  <si>
    <t>家族関係事項　追加記入用紙</t>
    <rPh sb="0" eb="2">
      <t>カゾク</t>
    </rPh>
    <rPh sb="2" eb="4">
      <t>カンケイ</t>
    </rPh>
    <rPh sb="4" eb="6">
      <t>ジコウ</t>
    </rPh>
    <rPh sb="7" eb="9">
      <t>ツイカ</t>
    </rPh>
    <rPh sb="9" eb="11">
      <t>キニュウ</t>
    </rPh>
    <rPh sb="11" eb="13">
      <t>ヨウシ</t>
    </rPh>
    <phoneticPr fontId="5"/>
  </si>
  <si>
    <t>Family Details - additional sheet</t>
    <phoneticPr fontId="5"/>
  </si>
  <si>
    <t>家族を書く欄が足りない場合は、この用紙に記入してください。</t>
    <rPh sb="0" eb="2">
      <t>カゾク</t>
    </rPh>
    <rPh sb="3" eb="4">
      <t>カ</t>
    </rPh>
    <rPh sb="5" eb="6">
      <t>ラン</t>
    </rPh>
    <rPh sb="7" eb="8">
      <t>タ</t>
    </rPh>
    <rPh sb="11" eb="13">
      <t>バアイ</t>
    </rPh>
    <rPh sb="17" eb="19">
      <t>ヨウシ</t>
    </rPh>
    <rPh sb="20" eb="22">
      <t>キニュウ</t>
    </rPh>
    <phoneticPr fontId="5"/>
  </si>
  <si>
    <t>If there is not enough space to fill in your family details, please fill the rest of the members in this sheet.</t>
    <phoneticPr fontId="5"/>
  </si>
  <si>
    <t xml:space="preserve"> In your country</t>
    <phoneticPr fontId="5"/>
  </si>
  <si>
    <t>続柄</t>
    <phoneticPr fontId="5"/>
  </si>
  <si>
    <t>生年月日</t>
    <phoneticPr fontId="5"/>
  </si>
  <si>
    <t>Name</t>
    <phoneticPr fontId="5"/>
  </si>
  <si>
    <t>Relatives in Japan</t>
    <phoneticPr fontId="5"/>
  </si>
  <si>
    <t>続柄</t>
    <phoneticPr fontId="5"/>
  </si>
  <si>
    <t>氏名</t>
    <phoneticPr fontId="5"/>
  </si>
  <si>
    <t>生年月日</t>
    <phoneticPr fontId="5"/>
  </si>
  <si>
    <t>国籍</t>
    <phoneticPr fontId="5"/>
  </si>
  <si>
    <t>在留カード番号</t>
    <phoneticPr fontId="5"/>
  </si>
  <si>
    <t>Relationship</t>
    <phoneticPr fontId="5"/>
  </si>
  <si>
    <t>Name</t>
    <phoneticPr fontId="5"/>
  </si>
  <si>
    <t xml:space="preserve">Date of birth </t>
    <phoneticPr fontId="5"/>
  </si>
  <si>
    <t>Residing together</t>
    <phoneticPr fontId="5"/>
  </si>
  <si>
    <t>Nationality</t>
    <phoneticPr fontId="5"/>
  </si>
  <si>
    <t>Place of employment/school</t>
    <phoneticPr fontId="5"/>
  </si>
  <si>
    <t>Regidence card No.</t>
    <phoneticPr fontId="5"/>
  </si>
  <si>
    <t xml:space="preserve"> 無</t>
    <phoneticPr fontId="5"/>
  </si>
  <si>
    <t>Yes</t>
    <phoneticPr fontId="5"/>
  </si>
  <si>
    <t>No</t>
    <phoneticPr fontId="5"/>
  </si>
  <si>
    <t>Yes</t>
    <phoneticPr fontId="5"/>
  </si>
  <si>
    <t>No</t>
    <phoneticPr fontId="5"/>
  </si>
  <si>
    <t xml:space="preserve"> 無</t>
    <phoneticPr fontId="5"/>
  </si>
  <si>
    <t>Yes</t>
    <phoneticPr fontId="5"/>
  </si>
  <si>
    <t>Yes</t>
    <phoneticPr fontId="5"/>
  </si>
  <si>
    <t>□</t>
    <phoneticPr fontId="5"/>
  </si>
  <si>
    <t xml:space="preserve"> 無</t>
    <phoneticPr fontId="5"/>
  </si>
  <si>
    <t>　上記はすべて真実です。</t>
    <rPh sb="1" eb="3">
      <t>ジョウキ</t>
    </rPh>
    <rPh sb="7" eb="9">
      <t>シンジツ</t>
    </rPh>
    <phoneticPr fontId="5"/>
  </si>
  <si>
    <t xml:space="preserve"> 　I hereby declare the above statement is true and correct.</t>
    <phoneticPr fontId="5"/>
  </si>
  <si>
    <t>大阪入国管理局長殿</t>
    <rPh sb="0" eb="2">
      <t>オオサカ</t>
    </rPh>
    <rPh sb="2" eb="4">
      <t>ニュウコク</t>
    </rPh>
    <rPh sb="4" eb="6">
      <t>カンリ</t>
    </rPh>
    <rPh sb="6" eb="8">
      <t>キョクチョウ</t>
    </rPh>
    <rPh sb="8" eb="9">
      <t>ドノ</t>
    </rPh>
    <phoneticPr fontId="5"/>
  </si>
  <si>
    <t>確　認　報　告　書</t>
    <rPh sb="0" eb="1">
      <t>アキラ</t>
    </rPh>
    <rPh sb="2" eb="3">
      <t>シノブ</t>
    </rPh>
    <rPh sb="4" eb="5">
      <t>ホウ</t>
    </rPh>
    <rPh sb="6" eb="7">
      <t>コク</t>
    </rPh>
    <rPh sb="8" eb="9">
      <t>ショ</t>
    </rPh>
    <phoneticPr fontId="5"/>
  </si>
  <si>
    <t>本人の学歴についての確認</t>
    <rPh sb="0" eb="2">
      <t>ホンニン</t>
    </rPh>
    <rPh sb="3" eb="5">
      <t>ガクレキ</t>
    </rPh>
    <rPh sb="10" eb="12">
      <t>カクニン</t>
    </rPh>
    <phoneticPr fontId="5"/>
  </si>
  <si>
    <t>担当者</t>
    <rPh sb="0" eb="3">
      <t>タントウシャ</t>
    </rPh>
    <phoneticPr fontId="5"/>
  </si>
  <si>
    <t>確認方法</t>
    <rPh sb="0" eb="2">
      <t>カクニン</t>
    </rPh>
    <rPh sb="2" eb="4">
      <t>ホウホウ</t>
    </rPh>
    <phoneticPr fontId="5"/>
  </si>
  <si>
    <t>①</t>
    <phoneticPr fontId="5"/>
  </si>
  <si>
    <t>②</t>
    <phoneticPr fontId="5"/>
  </si>
  <si>
    <t>③</t>
    <phoneticPr fontId="5"/>
  </si>
  <si>
    <t>最終学歴の学校に電話して、卒業の事実を確認した。</t>
    <phoneticPr fontId="5"/>
  </si>
  <si>
    <t>＜電話番号の調査方法＞</t>
    <rPh sb="1" eb="3">
      <t>デンワ</t>
    </rPh>
    <rPh sb="3" eb="5">
      <t>バンゴウ</t>
    </rPh>
    <rPh sb="6" eb="8">
      <t>チョウサ</t>
    </rPh>
    <rPh sb="8" eb="10">
      <t>ホウホウ</t>
    </rPh>
    <phoneticPr fontId="5"/>
  </si>
  <si>
    <t>学校の公式サイト</t>
    <rPh sb="0" eb="2">
      <t>ガッコウ</t>
    </rPh>
    <rPh sb="3" eb="5">
      <t>コウシキ</t>
    </rPh>
    <phoneticPr fontId="5"/>
  </si>
  <si>
    <t>□</t>
    <phoneticPr fontId="5"/>
  </si>
  <si>
    <t>電話番号案内</t>
    <rPh sb="0" eb="2">
      <t>デンワ</t>
    </rPh>
    <rPh sb="2" eb="4">
      <t>バンゴウ</t>
    </rPh>
    <rPh sb="4" eb="6">
      <t>アンナイ</t>
    </rPh>
    <phoneticPr fontId="5"/>
  </si>
  <si>
    <t>客観的な情報を得られなかったため、申請者提出書類にある番号に架電</t>
  </si>
  <si>
    <t>□</t>
    <phoneticPr fontId="5"/>
  </si>
  <si>
    <t>その他　（　　　　　　　　　　　　　　　　　　　　　　　　　　　　　　　　　　　　　　　　　　　　　　　　　）</t>
    <phoneticPr fontId="5"/>
  </si>
  <si>
    <t>確認結果</t>
    <rPh sb="0" eb="2">
      <t>カクニン</t>
    </rPh>
    <rPh sb="2" eb="4">
      <t>ケッカ</t>
    </rPh>
    <phoneticPr fontId="5"/>
  </si>
  <si>
    <t>架電日時：</t>
    <rPh sb="0" eb="1">
      <t>カ</t>
    </rPh>
    <rPh sb="1" eb="2">
      <t>デン</t>
    </rPh>
    <rPh sb="2" eb="4">
      <t>ニチジ</t>
    </rPh>
    <phoneticPr fontId="5"/>
  </si>
  <si>
    <t>年　　</t>
    <phoneticPr fontId="5"/>
  </si>
  <si>
    <t>月</t>
    <phoneticPr fontId="5"/>
  </si>
  <si>
    <t>日</t>
    <phoneticPr fontId="5"/>
  </si>
  <si>
    <t>架電番号：</t>
    <rPh sb="0" eb="1">
      <t>カ</t>
    </rPh>
    <rPh sb="1" eb="2">
      <t>デン</t>
    </rPh>
    <rPh sb="2" eb="4">
      <t>バンゴウ</t>
    </rPh>
    <phoneticPr fontId="5"/>
  </si>
  <si>
    <t>□　</t>
    <phoneticPr fontId="5"/>
  </si>
  <si>
    <t>卒業の事実が確認できた</t>
    <phoneticPr fontId="5"/>
  </si>
  <si>
    <t>個人情報のため回答してもらえず</t>
    <phoneticPr fontId="5"/>
  </si>
  <si>
    <t>その他（　                                                                                                　　　　　）</t>
    <phoneticPr fontId="5"/>
  </si>
  <si>
    <t>経費支弁者についての確認</t>
    <rPh sb="0" eb="2">
      <t>ケイヒ</t>
    </rPh>
    <rPh sb="2" eb="4">
      <t>シベン</t>
    </rPh>
    <rPh sb="4" eb="5">
      <t>シャ</t>
    </rPh>
    <rPh sb="10" eb="12">
      <t>カクニン</t>
    </rPh>
    <phoneticPr fontId="5"/>
  </si>
  <si>
    <t>経費支弁者の勤務先に電話して、在職・収入の事実を確認した。</t>
    <rPh sb="0" eb="2">
      <t>ケイヒ</t>
    </rPh>
    <rPh sb="2" eb="4">
      <t>シベン</t>
    </rPh>
    <rPh sb="4" eb="5">
      <t>シャ</t>
    </rPh>
    <rPh sb="6" eb="9">
      <t>キンムサキ</t>
    </rPh>
    <rPh sb="10" eb="12">
      <t>デンワ</t>
    </rPh>
    <rPh sb="15" eb="17">
      <t>ザイショク</t>
    </rPh>
    <rPh sb="18" eb="20">
      <t>シュウニュウ</t>
    </rPh>
    <rPh sb="21" eb="23">
      <t>ジジツ</t>
    </rPh>
    <rPh sb="24" eb="26">
      <t>カクニン</t>
    </rPh>
    <phoneticPr fontId="5"/>
  </si>
  <si>
    <t>＜電話番号の確認方法＞</t>
    <rPh sb="1" eb="3">
      <t>デンワ</t>
    </rPh>
    <rPh sb="3" eb="5">
      <t>バンゴウ</t>
    </rPh>
    <rPh sb="6" eb="8">
      <t>カクニン</t>
    </rPh>
    <rPh sb="8" eb="10">
      <t>ホウホウ</t>
    </rPh>
    <phoneticPr fontId="5"/>
  </si>
  <si>
    <t>会社の公式サイトで確認</t>
    <rPh sb="0" eb="2">
      <t>カイシャ</t>
    </rPh>
    <rPh sb="3" eb="5">
      <t>コウシキ</t>
    </rPh>
    <rPh sb="9" eb="11">
      <t>カクニン</t>
    </rPh>
    <phoneticPr fontId="5"/>
  </si>
  <si>
    <t>電話番号案内で確認</t>
    <rPh sb="0" eb="2">
      <t>デンワ</t>
    </rPh>
    <rPh sb="2" eb="4">
      <t>バンゴウ</t>
    </rPh>
    <rPh sb="4" eb="6">
      <t>アンナイ</t>
    </rPh>
    <rPh sb="7" eb="9">
      <t>カクニン</t>
    </rPh>
    <phoneticPr fontId="5"/>
  </si>
  <si>
    <t>税務局のサイトで確認</t>
    <rPh sb="0" eb="2">
      <t>ゼイム</t>
    </rPh>
    <rPh sb="2" eb="3">
      <t>キョク</t>
    </rPh>
    <rPh sb="8" eb="10">
      <t>カクニン</t>
    </rPh>
    <phoneticPr fontId="5"/>
  </si>
  <si>
    <t>客観的な情報を得られなかったので、申請者提出書類にある番号に架電</t>
    <rPh sb="0" eb="3">
      <t>キャッカンテキ</t>
    </rPh>
    <rPh sb="4" eb="6">
      <t>ジョウホウ</t>
    </rPh>
    <rPh sb="7" eb="8">
      <t>エ</t>
    </rPh>
    <phoneticPr fontId="5"/>
  </si>
  <si>
    <t>その他（　　　　　　　　　　　　　　　　　　　　　　　　　　　　　　　　　　　　　　　　　　　　　　　　　　）</t>
    <rPh sb="2" eb="3">
      <t>タ</t>
    </rPh>
    <phoneticPr fontId="5"/>
  </si>
  <si>
    <t>経費支弁者本人に電話して、在職・収入、銀行預金残高について確認した。</t>
    <rPh sb="0" eb="2">
      <t>ケイヒ</t>
    </rPh>
    <rPh sb="2" eb="4">
      <t>シベン</t>
    </rPh>
    <rPh sb="4" eb="5">
      <t>シャ</t>
    </rPh>
    <rPh sb="5" eb="7">
      <t>ホンニン</t>
    </rPh>
    <rPh sb="8" eb="10">
      <t>デンワ</t>
    </rPh>
    <rPh sb="13" eb="15">
      <t>ザイショク</t>
    </rPh>
    <rPh sb="16" eb="18">
      <t>シュウニュウ</t>
    </rPh>
    <rPh sb="19" eb="21">
      <t>ギンコウ</t>
    </rPh>
    <rPh sb="21" eb="23">
      <t>ヨキン</t>
    </rPh>
    <rPh sb="23" eb="25">
      <t>ザンダカ</t>
    </rPh>
    <rPh sb="29" eb="31">
      <t>カクニン</t>
    </rPh>
    <phoneticPr fontId="5"/>
  </si>
  <si>
    <t>銀行預金残高証明書の発行元銀行に電話して、発行事実を確認した。</t>
    <rPh sb="0" eb="2">
      <t>ギンコウ</t>
    </rPh>
    <rPh sb="2" eb="4">
      <t>ヨキン</t>
    </rPh>
    <rPh sb="4" eb="6">
      <t>ザンダカ</t>
    </rPh>
    <rPh sb="6" eb="8">
      <t>ショウメイ</t>
    </rPh>
    <rPh sb="8" eb="9">
      <t>ショ</t>
    </rPh>
    <rPh sb="10" eb="12">
      <t>ハッコウ</t>
    </rPh>
    <rPh sb="12" eb="13">
      <t>モト</t>
    </rPh>
    <rPh sb="13" eb="15">
      <t>ギンコウ</t>
    </rPh>
    <rPh sb="16" eb="18">
      <t>デンワ</t>
    </rPh>
    <rPh sb="21" eb="23">
      <t>ハッコウ</t>
    </rPh>
    <rPh sb="23" eb="25">
      <t>ジジツ</t>
    </rPh>
    <rPh sb="26" eb="28">
      <t>カクニン</t>
    </rPh>
    <phoneticPr fontId="5"/>
  </si>
  <si>
    <t>架電番号：</t>
    <rPh sb="2" eb="4">
      <t>バンゴウ</t>
    </rPh>
    <phoneticPr fontId="5"/>
  </si>
  <si>
    <t xml:space="preserve"> 結　　果 ：</t>
    <rPh sb="1" eb="2">
      <t>ケッ</t>
    </rPh>
    <rPh sb="4" eb="5">
      <t>ハテ</t>
    </rPh>
    <phoneticPr fontId="5"/>
  </si>
  <si>
    <t>回答は証明書の内容と一致した。</t>
    <rPh sb="0" eb="2">
      <t>カイトウ</t>
    </rPh>
    <rPh sb="3" eb="6">
      <t>ショウメイショ</t>
    </rPh>
    <rPh sb="7" eb="9">
      <t>ナイヨウ</t>
    </rPh>
    <rPh sb="10" eb="12">
      <t>イッチ</t>
    </rPh>
    <phoneticPr fontId="5"/>
  </si>
  <si>
    <t>その他（　　　　　　　　　　　　　　　）</t>
    <rPh sb="2" eb="3">
      <t>タ</t>
    </rPh>
    <phoneticPr fontId="5"/>
  </si>
  <si>
    <t>個人情報のため回答してもらえず</t>
    <rPh sb="0" eb="2">
      <t>コジン</t>
    </rPh>
    <rPh sb="2" eb="4">
      <t>ジョウホウ</t>
    </rPh>
    <rPh sb="7" eb="9">
      <t>カイトウ</t>
    </rPh>
    <phoneticPr fontId="5"/>
  </si>
  <si>
    <t>その他（　　　　　　　　　　　　　　　　　　　　　　　　　　　　　　　　　　　 　　　　　 　）</t>
    <rPh sb="2" eb="3">
      <t>タ</t>
    </rPh>
    <phoneticPr fontId="5"/>
  </si>
  <si>
    <t>　申請者</t>
    <phoneticPr fontId="5"/>
  </si>
  <si>
    <t>　橋野信生（当校校長）</t>
    <rPh sb="1" eb="3">
      <t>ハシノ</t>
    </rPh>
    <rPh sb="3" eb="5">
      <t>ノブオ</t>
    </rPh>
    <phoneticPr fontId="5"/>
  </si>
  <si>
    <t>2015年　　月　　日</t>
    <rPh sb="4" eb="5">
      <t>ネン</t>
    </rPh>
    <rPh sb="7" eb="8">
      <t>ガツ</t>
    </rPh>
    <rPh sb="10" eb="11">
      <t>ニチ</t>
    </rPh>
    <phoneticPr fontId="5"/>
  </si>
  <si>
    <t>　NGUYEN THANH LAI（当校担当者）</t>
    <rPh sb="20" eb="22">
      <t>タントウ</t>
    </rPh>
    <rPh sb="22" eb="23">
      <t>シャ</t>
    </rPh>
    <phoneticPr fontId="5"/>
  </si>
  <si>
    <t>　NGUYEN THANH LAI（当校担当者）</t>
    <phoneticPr fontId="5"/>
  </si>
  <si>
    <t>　NGUYEN THANH LAI（当校担当者）</t>
    <rPh sb="18" eb="20">
      <t>トウコウ</t>
    </rPh>
    <rPh sb="20" eb="23">
      <t>タントウシャ</t>
    </rPh>
    <phoneticPr fontId="5"/>
  </si>
  <si>
    <t>①</t>
    <phoneticPr fontId="5"/>
  </si>
  <si>
    <t>学校一覧</t>
    <rPh sb="0" eb="2">
      <t>ガッコウ</t>
    </rPh>
    <rPh sb="2" eb="4">
      <t>イチラン</t>
    </rPh>
    <phoneticPr fontId="5"/>
  </si>
  <si>
    <t>経費支弁者は、農業/自営業のため、②の確認のみ行った。</t>
    <rPh sb="0" eb="2">
      <t>ケイヒ</t>
    </rPh>
    <rPh sb="2" eb="4">
      <t>シベン</t>
    </rPh>
    <rPh sb="4" eb="5">
      <t>シャ</t>
    </rPh>
    <rPh sb="7" eb="9">
      <t>ノウギョウ</t>
    </rPh>
    <rPh sb="10" eb="13">
      <t>ジエイギョウ</t>
    </rPh>
    <rPh sb="19" eb="21">
      <t>カクニン</t>
    </rPh>
    <rPh sb="23" eb="24">
      <t>オコナ</t>
    </rPh>
    <phoneticPr fontId="5"/>
  </si>
  <si>
    <t>個人面接で勉学の明確な意思を有しているか確認。勉学の意欲の少ない学生に対しては、当校は厳しく管理・指導していくので、しっかり学習する覚悟がなければ、留学生活を続け進学という目標を達成するのはかなり大変だということを伝えた上で、それでも入学を希望するか確認した。</t>
    <phoneticPr fontId="5"/>
  </si>
  <si>
    <t xml:space="preserve"> 学　力 ：</t>
    <rPh sb="1" eb="2">
      <t>ガク</t>
    </rPh>
    <rPh sb="3" eb="4">
      <t>チカラ</t>
    </rPh>
    <phoneticPr fontId="5"/>
  </si>
  <si>
    <t>(1)大学入学試験の成績（３科目合計）</t>
    <rPh sb="3" eb="5">
      <t>ダイガク</t>
    </rPh>
    <rPh sb="5" eb="7">
      <t>ニュウガク</t>
    </rPh>
    <rPh sb="7" eb="9">
      <t>シケン</t>
    </rPh>
    <rPh sb="10" eb="12">
      <t>セイセキ</t>
    </rPh>
    <rPh sb="14" eb="16">
      <t>カモク</t>
    </rPh>
    <rPh sb="16" eb="18">
      <t>ゴウケイ</t>
    </rPh>
    <phoneticPr fontId="5"/>
  </si>
  <si>
    <t>(2)高校３年時の成績</t>
    <rPh sb="3" eb="5">
      <t>コウコウ</t>
    </rPh>
    <rPh sb="6" eb="7">
      <t>ネン</t>
    </rPh>
    <rPh sb="7" eb="8">
      <t>ジ</t>
    </rPh>
    <rPh sb="9" eb="11">
      <t>セイセキ</t>
    </rPh>
    <phoneticPr fontId="5"/>
  </si>
  <si>
    <t xml:space="preserve"> 面　接 ：</t>
    <rPh sb="1" eb="2">
      <t>メン</t>
    </rPh>
    <rPh sb="3" eb="4">
      <t>セツ</t>
    </rPh>
    <phoneticPr fontId="5"/>
  </si>
  <si>
    <t>②</t>
    <phoneticPr fontId="5"/>
  </si>
  <si>
    <t>勉学の意思と能力についての確認</t>
    <rPh sb="0" eb="2">
      <t>ベンガク</t>
    </rPh>
    <rPh sb="3" eb="5">
      <t>イシ</t>
    </rPh>
    <rPh sb="6" eb="8">
      <t>ノウリョク</t>
    </rPh>
    <rPh sb="13" eb="15">
      <t>カクニン</t>
    </rPh>
    <phoneticPr fontId="5"/>
  </si>
  <si>
    <t>　橋野信生（当校校長）、葉月有希子（当校担当者）、NGUYEN THANH LAI（当校担当者）</t>
    <rPh sb="12" eb="14">
      <t>ハヅキ</t>
    </rPh>
    <rPh sb="14" eb="17">
      <t>ユキコ</t>
    </rPh>
    <rPh sb="18" eb="20">
      <t>トウコウ</t>
    </rPh>
    <rPh sb="20" eb="23">
      <t>タントウシャ</t>
    </rPh>
    <rPh sb="42" eb="44">
      <t>トウコウ</t>
    </rPh>
    <rPh sb="44" eb="46">
      <t>タントウ</t>
    </rPh>
    <rPh sb="46" eb="47">
      <t>シャ</t>
    </rPh>
    <phoneticPr fontId="5"/>
  </si>
  <si>
    <t>＜面接時の写真等＞</t>
    <rPh sb="1" eb="3">
      <t>メンセツ</t>
    </rPh>
    <rPh sb="3" eb="4">
      <t>ジ</t>
    </rPh>
    <rPh sb="5" eb="7">
      <t>シャシン</t>
    </rPh>
    <rPh sb="7" eb="8">
      <t>トウ</t>
    </rPh>
    <phoneticPr fontId="5"/>
  </si>
  <si>
    <t>入学願書の写し(留学理由書含む）</t>
    <rPh sb="8" eb="10">
      <t>リュウガク</t>
    </rPh>
    <rPh sb="10" eb="12">
      <t>リユウ</t>
    </rPh>
    <rPh sb="12" eb="13">
      <t>ショ</t>
    </rPh>
    <rPh sb="13" eb="14">
      <t>フク</t>
    </rPh>
    <phoneticPr fontId="5"/>
  </si>
  <si>
    <t>入学許可書の写し</t>
    <phoneticPr fontId="5"/>
  </si>
  <si>
    <t>身分証明　(パスポート、身分証）の写し</t>
    <phoneticPr fontId="5"/>
  </si>
  <si>
    <t>経費支弁者資料
（在職証明書・収入証明書・営業許可書・納税証明・通帳写し）</t>
    <phoneticPr fontId="5"/>
  </si>
  <si>
    <t>経費支弁者と申請者との関係を立証する資料
（親族関係公証書、戸籍簿の写し、出生証明書　等）</t>
    <phoneticPr fontId="5"/>
  </si>
  <si>
    <t>-</t>
    <phoneticPr fontId="5"/>
  </si>
  <si>
    <r>
      <t>経費支弁者</t>
    </r>
    <r>
      <rPr>
        <sz val="9"/>
        <color rgb="FFFF0000"/>
        <rFont val="ＭＳ Ｐゴシック"/>
        <family val="3"/>
        <charset val="128"/>
      </rPr>
      <t>住所</t>
    </r>
    <r>
      <rPr>
        <sz val="9"/>
        <rFont val="ＭＳ Ｐゴシック"/>
        <family val="3"/>
        <charset val="128"/>
      </rPr>
      <t>転送用</t>
    </r>
    <rPh sb="0" eb="2">
      <t>ケイヒ</t>
    </rPh>
    <rPh sb="2" eb="4">
      <t>シベン</t>
    </rPh>
    <rPh sb="4" eb="5">
      <t>シャ</t>
    </rPh>
    <rPh sb="5" eb="7">
      <t>ジュウショ</t>
    </rPh>
    <rPh sb="7" eb="10">
      <t>テンソウヨウ</t>
    </rPh>
    <phoneticPr fontId="5"/>
  </si>
  <si>
    <r>
      <t>経費支弁</t>
    </r>
    <r>
      <rPr>
        <sz val="9"/>
        <color rgb="FFFF0000"/>
        <rFont val="ＭＳ Ｐゴシック"/>
        <family val="3"/>
        <charset val="128"/>
      </rPr>
      <t>者勤務先</t>
    </r>
    <r>
      <rPr>
        <sz val="9"/>
        <rFont val="ＭＳ Ｐゴシック"/>
        <family val="3"/>
        <charset val="128"/>
      </rPr>
      <t>転送用</t>
    </r>
    <rPh sb="0" eb="2">
      <t>ケイヒ</t>
    </rPh>
    <rPh sb="2" eb="4">
      <t>シベン</t>
    </rPh>
    <rPh sb="4" eb="5">
      <t>シャ</t>
    </rPh>
    <rPh sb="5" eb="8">
      <t>キンムサキ</t>
    </rPh>
    <rPh sb="8" eb="11">
      <t>テンソウヨウ</t>
    </rPh>
    <phoneticPr fontId="5"/>
  </si>
  <si>
    <r>
      <t>経費支弁者</t>
    </r>
    <r>
      <rPr>
        <sz val="9"/>
        <color rgb="FFFF0000"/>
        <rFont val="ＭＳ Ｐゴシック"/>
        <family val="3"/>
        <charset val="128"/>
      </rPr>
      <t>氏名</t>
    </r>
    <r>
      <rPr>
        <sz val="9"/>
        <rFont val="ＭＳ Ｐゴシック"/>
        <family val="3"/>
        <charset val="128"/>
      </rPr>
      <t>転送用</t>
    </r>
    <rPh sb="0" eb="2">
      <t>ケイヒ</t>
    </rPh>
    <rPh sb="2" eb="4">
      <t>シベン</t>
    </rPh>
    <rPh sb="4" eb="5">
      <t>シャ</t>
    </rPh>
    <rPh sb="5" eb="7">
      <t>シメイ</t>
    </rPh>
    <rPh sb="7" eb="10">
      <t>テンソウヨウ</t>
    </rPh>
    <phoneticPr fontId="5"/>
  </si>
  <si>
    <t>23.進学先を卒業した後の計画について教えてください。</t>
    <phoneticPr fontId="5"/>
  </si>
  <si>
    <t>Vietnam</t>
    <phoneticPr fontId="5"/>
  </si>
  <si>
    <t>出生地</t>
    <rPh sb="0" eb="3">
      <t>シュッセイチ</t>
    </rPh>
    <phoneticPr fontId="5"/>
  </si>
  <si>
    <t>修学年数</t>
    <rPh sb="0" eb="2">
      <t>シュウガク</t>
    </rPh>
    <rPh sb="2" eb="4">
      <t>ネンスウ</t>
    </rPh>
    <phoneticPr fontId="5"/>
  </si>
  <si>
    <t>卒業年</t>
    <rPh sb="0" eb="2">
      <t>ソツギョウ</t>
    </rPh>
    <rPh sb="2" eb="3">
      <t>ドシ</t>
    </rPh>
    <phoneticPr fontId="5"/>
  </si>
  <si>
    <t>卒業月</t>
    <rPh sb="0" eb="2">
      <t>ソツギョウ</t>
    </rPh>
    <rPh sb="2" eb="3">
      <t>ツキ</t>
    </rPh>
    <phoneticPr fontId="5"/>
  </si>
  <si>
    <t>学校種類</t>
    <rPh sb="0" eb="2">
      <t>ガッコウ</t>
    </rPh>
    <rPh sb="2" eb="4">
      <t>シュルイ</t>
    </rPh>
    <phoneticPr fontId="5"/>
  </si>
  <si>
    <t>最終学歴状態</t>
    <rPh sb="0" eb="2">
      <t>サイシュウ</t>
    </rPh>
    <rPh sb="2" eb="4">
      <t>ガクレキ</t>
    </rPh>
    <rPh sb="4" eb="6">
      <t>ジョウタイ</t>
    </rPh>
    <phoneticPr fontId="5"/>
  </si>
  <si>
    <t>続柄</t>
    <rPh sb="0" eb="1">
      <t>ツヅ</t>
    </rPh>
    <rPh sb="1" eb="2">
      <t>ガラ</t>
    </rPh>
    <phoneticPr fontId="5"/>
  </si>
  <si>
    <t>ＴＥＬ</t>
    <phoneticPr fontId="5"/>
  </si>
  <si>
    <t>月平均支弁額</t>
    <rPh sb="0" eb="1">
      <t>ツキ</t>
    </rPh>
    <rPh sb="1" eb="3">
      <t>ヘイキン</t>
    </rPh>
    <rPh sb="3" eb="5">
      <t>シベン</t>
    </rPh>
    <rPh sb="5" eb="6">
      <t>ガク</t>
    </rPh>
    <phoneticPr fontId="5"/>
  </si>
  <si>
    <t>高等学校
High school</t>
  </si>
  <si>
    <t>種類</t>
    <rPh sb="0" eb="2">
      <t>シュルイ</t>
    </rPh>
    <phoneticPr fontId="5"/>
  </si>
  <si>
    <t>学校名</t>
    <rPh sb="0" eb="3">
      <t>ガッコウメイ</t>
    </rPh>
    <phoneticPr fontId="5"/>
  </si>
  <si>
    <t>卒業状態</t>
    <rPh sb="0" eb="2">
      <t>ソツギョウ</t>
    </rPh>
    <rPh sb="2" eb="4">
      <t>ジョウタイ</t>
    </rPh>
    <phoneticPr fontId="5"/>
  </si>
  <si>
    <t>ＧＡＧ日本語学院</t>
    <rPh sb="3" eb="6">
      <t>ニホンゴ</t>
    </rPh>
    <rPh sb="6" eb="8">
      <t>ガクイン</t>
    </rPh>
    <phoneticPr fontId="5"/>
  </si>
  <si>
    <t>ＧＡＧ日本語学院</t>
    <phoneticPr fontId="5"/>
  </si>
  <si>
    <t>　日本の法律とＧＡＧ日本語学院の校則を理解し、従います。</t>
    <rPh sb="16" eb="18">
      <t>コウソク</t>
    </rPh>
    <phoneticPr fontId="5"/>
  </si>
  <si>
    <t>ＧＡＧ日本語学院</t>
    <phoneticPr fontId="5"/>
  </si>
  <si>
    <t>GAG JAPANESE LANGUAGE INSTITUTE</t>
  </si>
  <si>
    <t>To: The Principal of GAG JAPANESE LANGUAGE INSTITUTE</t>
  </si>
  <si>
    <t>ＧＡＧ日本語学院　校長殿</t>
    <rPh sb="9" eb="11">
      <t>コウチョウ</t>
    </rPh>
    <phoneticPr fontId="5"/>
  </si>
  <si>
    <t>福岡</t>
    <rPh sb="0" eb="2">
      <t>フクオカ</t>
    </rPh>
    <phoneticPr fontId="5"/>
  </si>
  <si>
    <t>092-260-9692</t>
  </si>
  <si>
    <t>080-3968-4136 
担当：NGUYEN DUY ANH（グエン・ズイ・アン）</t>
    <phoneticPr fontId="5"/>
  </si>
  <si>
    <t>福岡空港</t>
    <rPh sb="0" eb="2">
      <t>フクオカ</t>
    </rPh>
    <rPh sb="2" eb="4">
      <t>クウコウ</t>
    </rPh>
    <phoneticPr fontId="5"/>
  </si>
  <si>
    <t>福岡市博多区山王２－１１－２</t>
    <rPh sb="0" eb="3">
      <t>フクオカシ</t>
    </rPh>
    <rPh sb="3" eb="6">
      <t>ハカタク</t>
    </rPh>
    <rPh sb="6" eb="8">
      <t>サンノウ</t>
    </rPh>
    <phoneticPr fontId="5"/>
  </si>
  <si>
    <t>　グエン　　　ズイ　　　アン
NGUYEN DUY ANH</t>
    <phoneticPr fontId="5"/>
  </si>
  <si>
    <t>福岡市博多区山王2-11-5-101</t>
    <rPh sb="0" eb="3">
      <t>フクオカシ</t>
    </rPh>
    <rPh sb="3" eb="6">
      <t>ハカタク</t>
    </rPh>
    <rPh sb="6" eb="8">
      <t>サンオウ</t>
    </rPh>
    <phoneticPr fontId="5"/>
  </si>
  <si>
    <t>080-3968-4136</t>
    <phoneticPr fontId="5"/>
  </si>
  <si>
    <t>福岡市博多区山王２－１１－２</t>
    <rPh sb="0" eb="3">
      <t>フクオカシ</t>
    </rPh>
    <rPh sb="3" eb="6">
      <t>ハカタク</t>
    </rPh>
    <rPh sb="6" eb="8">
      <t>サンオウ</t>
    </rPh>
    <phoneticPr fontId="5"/>
  </si>
  <si>
    <t>ＧＡＧ日本語学院　校長　山下由美</t>
    <rPh sb="9" eb="11">
      <t>コウチョウ</t>
    </rPh>
    <rPh sb="12" eb="14">
      <t>ヤマシタ</t>
    </rPh>
    <rPh sb="14" eb="16">
      <t>ユミ</t>
    </rPh>
    <phoneticPr fontId="5"/>
  </si>
  <si>
    <t>福岡入国管理局長　殿</t>
    <rPh sb="0" eb="2">
      <t>フクオカ</t>
    </rPh>
    <rPh sb="2" eb="4">
      <t>ニュウコク</t>
    </rPh>
    <rPh sb="4" eb="6">
      <t>カンリ</t>
    </rPh>
    <rPh sb="6" eb="8">
      <t>キョクチョウ</t>
    </rPh>
    <rPh sb="9" eb="10">
      <t>トノ</t>
    </rPh>
    <phoneticPr fontId="5"/>
  </si>
  <si>
    <t xml:space="preserve">BUI VAN HAI </t>
  </si>
  <si>
    <t>1991</t>
  </si>
  <si>
    <t>05</t>
  </si>
  <si>
    <t>TRAN THI NHI</t>
  </si>
  <si>
    <r>
      <t xml:space="preserve">続柄
</t>
    </r>
    <r>
      <rPr>
        <sz val="8"/>
        <rFont val="ＭＳ Ｐ明朝"/>
        <family val="1"/>
        <charset val="128"/>
      </rPr>
      <t>Relationship</t>
    </r>
  </si>
  <si>
    <t>母親</t>
  </si>
  <si>
    <t>署名
Signature</t>
  </si>
  <si>
    <t>＋84　1695 988 174</t>
  </si>
  <si>
    <t>BUI</t>
  </si>
  <si>
    <t>VAN HAI</t>
  </si>
  <si>
    <t>BÙI</t>
  </si>
  <si>
    <t>VĂN HẢI</t>
  </si>
  <si>
    <t>男</t>
  </si>
  <si>
    <t>女</t>
  </si>
  <si>
    <t>11</t>
  </si>
  <si>
    <t xml:space="preserve"> 7. 配偶者の有無</t>
  </si>
  <si>
    <t>無</t>
  </si>
  <si>
    <t>AN LU、THUY NGUYEN、HAI PHONG</t>
  </si>
  <si>
    <t>+841682587186</t>
  </si>
  <si>
    <t>1963</t>
  </si>
  <si>
    <t>06</t>
  </si>
  <si>
    <t>12</t>
  </si>
  <si>
    <t>1997</t>
  </si>
  <si>
    <t>9</t>
  </si>
  <si>
    <t>2002</t>
  </si>
  <si>
    <t>6</t>
  </si>
  <si>
    <t>2006</t>
  </si>
  <si>
    <t>2009</t>
  </si>
  <si>
    <t>2014</t>
  </si>
  <si>
    <t>大学院
Master</t>
  </si>
  <si>
    <t>VIETNAM MARITIME UNIVERSITY</t>
  </si>
  <si>
    <t>484LACH TRAY、NGO QUYEN、HAI PHONG</t>
  </si>
  <si>
    <t>卒業
graduated</t>
  </si>
  <si>
    <t>KYOCERA有限会社</t>
  </si>
  <si>
    <t>VISIP工業団地、THUY NGUYEN、HAI PHONG</t>
  </si>
  <si>
    <t>2015</t>
  </si>
  <si>
    <t>１</t>
  </si>
  <si>
    <t>2017</t>
  </si>
  <si>
    <t>3</t>
  </si>
  <si>
    <t>VIET TIEN日本語センター</t>
  </si>
  <si>
    <t>母
Mother</t>
  </si>
  <si>
    <t>+841695988174</t>
  </si>
  <si>
    <t>02</t>
  </si>
  <si>
    <t>PHAN VAN TUNG</t>
  </si>
  <si>
    <t>私はBUI VAN HAIの母親でTRAN THI NHIと申します。 息子は日本で勉強することを賛成しています。私は、息子の日本留学用の学費・生活費を支払うことを約束します。</t>
  </si>
  <si>
    <t xml:space="preserve"> 9. 布団購入（備え付けではありません。一組8,000円で購入できます。）</t>
  </si>
  <si>
    <t>HAI PHONG</t>
  </si>
  <si>
    <t>NGU LAO、THUY NGUYEN、HAI PHONG</t>
  </si>
  <si>
    <t>AN LU 、THUY NGUYEN、HAI PHONG</t>
  </si>
  <si>
    <t>Sau  khi tốt nghiệp, tôi sẽ trở về nước và vận dụng những kiến thức đã học ở Nhật Bản để làm việc ở những công ty, xí nghiệp.Tôi hi vọng, với những kiến thức mà tôi học được trong thời gian ở Nhật tôi sẽ có một công việc ổn định sau khi về Việt Nam và cống hiến cho sự phát triển của đất nước tôi</t>
  </si>
  <si>
    <r>
      <t xml:space="preserve">Tôi tên là Trần Thị Nhi là mẹ </t>
    </r>
    <r>
      <rPr>
        <sz val="10"/>
        <rFont val="MS Mincho"/>
        <family val="3"/>
      </rPr>
      <t>đ</t>
    </r>
    <r>
      <rPr>
        <sz val="10"/>
        <rFont val="Times"/>
        <family val="1"/>
      </rPr>
      <t>ẻ của em Bùi V</t>
    </r>
    <r>
      <rPr>
        <sz val="10"/>
        <rFont val="MS Mincho"/>
        <family val="3"/>
      </rPr>
      <t>ă</t>
    </r>
    <r>
      <rPr>
        <sz val="10"/>
        <rFont val="Times"/>
        <family val="1"/>
      </rPr>
      <t xml:space="preserve">n Hải. Tôi hoàn toàn </t>
    </r>
    <r>
      <rPr>
        <sz val="10"/>
        <rFont val="MS Mincho"/>
        <family val="3"/>
      </rPr>
      <t>đ</t>
    </r>
    <r>
      <rPr>
        <sz val="10"/>
        <rFont val="Times"/>
        <family val="1"/>
      </rPr>
      <t xml:space="preserve">ồng ý ủng họ con trên con </t>
    </r>
    <r>
      <rPr>
        <sz val="10"/>
        <rFont val="MS Mincho"/>
        <family val="3"/>
      </rPr>
      <t>đ</t>
    </r>
    <r>
      <rPr>
        <sz val="10"/>
        <rFont val="Arial"/>
        <family val="2"/>
      </rPr>
      <t>ư</t>
    </r>
    <r>
      <rPr>
        <sz val="10"/>
        <rFont val="Times"/>
        <family val="1"/>
      </rPr>
      <t>ờng học vấn. Tôi xin trách nhiệm chi trả toàn bộ học phí và sinh hoạt phí trong suốt quá trình con trai tôi theo học tại Nhật Bản.</t>
    </r>
    <phoneticPr fontId="5"/>
  </si>
  <si>
    <t>BUI VAN BON</t>
    <phoneticPr fontId="5"/>
  </si>
  <si>
    <t>1961</t>
    <phoneticPr fontId="5"/>
  </si>
  <si>
    <t>DEAD</t>
    <phoneticPr fontId="5"/>
  </si>
  <si>
    <t>AN LU、THUY NGUYEN、HAI PHONG</t>
    <phoneticPr fontId="5"/>
  </si>
  <si>
    <t>AN LU</t>
    <phoneticPr fontId="5"/>
  </si>
  <si>
    <t>PHAM NGU LAO</t>
    <phoneticPr fontId="5"/>
  </si>
  <si>
    <t>NOW</t>
    <phoneticPr fontId="5"/>
  </si>
  <si>
    <r>
      <t>Vào tháng 7/ 2014 tôi tốt nghiệp đại học hàng hải khoa kinh tế, sau đó tôi đã xin đi làm tai công ty trách nhiệm hữu hạn máy văn phòng KYOCERA VIỆT NAM với chức vụ nhân viên sản xuất. Thời gian làm ở đây tôi thấy những kiến thức mà mình đã học còn rất hạn chế, hơn nữa ở VIỆT NAM trình độ đào tạo không thể nào bằng các nước khác được. Tôi rất muốn được đi ra nước ngoài học tiếp để nâng cao kiến thức của mình, vào tháng 1/2017 tôi quyết định  xin nghỉ làm để về xin đi du học nước ngoài. Tôi tìm hiểu qua sách báo , internet , bạn bè người thân và thông qua rất nhiều buổi hội thảo giới thiệu về du học NHẬT BẢN. Xung quanh tôi, có người đã từng đi du học Nhật Bản. Theo như kinh nghiệm của người đó, du học là khoảng thời gian làm cho mình trở nên trưởng thành hơn, vì vậy tôi ngh</t>
    </r>
    <r>
      <rPr>
        <sz val="7"/>
        <rFont val="ＭＳ Ｐ明朝"/>
        <family val="1"/>
        <charset val="128"/>
      </rPr>
      <t>ĩ</t>
    </r>
    <r>
      <rPr>
        <sz val="7"/>
        <rFont val="Times New Roman"/>
        <family val="1"/>
      </rPr>
      <t xml:space="preserve"> mình c</t>
    </r>
    <r>
      <rPr>
        <sz val="7"/>
        <rFont val="ＭＳ Ｐ明朝"/>
        <family val="1"/>
        <charset val="128"/>
      </rPr>
      <t>ũ</t>
    </r>
    <r>
      <rPr>
        <sz val="7"/>
        <rFont val="Times New Roman"/>
        <family val="1"/>
      </rPr>
      <t>ng muốn thử sức như người đó vậy. Nếu được sang nhật học tôi sẽ cố gắng học tập chăm chỉ và học lên chuyên ngành kinh tế tại đại học Fukuoka để nâng cao thêm kiến thức trong l</t>
    </r>
    <r>
      <rPr>
        <sz val="7"/>
        <rFont val="ＭＳ Ｐ明朝"/>
        <family val="1"/>
        <charset val="128"/>
      </rPr>
      <t>ĩ</t>
    </r>
    <r>
      <rPr>
        <sz val="7"/>
        <rFont val="Times New Roman"/>
        <family val="1"/>
      </rPr>
      <t>nh vực này đã học ở Việt Nam.</t>
    </r>
    <phoneticPr fontId="5"/>
  </si>
  <si>
    <t>2014年7月に航海大学の会計学部を卒業して、VIET　NAM　KYOCERA事務機器有限会社で生産部の従業員として仕事をしました。仕事中に自分の知識がまだ不足だと感じていました。更に、ベトナムの教育は海外の教育制度と比べるとまだ遅れると思っています。自分の知識が増やすため、海外に行きたくて、2017年1月に会社を辞めて、海外へ留学するため、書類の準備を始めました。インターネットと友達留学面接会などを通して、日本留学を知っています。2017年1月に私の家の近くに日本で留学へ行く人がいます。その人によると外国留学は外国の経験や知識などを増やすチャンスがたくさんあります。一度日本の留学を体験したいと思っています。日本に留学できれば、福岡大学の経済学部に進学し、ベトナムでの短期大学で勉強した分野に関して、もっと深く研修できると信じています。</t>
    <rPh sb="15" eb="17">
      <t>ガクブ</t>
    </rPh>
    <rPh sb="48" eb="50">
      <t>セイサン</t>
    </rPh>
    <rPh sb="50" eb="51">
      <t>ブ</t>
    </rPh>
    <rPh sb="52" eb="55">
      <t>ジュウギョウイン</t>
    </rPh>
    <rPh sb="78" eb="80">
      <t>フソク</t>
    </rPh>
    <rPh sb="101" eb="103">
      <t>カイガイ</t>
    </rPh>
    <rPh sb="104" eb="106">
      <t>キョウイク</t>
    </rPh>
    <rPh sb="106" eb="108">
      <t>セイド</t>
    </rPh>
    <rPh sb="115" eb="116">
      <t>オク</t>
    </rPh>
    <rPh sb="126" eb="128">
      <t>ジブン</t>
    </rPh>
    <rPh sb="129" eb="131">
      <t>チシキ</t>
    </rPh>
    <rPh sb="132" eb="133">
      <t>フ</t>
    </rPh>
    <rPh sb="138" eb="140">
      <t>カイガイ</t>
    </rPh>
    <rPh sb="141" eb="142">
      <t>イ</t>
    </rPh>
    <rPh sb="151" eb="152">
      <t>ネン</t>
    </rPh>
    <rPh sb="153" eb="154">
      <t>ガツ</t>
    </rPh>
    <rPh sb="155" eb="157">
      <t>カイシャ</t>
    </rPh>
    <rPh sb="158" eb="159">
      <t>ヤ</t>
    </rPh>
    <rPh sb="162" eb="164">
      <t>カイガイ</t>
    </rPh>
    <rPh sb="165" eb="167">
      <t>リュウガク</t>
    </rPh>
    <rPh sb="270" eb="271">
      <t>フ</t>
    </rPh>
    <rPh sb="287" eb="289">
      <t>イチド</t>
    </rPh>
    <rPh sb="289" eb="291">
      <t>ニホン</t>
    </rPh>
    <rPh sb="292" eb="294">
      <t>リュウガク</t>
    </rPh>
    <rPh sb="295" eb="297">
      <t>タイケン</t>
    </rPh>
    <rPh sb="301" eb="302">
      <t>オモ</t>
    </rPh>
    <rPh sb="308" eb="310">
      <t>ニホン</t>
    </rPh>
    <rPh sb="311" eb="313">
      <t>リュウガク</t>
    </rPh>
    <rPh sb="318" eb="320">
      <t>フクオカ</t>
    </rPh>
    <rPh sb="320" eb="322">
      <t>ダイガク</t>
    </rPh>
    <rPh sb="323" eb="325">
      <t>ケイザイ</t>
    </rPh>
    <rPh sb="325" eb="326">
      <t>ガク</t>
    </rPh>
    <rPh sb="326" eb="327">
      <t>ブ</t>
    </rPh>
    <rPh sb="328" eb="330">
      <t>シンガク</t>
    </rPh>
    <rPh sb="338" eb="340">
      <t>タンキ</t>
    </rPh>
    <rPh sb="340" eb="342">
      <t>ダイガク</t>
    </rPh>
    <rPh sb="343" eb="345">
      <t>ベンキョウ</t>
    </rPh>
    <rPh sb="347" eb="349">
      <t>ブンノ</t>
    </rPh>
    <rPh sb="350" eb="351">
      <t>カン</t>
    </rPh>
    <rPh sb="357" eb="358">
      <t>フカ</t>
    </rPh>
    <rPh sb="359" eb="361">
      <t>ケンシュウ</t>
    </rPh>
    <rPh sb="365" eb="366">
      <t>シン</t>
    </rPh>
    <phoneticPr fontId="5"/>
  </si>
  <si>
    <t>大学を卒業したら、帰国します。ベトナムにある日系企業に入りたいです。日本で学んだ知識を生かして国の経済のため、貢献したと思います。</t>
    <rPh sb="24" eb="26">
      <t>キギョウ</t>
    </rPh>
    <rPh sb="55" eb="57">
      <t>コウケン</t>
    </rPh>
    <phoneticPr fontId="5"/>
  </si>
  <si>
    <t>VAN LOI, TAM DONG, ME LINH, HA NOI</t>
  </si>
  <si>
    <t>+841683880880</t>
  </si>
  <si>
    <t>ANH DUONG蝋燭生産有限会社</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</si>
</sst>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quot;年&quot;m&quot;月&quot;d&quot;日&quot;;@"/>
    <numFmt numFmtId="165" formatCode="0_);[Red]\(0\)"/>
  </numFmts>
  <fonts count="82">
    <font>
      <sz val="11"/>
      <name val="ＭＳ Ｐゴシック"/>
      <family val="3"/>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16"/>
      <name val="ＭＳ Ｐゴシック"/>
      <family val="3"/>
      <charset val="128"/>
    </font>
    <font>
      <sz val="6"/>
      <name val="ＭＳ Ｐゴシック"/>
      <family val="3"/>
      <charset val="128"/>
    </font>
    <font>
      <sz val="12"/>
      <name val="ＭＳ Ｐゴシック"/>
      <family val="3"/>
      <charset val="128"/>
    </font>
    <font>
      <sz val="10"/>
      <name val="ＭＳ Ｐゴシック"/>
      <family val="3"/>
      <charset val="128"/>
    </font>
    <font>
      <u/>
      <sz val="11"/>
      <color indexed="12"/>
      <name val="ＭＳ Ｐゴシック"/>
      <family val="3"/>
      <charset val="128"/>
    </font>
    <font>
      <sz val="12"/>
      <name val="ＭＳ Ｐ明朝"/>
      <family val="1"/>
      <charset val="128"/>
    </font>
    <font>
      <sz val="10"/>
      <name val="ＭＳ Ｐ明朝"/>
      <family val="1"/>
      <charset val="128"/>
    </font>
    <font>
      <sz val="14"/>
      <name val="ＭＳ ゴシック"/>
      <family val="3"/>
      <charset val="128"/>
    </font>
    <font>
      <sz val="8"/>
      <name val="ＭＳ Ｐ明朝"/>
      <family val="1"/>
      <charset val="128"/>
    </font>
    <font>
      <sz val="9"/>
      <name val="ＭＳ Ｐゴシック"/>
      <family val="3"/>
      <charset val="128"/>
    </font>
    <font>
      <b/>
      <sz val="11"/>
      <name val="ＭＳ Ｐ明朝"/>
      <family val="1"/>
      <charset val="128"/>
    </font>
    <font>
      <sz val="8"/>
      <name val="ＭＳ Ｐゴシック"/>
      <family val="3"/>
      <charset val="128"/>
    </font>
    <font>
      <sz val="9"/>
      <name val="ＭＳ Ｐ明朝"/>
      <family val="1"/>
      <charset val="128"/>
    </font>
    <font>
      <b/>
      <sz val="20"/>
      <name val="ＭＳ Ｐ明朝"/>
      <family val="1"/>
      <charset val="128"/>
    </font>
    <font>
      <sz val="16"/>
      <name val="ＭＳ ゴシック"/>
      <family val="3"/>
      <charset val="128"/>
    </font>
    <font>
      <sz val="11"/>
      <name val="ＭＳ Ｐ明朝"/>
      <family val="1"/>
      <charset val="128"/>
    </font>
    <font>
      <sz val="12"/>
      <color indexed="8"/>
      <name val="ＭＳ Ｐ明朝"/>
      <family val="1"/>
      <charset val="128"/>
    </font>
    <font>
      <sz val="8"/>
      <color indexed="8"/>
      <name val="ＭＳ Ｐゴシック"/>
      <family val="3"/>
      <charset val="128"/>
    </font>
    <font>
      <sz val="8"/>
      <name val="宋体"/>
      <family val="3"/>
      <charset val="128"/>
    </font>
    <font>
      <sz val="10"/>
      <name val="Calibri"/>
      <family val="3"/>
      <charset val="128"/>
      <scheme val="minor"/>
    </font>
    <font>
      <sz val="9"/>
      <name val="Calibri"/>
      <family val="3"/>
      <charset val="128"/>
      <scheme val="minor"/>
    </font>
    <font>
      <sz val="11"/>
      <name val="SimSun"/>
    </font>
    <font>
      <b/>
      <sz val="12"/>
      <name val="ＭＳ Ｐ明朝"/>
      <family val="1"/>
      <charset val="128"/>
    </font>
    <font>
      <sz val="9"/>
      <name val="Arial Narrow"/>
      <family val="2"/>
    </font>
    <font>
      <sz val="14"/>
      <name val="ＭＳ Ｐ明朝"/>
      <family val="1"/>
      <charset val="128"/>
    </font>
    <font>
      <sz val="12"/>
      <name val="Arial Narrow"/>
      <family val="2"/>
    </font>
    <font>
      <sz val="6"/>
      <name val="Calibri"/>
      <family val="2"/>
      <charset val="128"/>
      <scheme val="minor"/>
    </font>
    <font>
      <sz val="10"/>
      <name val="Arial Narrow"/>
      <family val="2"/>
    </font>
    <font>
      <sz val="7"/>
      <name val="Arial Narrow"/>
      <family val="2"/>
    </font>
    <font>
      <sz val="7"/>
      <color theme="1"/>
      <name val="Calibri"/>
      <family val="2"/>
      <charset val="128"/>
      <scheme val="minor"/>
    </font>
    <font>
      <sz val="7"/>
      <name val="ＭＳ Ｐ明朝"/>
      <family val="1"/>
      <charset val="128"/>
    </font>
    <font>
      <sz val="9"/>
      <color theme="1"/>
      <name val="Calibri"/>
      <family val="2"/>
      <charset val="128"/>
      <scheme val="minor"/>
    </font>
    <font>
      <sz val="9"/>
      <color theme="1"/>
      <name val="Calibri"/>
      <family val="3"/>
      <charset val="128"/>
      <scheme val="minor"/>
    </font>
    <font>
      <sz val="7"/>
      <name val="ＭＳ Ｐゴシック"/>
      <family val="3"/>
      <charset val="128"/>
    </font>
    <font>
      <sz val="6"/>
      <name val="Arial Narrow"/>
      <family val="2"/>
    </font>
    <font>
      <sz val="8"/>
      <name val="Arial Narrow"/>
      <family val="2"/>
    </font>
    <font>
      <sz val="11"/>
      <color indexed="8"/>
      <name val="ＭＳ Ｐ明朝"/>
      <family val="1"/>
      <charset val="128"/>
    </font>
    <font>
      <sz val="8"/>
      <color indexed="8"/>
      <name val="ＭＳ Ｐ明朝"/>
      <family val="1"/>
      <charset val="128"/>
    </font>
    <font>
      <sz val="8"/>
      <color indexed="8"/>
      <name val="Arial Narrow"/>
      <family val="2"/>
    </font>
    <font>
      <sz val="9"/>
      <color indexed="8"/>
      <name val="ＭＳ Ｐ明朝"/>
      <family val="1"/>
      <charset val="128"/>
    </font>
    <font>
      <sz val="12"/>
      <color indexed="10"/>
      <name val="ＭＳ Ｐ明朝"/>
      <family val="1"/>
      <charset val="128"/>
    </font>
    <font>
      <sz val="8"/>
      <name val="NSimSun"/>
      <family val="3"/>
      <charset val="134"/>
    </font>
    <font>
      <sz val="10"/>
      <color indexed="8"/>
      <name val="ＭＳ Ｐ明朝"/>
      <family val="1"/>
      <charset val="128"/>
    </font>
    <font>
      <sz val="9"/>
      <color indexed="8"/>
      <name val="Arial Narrow"/>
      <family val="2"/>
    </font>
    <font>
      <sz val="7"/>
      <color indexed="8"/>
      <name val="ＭＳ Ｐ明朝"/>
      <family val="1"/>
      <charset val="128"/>
    </font>
    <font>
      <b/>
      <sz val="9"/>
      <color indexed="8"/>
      <name val="ＭＳ Ｐ明朝"/>
      <family val="1"/>
      <charset val="128"/>
    </font>
    <font>
      <b/>
      <sz val="9"/>
      <name val="ＭＳ Ｐ明朝"/>
      <family val="1"/>
      <charset val="128"/>
    </font>
    <font>
      <b/>
      <sz val="12"/>
      <color indexed="8"/>
      <name val="ＭＳ Ｐ明朝"/>
      <family val="1"/>
      <charset val="128"/>
    </font>
    <font>
      <b/>
      <sz val="10"/>
      <color indexed="8"/>
      <name val="ＭＳ Ｐ明朝"/>
      <family val="1"/>
      <charset val="128"/>
    </font>
    <font>
      <b/>
      <sz val="10"/>
      <name val="ＭＳ Ｐ明朝"/>
      <family val="1"/>
      <charset val="128"/>
    </font>
    <font>
      <sz val="10"/>
      <color indexed="10"/>
      <name val="ＭＳ Ｐ明朝"/>
      <family val="1"/>
      <charset val="128"/>
    </font>
    <font>
      <sz val="8"/>
      <name val="Calibri"/>
      <family val="3"/>
      <charset val="128"/>
      <scheme val="minor"/>
    </font>
    <font>
      <sz val="11"/>
      <color rgb="FFFF0000"/>
      <name val="Calibri"/>
      <family val="2"/>
      <charset val="128"/>
      <scheme val="minor"/>
    </font>
    <font>
      <sz val="11"/>
      <name val="Lucida Sans Unicode"/>
      <family val="2"/>
    </font>
    <font>
      <sz val="12"/>
      <name val="Lucida Sans Unicode"/>
      <family val="2"/>
    </font>
    <font>
      <sz val="14"/>
      <name val="ＭＳ Ｐゴシック"/>
      <family val="3"/>
      <charset val="128"/>
    </font>
    <font>
      <b/>
      <sz val="18"/>
      <color rgb="FFFF0000"/>
      <name val="ＭＳ Ｐ明朝"/>
      <family val="1"/>
      <charset val="128"/>
    </font>
    <font>
      <sz val="10"/>
      <color rgb="FFFF0000"/>
      <name val="ＭＳ Ｐ明朝"/>
      <family val="1"/>
      <charset val="128"/>
    </font>
    <font>
      <sz val="12"/>
      <color rgb="FFFF0000"/>
      <name val="ＭＳ Ｐ明朝"/>
      <family val="1"/>
      <charset val="128"/>
    </font>
    <font>
      <sz val="11"/>
      <color rgb="FFFF0000"/>
      <name val="ＭＳ Ｐゴシック"/>
      <family val="3"/>
      <charset val="128"/>
    </font>
    <font>
      <sz val="36"/>
      <name val="ＭＳ Ｐゴシック"/>
      <family val="3"/>
      <charset val="128"/>
    </font>
    <font>
      <sz val="18"/>
      <name val="ＭＳ Ｐゴシック"/>
      <family val="3"/>
      <charset val="128"/>
    </font>
    <font>
      <sz val="28"/>
      <name val="ＭＳ Ｐゴシック"/>
      <family val="3"/>
      <charset val="128"/>
    </font>
    <font>
      <sz val="20"/>
      <name val="ＭＳ Ｐゴシック"/>
      <family val="3"/>
      <charset val="128"/>
    </font>
    <font>
      <sz val="10"/>
      <color indexed="10"/>
      <name val="ＭＳ Ｐゴシック"/>
      <family val="3"/>
      <charset val="128"/>
    </font>
    <font>
      <sz val="10"/>
      <color indexed="8"/>
      <name val="ＭＳ Ｐゴシック"/>
      <family val="3"/>
      <charset val="128"/>
    </font>
    <font>
      <sz val="11"/>
      <color theme="1"/>
      <name val="Calibri"/>
      <family val="3"/>
      <charset val="128"/>
      <scheme val="minor"/>
    </font>
    <font>
      <b/>
      <sz val="16"/>
      <color indexed="8"/>
      <name val="ＭＳ Ｐゴシック"/>
      <family val="3"/>
      <charset val="128"/>
    </font>
    <font>
      <sz val="10"/>
      <color theme="1"/>
      <name val="Calibri"/>
      <family val="3"/>
      <charset val="128"/>
      <scheme val="minor"/>
    </font>
    <font>
      <b/>
      <sz val="10"/>
      <color indexed="8"/>
      <name val="ＭＳ Ｐゴシック"/>
      <family val="3"/>
      <charset val="128"/>
    </font>
    <font>
      <u/>
      <sz val="6.5"/>
      <color theme="10"/>
      <name val="ＭＳ Ｐゴシック"/>
      <family val="3"/>
      <charset val="128"/>
    </font>
    <font>
      <sz val="9"/>
      <color rgb="FFFF0000"/>
      <name val="ＭＳ Ｐゴシック"/>
      <family val="3"/>
      <charset val="128"/>
    </font>
    <font>
      <sz val="10"/>
      <name val="Times New Roman"/>
      <family val="1"/>
    </font>
    <font>
      <sz val="8"/>
      <name val="Times New Roman"/>
      <family val="1"/>
    </font>
    <font>
      <sz val="10"/>
      <name val="MS Mincho"/>
      <family val="3"/>
    </font>
    <font>
      <sz val="10"/>
      <name val="Arial"/>
      <family val="2"/>
    </font>
    <font>
      <sz val="10"/>
      <name val="Times"/>
      <family val="1"/>
    </font>
    <font>
      <sz val="7"/>
      <name val="Times New Roman"/>
      <family val="1"/>
    </font>
  </fonts>
  <fills count="10">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rgb="FFFFFF00"/>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3" tint="0.79998168889431442"/>
        <bgColor indexed="64"/>
      </patternFill>
    </fill>
    <fill>
      <patternFill patternType="solid">
        <fgColor rgb="FF92D050"/>
        <bgColor indexed="64"/>
      </patternFill>
    </fill>
    <fill>
      <patternFill patternType="solid">
        <fgColor theme="6"/>
        <bgColor indexed="64"/>
      </patternFill>
    </fill>
  </fills>
  <borders count="83">
    <border>
      <left/>
      <right/>
      <top/>
      <bottom/>
      <diagonal/>
    </border>
    <border>
      <left style="hair">
        <color indexed="64"/>
      </left>
      <right/>
      <top/>
      <bottom/>
      <diagonal/>
    </border>
    <border>
      <left/>
      <right/>
      <top style="thin">
        <color indexed="64"/>
      </top>
      <bottom style="thin">
        <color indexed="64"/>
      </bottom>
      <diagonal/>
    </border>
    <border>
      <left/>
      <right/>
      <top/>
      <bottom style="thin">
        <color indexed="64"/>
      </bottom>
      <diagonal/>
    </border>
    <border>
      <left/>
      <right style="medium">
        <color indexed="64"/>
      </right>
      <top/>
      <bottom/>
      <diagonal/>
    </border>
    <border>
      <left/>
      <right/>
      <top style="thin">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style="medium">
        <color indexed="64"/>
      </bottom>
      <diagonal/>
    </border>
    <border>
      <left/>
      <right style="thin">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indexed="64"/>
      </bottom>
      <diagonal/>
    </border>
    <border>
      <left/>
      <right style="thin">
        <color indexed="64"/>
      </right>
      <top style="medium">
        <color indexed="64"/>
      </top>
      <bottom/>
      <diagonal/>
    </border>
    <border>
      <left style="thin">
        <color indexed="64"/>
      </left>
      <right/>
      <top style="dashed">
        <color indexed="64"/>
      </top>
      <bottom/>
      <diagonal/>
    </border>
    <border>
      <left/>
      <right/>
      <top style="dashed">
        <color indexed="64"/>
      </top>
      <bottom/>
      <diagonal/>
    </border>
    <border>
      <left/>
      <right style="thin">
        <color indexed="64"/>
      </right>
      <top style="dashed">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n">
        <color indexed="64"/>
      </right>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medium">
        <color indexed="64"/>
      </right>
      <top style="double">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9">
    <xf numFmtId="0" fontId="0" fillId="0" borderId="0">
      <alignment vertical="center"/>
    </xf>
    <xf numFmtId="0" fontId="8" fillId="0" borderId="0" applyNumberFormat="0" applyFill="0" applyBorder="0" applyAlignment="0" applyProtection="0">
      <alignment vertical="top"/>
      <protection locked="0"/>
    </xf>
    <xf numFmtId="38" fontId="3" fillId="0" borderId="0" applyFont="0" applyFill="0" applyBorder="0" applyAlignment="0" applyProtection="0">
      <alignment vertical="center"/>
    </xf>
    <xf numFmtId="0" fontId="25" fillId="0" borderId="0"/>
    <xf numFmtId="38" fontId="25" fillId="0" borderId="0" applyFont="0" applyFill="0" applyBorder="0" applyAlignment="0" applyProtection="0"/>
    <xf numFmtId="0" fontId="3" fillId="0" borderId="0">
      <alignment vertical="center"/>
    </xf>
    <xf numFmtId="0" fontId="2" fillId="0" borderId="0">
      <alignment vertical="center"/>
    </xf>
    <xf numFmtId="0" fontId="70" fillId="0" borderId="0">
      <alignment vertical="center"/>
    </xf>
    <xf numFmtId="0" fontId="74" fillId="0" borderId="0" applyNumberFormat="0" applyFill="0" applyBorder="0" applyAlignment="0" applyProtection="0">
      <alignment vertical="top"/>
      <protection locked="0"/>
    </xf>
  </cellStyleXfs>
  <cellXfs count="1525">
    <xf numFmtId="0" fontId="0" fillId="0" borderId="0" xfId="0">
      <alignment vertical="center"/>
    </xf>
    <xf numFmtId="0" fontId="4" fillId="0" borderId="0" xfId="0" applyFont="1">
      <alignment vertical="center"/>
    </xf>
    <xf numFmtId="0" fontId="6" fillId="0" borderId="0" xfId="0" applyFont="1">
      <alignment vertical="center"/>
    </xf>
    <xf numFmtId="0" fontId="6" fillId="0" borderId="0" xfId="0" applyFont="1" applyBorder="1">
      <alignment vertical="center"/>
    </xf>
    <xf numFmtId="0" fontId="7" fillId="0" borderId="0" xfId="0" applyFont="1" applyAlignment="1"/>
    <xf numFmtId="0" fontId="10" fillId="0" borderId="0" xfId="0" applyFont="1" applyAlignment="1"/>
    <xf numFmtId="0" fontId="10" fillId="0" borderId="0" xfId="0" applyFont="1" applyBorder="1" applyAlignment="1"/>
    <xf numFmtId="0" fontId="7" fillId="0" borderId="0" xfId="0" applyFont="1" applyBorder="1" applyAlignment="1"/>
    <xf numFmtId="0" fontId="11" fillId="0" borderId="0" xfId="0" applyFont="1" applyAlignment="1">
      <alignment horizontal="right" vertical="center"/>
    </xf>
    <xf numFmtId="0" fontId="14" fillId="0" borderId="0" xfId="0" applyFont="1" applyAlignment="1">
      <alignment horizontal="center" vertical="center"/>
    </xf>
    <xf numFmtId="0" fontId="9" fillId="0" borderId="0" xfId="0" applyFont="1" applyAlignment="1">
      <alignment vertical="center"/>
    </xf>
    <xf numFmtId="0" fontId="12" fillId="0" borderId="0" xfId="0" applyFont="1" applyBorder="1" applyAlignment="1"/>
    <xf numFmtId="0" fontId="15" fillId="0" borderId="0" xfId="0" applyFont="1" applyAlignment="1"/>
    <xf numFmtId="0" fontId="12" fillId="0" borderId="0" xfId="0" applyFont="1" applyAlignment="1"/>
    <xf numFmtId="0" fontId="15" fillId="0" borderId="2" xfId="0" applyFont="1" applyBorder="1" applyAlignment="1"/>
    <xf numFmtId="0" fontId="15" fillId="0" borderId="0" xfId="0" applyFont="1" applyBorder="1" applyAlignment="1"/>
    <xf numFmtId="0" fontId="15" fillId="0" borderId="3" xfId="0" applyFont="1" applyBorder="1" applyAlignment="1"/>
    <xf numFmtId="0" fontId="12" fillId="0" borderId="0" xfId="0" applyFont="1">
      <alignment vertical="center"/>
    </xf>
    <xf numFmtId="0" fontId="15" fillId="0" borderId="5" xfId="0" applyFont="1" applyBorder="1" applyAlignment="1"/>
    <xf numFmtId="0" fontId="15" fillId="0" borderId="6" xfId="0" applyFont="1" applyBorder="1" applyAlignment="1"/>
    <xf numFmtId="0" fontId="15" fillId="0" borderId="7" xfId="0" applyFont="1" applyBorder="1" applyAlignment="1"/>
    <xf numFmtId="0" fontId="15" fillId="0" borderId="8" xfId="0" applyFont="1" applyBorder="1" applyAlignment="1"/>
    <xf numFmtId="0" fontId="15" fillId="0" borderId="9" xfId="0" applyFont="1" applyBorder="1" applyAlignment="1"/>
    <xf numFmtId="0" fontId="15" fillId="0" borderId="10" xfId="0" applyFont="1" applyBorder="1" applyAlignment="1"/>
    <xf numFmtId="0" fontId="7" fillId="2" borderId="11" xfId="0" applyFont="1" applyFill="1" applyBorder="1" applyAlignment="1"/>
    <xf numFmtId="0" fontId="6" fillId="2" borderId="12" xfId="0" applyFont="1" applyFill="1" applyBorder="1">
      <alignment vertical="center"/>
    </xf>
    <xf numFmtId="0" fontId="6" fillId="2" borderId="13" xfId="0" applyFont="1" applyFill="1" applyBorder="1">
      <alignment vertical="center"/>
    </xf>
    <xf numFmtId="0" fontId="12" fillId="2" borderId="12" xfId="0" applyFont="1" applyFill="1" applyBorder="1" applyAlignment="1"/>
    <xf numFmtId="0" fontId="12" fillId="2" borderId="12" xfId="0" applyFont="1" applyFill="1" applyBorder="1" applyAlignment="1">
      <alignment vertical="center" wrapText="1"/>
    </xf>
    <xf numFmtId="0" fontId="15" fillId="2" borderId="12" xfId="0" applyFont="1" applyFill="1" applyBorder="1" applyAlignment="1"/>
    <xf numFmtId="0" fontId="7" fillId="2" borderId="12" xfId="0" applyFont="1" applyFill="1" applyBorder="1" applyAlignment="1"/>
    <xf numFmtId="0" fontId="7" fillId="2" borderId="13" xfId="0" applyFont="1" applyFill="1" applyBorder="1" applyAlignment="1"/>
    <xf numFmtId="0" fontId="3" fillId="2" borderId="12" xfId="0" applyFont="1" applyFill="1" applyBorder="1" applyAlignment="1"/>
    <xf numFmtId="0" fontId="12" fillId="2" borderId="12" xfId="0" applyFont="1" applyFill="1" applyBorder="1" applyAlignment="1">
      <alignment horizontal="left"/>
    </xf>
    <xf numFmtId="0" fontId="15" fillId="0" borderId="4" xfId="0" applyFont="1" applyBorder="1" applyAlignment="1"/>
    <xf numFmtId="0" fontId="15" fillId="0" borderId="0" xfId="0" applyFont="1" applyBorder="1" applyAlignment="1">
      <alignment horizontal="left"/>
    </xf>
    <xf numFmtId="0" fontId="15" fillId="0" borderId="0" xfId="0" applyFont="1" applyBorder="1" applyAlignment="1">
      <alignment vertical="center" wrapText="1"/>
    </xf>
    <xf numFmtId="0" fontId="15" fillId="0" borderId="5" xfId="0" applyFont="1" applyBorder="1" applyAlignment="1">
      <alignment horizontal="left"/>
    </xf>
    <xf numFmtId="0" fontId="15" fillId="0" borderId="5" xfId="0" applyFont="1" applyBorder="1" applyAlignment="1">
      <alignment vertical="center" wrapText="1"/>
    </xf>
    <xf numFmtId="0" fontId="15" fillId="0" borderId="3" xfId="0" applyFont="1" applyBorder="1" applyAlignment="1">
      <alignment horizontal="left"/>
    </xf>
    <xf numFmtId="0" fontId="15" fillId="0" borderId="3" xfId="0" applyFont="1" applyBorder="1" applyAlignment="1">
      <alignment vertical="center" wrapText="1"/>
    </xf>
    <xf numFmtId="0" fontId="15" fillId="0" borderId="2" xfId="0" applyFont="1" applyBorder="1" applyAlignment="1">
      <alignment horizontal="left"/>
    </xf>
    <xf numFmtId="0" fontId="15" fillId="0" borderId="14" xfId="0" applyFont="1" applyBorder="1" applyAlignment="1"/>
    <xf numFmtId="0" fontId="15" fillId="0" borderId="15" xfId="0" applyFont="1" applyBorder="1" applyAlignment="1"/>
    <xf numFmtId="0" fontId="15" fillId="0" borderId="16" xfId="0" applyFont="1" applyBorder="1" applyAlignment="1"/>
    <xf numFmtId="0" fontId="15" fillId="0" borderId="17" xfId="0" applyFont="1" applyBorder="1" applyAlignment="1"/>
    <xf numFmtId="0" fontId="15" fillId="0" borderId="18" xfId="0" applyFont="1" applyBorder="1" applyAlignment="1"/>
    <xf numFmtId="0" fontId="15" fillId="0" borderId="3" xfId="0" applyFont="1" applyBorder="1" applyAlignment="1">
      <alignment horizontal="center"/>
    </xf>
    <xf numFmtId="0" fontId="15" fillId="0" borderId="0" xfId="0" applyFont="1" applyBorder="1" applyAlignment="1">
      <alignment horizontal="center"/>
    </xf>
    <xf numFmtId="0" fontId="15" fillId="0" borderId="19" xfId="0" applyFont="1" applyBorder="1" applyAlignment="1"/>
    <xf numFmtId="0" fontId="15" fillId="0" borderId="20" xfId="0" applyFont="1" applyBorder="1" applyAlignment="1"/>
    <xf numFmtId="0" fontId="15" fillId="0" borderId="21" xfId="0" applyFont="1" applyBorder="1" applyAlignment="1"/>
    <xf numFmtId="0" fontId="15" fillId="0" borderId="22" xfId="0" applyFont="1" applyBorder="1" applyAlignment="1"/>
    <xf numFmtId="0" fontId="15" fillId="0" borderId="23" xfId="0" applyFont="1" applyBorder="1" applyAlignment="1"/>
    <xf numFmtId="0" fontId="15" fillId="0" borderId="24" xfId="0" applyFont="1" applyBorder="1" applyAlignment="1"/>
    <xf numFmtId="0" fontId="15" fillId="0" borderId="0" xfId="0" applyFont="1" applyFill="1" applyAlignment="1"/>
    <xf numFmtId="0" fontId="15" fillId="0" borderId="21" xfId="0" applyFont="1" applyBorder="1" applyAlignment="1">
      <alignment horizontal="left"/>
    </xf>
    <xf numFmtId="0" fontId="15" fillId="0" borderId="3" xfId="0" applyFont="1" applyBorder="1" applyAlignment="1">
      <alignment shrinkToFit="1"/>
    </xf>
    <xf numFmtId="0" fontId="15" fillId="0" borderId="25" xfId="0" applyFont="1" applyBorder="1" applyAlignment="1"/>
    <xf numFmtId="0" fontId="15" fillId="0" borderId="16" xfId="0" applyFont="1" applyBorder="1" applyAlignment="1">
      <alignment vertical="center" wrapText="1"/>
    </xf>
    <xf numFmtId="0" fontId="15" fillId="0" borderId="26" xfId="0" applyFont="1" applyBorder="1" applyAlignment="1"/>
    <xf numFmtId="0" fontId="15" fillId="0" borderId="8" xfId="0" applyFont="1" applyBorder="1" applyAlignment="1">
      <alignment horizontal="left"/>
    </xf>
    <xf numFmtId="0" fontId="15" fillId="0" borderId="0" xfId="0" applyFont="1" applyFill="1" applyBorder="1" applyAlignment="1">
      <alignment horizontal="left"/>
    </xf>
    <xf numFmtId="0" fontId="13" fillId="0" borderId="0" xfId="0" applyFont="1" applyBorder="1" applyAlignment="1"/>
    <xf numFmtId="0" fontId="13" fillId="0" borderId="0" xfId="0" applyFont="1" applyAlignment="1"/>
    <xf numFmtId="0" fontId="13" fillId="0" borderId="3" xfId="0" applyFont="1" applyBorder="1" applyAlignment="1"/>
    <xf numFmtId="0" fontId="13" fillId="0" borderId="3" xfId="0" applyFont="1" applyBorder="1" applyAlignment="1">
      <alignment horizontal="center"/>
    </xf>
    <xf numFmtId="0" fontId="13" fillId="0" borderId="0" xfId="0" applyFont="1" applyAlignment="1">
      <alignment horizontal="right" vertical="center"/>
    </xf>
    <xf numFmtId="0" fontId="15" fillId="0" borderId="4" xfId="0" applyFont="1" applyFill="1" applyBorder="1" applyAlignment="1"/>
    <xf numFmtId="0" fontId="15" fillId="0" borderId="9" xfId="0" applyFont="1" applyBorder="1" applyAlignment="1">
      <alignment horizontal="left"/>
    </xf>
    <xf numFmtId="0" fontId="15" fillId="0" borderId="27" xfId="0" applyFont="1" applyBorder="1" applyAlignment="1">
      <alignment horizontal="left"/>
    </xf>
    <xf numFmtId="0" fontId="15" fillId="0" borderId="28" xfId="0" applyFont="1" applyBorder="1" applyAlignment="1">
      <alignment horizontal="left"/>
    </xf>
    <xf numFmtId="0" fontId="15" fillId="0" borderId="0" xfId="0" applyFont="1" applyBorder="1" applyAlignment="1">
      <alignment wrapText="1"/>
    </xf>
    <xf numFmtId="0" fontId="12" fillId="0" borderId="3" xfId="0" applyFont="1" applyBorder="1" applyAlignment="1"/>
    <xf numFmtId="0" fontId="15" fillId="0" borderId="21" xfId="0" applyFont="1" applyBorder="1">
      <alignment vertical="center"/>
    </xf>
    <xf numFmtId="0" fontId="15" fillId="0" borderId="3" xfId="0" applyFont="1" applyBorder="1">
      <alignment vertical="center"/>
    </xf>
    <xf numFmtId="0" fontId="12" fillId="0" borderId="3" xfId="0" applyFont="1" applyBorder="1">
      <alignment vertical="center"/>
    </xf>
    <xf numFmtId="0" fontId="15" fillId="0" borderId="22" xfId="0" applyFont="1" applyBorder="1">
      <alignment vertical="center"/>
    </xf>
    <xf numFmtId="0" fontId="15" fillId="0" borderId="29" xfId="0" applyFont="1" applyBorder="1" applyAlignment="1"/>
    <xf numFmtId="0" fontId="15" fillId="0" borderId="10" xfId="0" applyFont="1" applyBorder="1" applyAlignment="1">
      <alignment horizontal="center"/>
    </xf>
    <xf numFmtId="0" fontId="15" fillId="0" borderId="0" xfId="0" applyFont="1" applyBorder="1" applyAlignment="1">
      <alignment horizontal="right"/>
    </xf>
    <xf numFmtId="0" fontId="15" fillId="0" borderId="30" xfId="0" applyFont="1" applyBorder="1" applyAlignment="1"/>
    <xf numFmtId="0" fontId="5" fillId="0" borderId="3" xfId="0" applyFont="1" applyBorder="1" applyAlignment="1"/>
    <xf numFmtId="0" fontId="5" fillId="0" borderId="10" xfId="0" applyFont="1" applyBorder="1" applyAlignment="1"/>
    <xf numFmtId="0" fontId="10" fillId="0" borderId="31" xfId="0" applyFont="1" applyFill="1" applyBorder="1" applyAlignment="1"/>
    <xf numFmtId="0" fontId="9" fillId="0" borderId="6" xfId="0" applyFont="1" applyFill="1" applyBorder="1">
      <alignment vertical="center"/>
    </xf>
    <xf numFmtId="0" fontId="9" fillId="0" borderId="32" xfId="0" applyFont="1" applyFill="1" applyBorder="1">
      <alignment vertical="center"/>
    </xf>
    <xf numFmtId="0" fontId="12" fillId="0" borderId="6" xfId="0" applyFont="1" applyFill="1" applyBorder="1">
      <alignment vertical="center"/>
    </xf>
    <xf numFmtId="0" fontId="9" fillId="0" borderId="0" xfId="0" applyFont="1" applyFill="1">
      <alignment vertical="center"/>
    </xf>
    <xf numFmtId="0" fontId="9" fillId="0" borderId="33" xfId="0" applyFont="1" applyFill="1" applyBorder="1">
      <alignment vertical="center"/>
    </xf>
    <xf numFmtId="0" fontId="15" fillId="2" borderId="12" xfId="0" applyFont="1" applyFill="1" applyBorder="1" applyAlignment="1">
      <alignment horizontal="left"/>
    </xf>
    <xf numFmtId="0" fontId="15" fillId="0" borderId="6" xfId="0" applyFont="1" applyFill="1" applyBorder="1" applyAlignment="1">
      <alignment horizontal="left"/>
    </xf>
    <xf numFmtId="0" fontId="15" fillId="0" borderId="6" xfId="0" applyFont="1" applyBorder="1" applyAlignment="1">
      <alignment horizontal="left"/>
    </xf>
    <xf numFmtId="0" fontId="15" fillId="0" borderId="33" xfId="0" applyFont="1" applyBorder="1" applyAlignment="1"/>
    <xf numFmtId="0" fontId="9" fillId="0" borderId="0" xfId="0" applyFont="1" applyBorder="1" applyAlignment="1">
      <alignment horizontal="right" vertical="center"/>
    </xf>
    <xf numFmtId="0" fontId="6" fillId="0" borderId="30" xfId="0" applyFont="1" applyBorder="1" applyAlignment="1">
      <alignment horizontal="center" vertical="center"/>
    </xf>
    <xf numFmtId="0" fontId="6" fillId="0" borderId="17" xfId="0" applyFont="1" applyBorder="1" applyAlignment="1">
      <alignment horizontal="center" vertical="center"/>
    </xf>
    <xf numFmtId="0" fontId="6" fillId="0" borderId="34" xfId="0" applyFont="1" applyBorder="1" applyAlignment="1">
      <alignment horizontal="center" vertical="center"/>
    </xf>
    <xf numFmtId="0" fontId="6" fillId="0" borderId="5" xfId="0" applyFont="1" applyBorder="1" applyAlignment="1">
      <alignment horizontal="center"/>
    </xf>
    <xf numFmtId="0" fontId="13" fillId="0" borderId="3" xfId="0" applyFont="1" applyBorder="1" applyAlignment="1">
      <alignment horizontal="center" vertical="center"/>
    </xf>
    <xf numFmtId="0" fontId="13" fillId="0" borderId="3" xfId="0" applyFont="1" applyBorder="1" applyAlignment="1">
      <alignment horizontal="left" vertical="center"/>
    </xf>
    <xf numFmtId="0" fontId="13" fillId="0" borderId="5" xfId="0" applyFont="1" applyBorder="1" applyAlignment="1">
      <alignment horizontal="center"/>
    </xf>
    <xf numFmtId="0" fontId="13" fillId="0" borderId="10" xfId="0" applyFont="1" applyBorder="1" applyAlignment="1">
      <alignment horizontal="right" vertical="center"/>
    </xf>
    <xf numFmtId="0" fontId="9" fillId="0" borderId="0" xfId="0" applyFont="1" applyFill="1" applyBorder="1">
      <alignment vertical="center"/>
    </xf>
    <xf numFmtId="0" fontId="13" fillId="0" borderId="10" xfId="0" applyFont="1" applyBorder="1" applyAlignment="1">
      <alignment horizontal="left" vertical="center"/>
    </xf>
    <xf numFmtId="0" fontId="13" fillId="0" borderId="10" xfId="0" applyFont="1" applyBorder="1" applyAlignment="1">
      <alignment horizontal="center" vertical="center"/>
    </xf>
    <xf numFmtId="0" fontId="15" fillId="0" borderId="35" xfId="0" applyFont="1" applyBorder="1" applyAlignment="1">
      <alignment horizontal="left"/>
    </xf>
    <xf numFmtId="0" fontId="15" fillId="0" borderId="31" xfId="0" applyFont="1" applyBorder="1" applyAlignment="1"/>
    <xf numFmtId="0" fontId="6" fillId="0" borderId="30" xfId="0" applyFont="1" applyFill="1" applyBorder="1" applyAlignment="1">
      <alignment horizontal="center" vertical="center"/>
    </xf>
    <xf numFmtId="0" fontId="13" fillId="0" borderId="5" xfId="0" applyFont="1" applyFill="1" applyBorder="1" applyAlignment="1">
      <alignment horizontal="center"/>
    </xf>
    <xf numFmtId="0" fontId="6" fillId="0" borderId="17" xfId="0" applyFont="1" applyFill="1" applyBorder="1" applyAlignment="1">
      <alignment horizontal="center" vertical="center"/>
    </xf>
    <xf numFmtId="0" fontId="13" fillId="0" borderId="3" xfId="0" applyFont="1" applyFill="1" applyBorder="1" applyAlignment="1">
      <alignment horizontal="left" vertical="center"/>
    </xf>
    <xf numFmtId="0" fontId="13" fillId="0" borderId="3" xfId="0" applyFont="1" applyFill="1" applyBorder="1" applyAlignment="1">
      <alignment horizontal="center" vertical="center"/>
    </xf>
    <xf numFmtId="0" fontId="21" fillId="0" borderId="0" xfId="0" applyFont="1" applyFill="1" applyBorder="1" applyAlignment="1"/>
    <xf numFmtId="0" fontId="21" fillId="0" borderId="16" xfId="0" applyFont="1" applyFill="1" applyBorder="1" applyAlignment="1"/>
    <xf numFmtId="0" fontId="21" fillId="0" borderId="3" xfId="0" applyFont="1" applyFill="1" applyBorder="1" applyAlignment="1"/>
    <xf numFmtId="0" fontId="21" fillId="0" borderId="3" xfId="0" applyFont="1" applyFill="1" applyBorder="1" applyAlignment="1">
      <alignment horizontal="center"/>
    </xf>
    <xf numFmtId="0" fontId="15" fillId="0" borderId="22" xfId="0" applyFont="1" applyFill="1" applyBorder="1" applyAlignment="1"/>
    <xf numFmtId="0" fontId="22" fillId="0" borderId="0" xfId="0" applyFont="1" applyBorder="1" applyAlignment="1"/>
    <xf numFmtId="0" fontId="6" fillId="0" borderId="15" xfId="0" applyFont="1" applyBorder="1" applyAlignment="1">
      <alignment horizontal="center" vertical="center"/>
    </xf>
    <xf numFmtId="0" fontId="7" fillId="0" borderId="0" xfId="0" applyFont="1" applyBorder="1" applyAlignment="1">
      <alignment vertical="center"/>
    </xf>
    <xf numFmtId="0" fontId="9" fillId="0" borderId="0" xfId="0" applyFont="1" applyBorder="1" applyAlignment="1">
      <alignment vertical="center"/>
    </xf>
    <xf numFmtId="0" fontId="15" fillId="0" borderId="3" xfId="0" applyFont="1" applyBorder="1" applyAlignment="1">
      <alignment vertical="center"/>
    </xf>
    <xf numFmtId="0" fontId="13" fillId="0" borderId="0" xfId="0" applyFont="1" applyBorder="1" applyAlignment="1">
      <alignment horizontal="center"/>
    </xf>
    <xf numFmtId="0" fontId="15" fillId="0" borderId="10" xfId="0" applyFont="1" applyBorder="1" applyAlignment="1">
      <alignment vertical="center"/>
    </xf>
    <xf numFmtId="0" fontId="15" fillId="0" borderId="34" xfId="0" applyFont="1" applyBorder="1" applyAlignment="1"/>
    <xf numFmtId="49" fontId="15" fillId="0" borderId="31" xfId="0" applyNumberFormat="1" applyFont="1" applyBorder="1" applyAlignment="1"/>
    <xf numFmtId="49" fontId="15" fillId="0" borderId="6" xfId="0" applyNumberFormat="1" applyFont="1" applyBorder="1" applyAlignment="1"/>
    <xf numFmtId="49" fontId="15" fillId="0" borderId="33" xfId="0" applyNumberFormat="1" applyFont="1" applyBorder="1" applyAlignment="1"/>
    <xf numFmtId="49" fontId="15" fillId="0" borderId="9" xfId="0" applyNumberFormat="1" applyFont="1" applyBorder="1" applyAlignment="1"/>
    <xf numFmtId="49" fontId="15" fillId="0" borderId="0" xfId="0" applyNumberFormat="1" applyFont="1" applyBorder="1" applyAlignment="1"/>
    <xf numFmtId="49" fontId="15" fillId="0" borderId="4" xfId="0" applyNumberFormat="1" applyFont="1" applyBorder="1" applyAlignment="1"/>
    <xf numFmtId="49" fontId="15" fillId="0" borderId="24" xfId="0" applyNumberFormat="1" applyFont="1" applyBorder="1" applyAlignment="1"/>
    <xf numFmtId="49" fontId="15" fillId="0" borderId="10" xfId="0" applyNumberFormat="1" applyFont="1" applyBorder="1" applyAlignment="1"/>
    <xf numFmtId="49" fontId="15" fillId="0" borderId="36" xfId="0" applyNumberFormat="1" applyFont="1" applyBorder="1" applyAlignment="1"/>
    <xf numFmtId="0" fontId="15" fillId="0" borderId="0" xfId="0" applyFont="1" applyBorder="1" applyAlignment="1">
      <alignment horizontal="center"/>
    </xf>
    <xf numFmtId="0" fontId="15" fillId="0" borderId="0" xfId="0" applyFont="1" applyAlignment="1">
      <alignment wrapText="1"/>
    </xf>
    <xf numFmtId="0" fontId="6" fillId="0" borderId="0" xfId="0" applyFont="1" applyAlignment="1">
      <alignment vertical="center" wrapText="1"/>
    </xf>
    <xf numFmtId="0" fontId="6" fillId="0" borderId="0" xfId="0" applyFont="1" applyAlignment="1">
      <alignment vertical="center"/>
    </xf>
    <xf numFmtId="49" fontId="15" fillId="0" borderId="3" xfId="0" applyNumberFormat="1" applyFont="1" applyBorder="1" applyAlignment="1"/>
    <xf numFmtId="0" fontId="9" fillId="0" borderId="0" xfId="3" applyFont="1"/>
    <xf numFmtId="0" fontId="26" fillId="0" borderId="0" xfId="3" applyFont="1" applyAlignment="1">
      <alignment horizontal="center" vertical="center"/>
    </xf>
    <xf numFmtId="0" fontId="19" fillId="0" borderId="0" xfId="3" applyFont="1" applyAlignment="1"/>
    <xf numFmtId="0" fontId="9" fillId="0" borderId="0" xfId="3" applyFont="1" applyAlignment="1"/>
    <xf numFmtId="0" fontId="19" fillId="0" borderId="0" xfId="3" applyFont="1" applyAlignment="1">
      <alignment vertical="center"/>
    </xf>
    <xf numFmtId="0" fontId="19" fillId="0" borderId="0" xfId="3" applyFont="1" applyAlignment="1">
      <alignment horizontal="left"/>
    </xf>
    <xf numFmtId="0" fontId="19" fillId="0" borderId="0" xfId="3" applyFont="1" applyBorder="1" applyAlignment="1">
      <alignment horizontal="center" vertical="center"/>
    </xf>
    <xf numFmtId="0" fontId="19" fillId="0" borderId="0" xfId="3" applyFont="1" applyAlignment="1">
      <alignment horizontal="right"/>
    </xf>
    <xf numFmtId="0" fontId="19" fillId="0" borderId="0" xfId="3" applyFont="1" applyAlignment="1">
      <alignment horizontal="center"/>
    </xf>
    <xf numFmtId="0" fontId="19" fillId="0" borderId="0" xfId="3" applyFont="1" applyBorder="1" applyAlignment="1">
      <alignment horizontal="center"/>
    </xf>
    <xf numFmtId="0" fontId="19" fillId="0" borderId="0" xfId="3" applyFont="1" applyBorder="1" applyAlignment="1"/>
    <xf numFmtId="0" fontId="19" fillId="0" borderId="3" xfId="3" applyFont="1" applyBorder="1" applyAlignment="1"/>
    <xf numFmtId="0" fontId="19" fillId="0" borderId="3" xfId="3" applyFont="1" applyBorder="1" applyAlignment="1">
      <alignment horizontal="right"/>
    </xf>
    <xf numFmtId="0" fontId="19" fillId="0" borderId="3" xfId="3" applyFont="1" applyBorder="1" applyAlignment="1">
      <alignment horizontal="center"/>
    </xf>
    <xf numFmtId="0" fontId="19" fillId="0" borderId="0" xfId="3" applyFont="1" applyBorder="1" applyAlignment="1">
      <alignment horizontal="right"/>
    </xf>
    <xf numFmtId="38" fontId="9" fillId="0" borderId="0" xfId="4" applyFont="1" applyAlignment="1"/>
    <xf numFmtId="0" fontId="10" fillId="0" borderId="0" xfId="3" applyFont="1" applyAlignment="1"/>
    <xf numFmtId="49" fontId="19" fillId="0" borderId="0" xfId="3" applyNumberFormat="1" applyFont="1" applyAlignment="1"/>
    <xf numFmtId="0" fontId="19" fillId="0" borderId="2" xfId="3" applyFont="1" applyBorder="1" applyAlignment="1"/>
    <xf numFmtId="0" fontId="19" fillId="0" borderId="2" xfId="3" applyFont="1" applyBorder="1" applyAlignment="1">
      <alignment horizontal="right"/>
    </xf>
    <xf numFmtId="0" fontId="19" fillId="0" borderId="0" xfId="3" applyFont="1"/>
    <xf numFmtId="0" fontId="19" fillId="0" borderId="0" xfId="3" applyFont="1" applyBorder="1" applyAlignment="1">
      <alignment horizontal="center" vertical="center" textRotation="255"/>
    </xf>
    <xf numFmtId="0" fontId="19" fillId="0" borderId="0" xfId="3" applyFont="1" applyBorder="1"/>
    <xf numFmtId="0" fontId="19" fillId="0" borderId="3" xfId="3" applyFont="1" applyBorder="1"/>
    <xf numFmtId="0" fontId="19" fillId="0" borderId="5" xfId="3" applyFont="1" applyBorder="1"/>
    <xf numFmtId="0" fontId="19" fillId="0" borderId="30" xfId="3" applyFont="1" applyBorder="1"/>
    <xf numFmtId="0" fontId="12" fillId="0" borderId="0" xfId="3" applyFont="1"/>
    <xf numFmtId="0" fontId="12" fillId="0" borderId="0" xfId="3" applyFont="1" applyBorder="1" applyAlignment="1">
      <alignment horizontal="center" vertical="center" textRotation="255"/>
    </xf>
    <xf numFmtId="0" fontId="12" fillId="0" borderId="14" xfId="3" applyFont="1" applyBorder="1"/>
    <xf numFmtId="0" fontId="12" fillId="0" borderId="0" xfId="3" applyFont="1" applyBorder="1"/>
    <xf numFmtId="0" fontId="12" fillId="0" borderId="15" xfId="3" applyFont="1" applyBorder="1"/>
    <xf numFmtId="0" fontId="19" fillId="0" borderId="15" xfId="3" applyFont="1" applyBorder="1"/>
    <xf numFmtId="0" fontId="12" fillId="0" borderId="16" xfId="3" applyFont="1" applyBorder="1"/>
    <xf numFmtId="0" fontId="19" fillId="0" borderId="17" xfId="3" applyFont="1" applyBorder="1"/>
    <xf numFmtId="0" fontId="19" fillId="0" borderId="0" xfId="3" applyFont="1" applyBorder="1" applyAlignment="1">
      <alignment horizontal="center" vertical="center" textRotation="255" wrapText="1"/>
    </xf>
    <xf numFmtId="0" fontId="19" fillId="0" borderId="18" xfId="3" applyFont="1" applyBorder="1"/>
    <xf numFmtId="0" fontId="10" fillId="0" borderId="0" xfId="3" applyFont="1"/>
    <xf numFmtId="0" fontId="10" fillId="0" borderId="0" xfId="3" applyFont="1" applyBorder="1" applyAlignment="1">
      <alignment horizontal="center" vertical="center" textRotation="255"/>
    </xf>
    <xf numFmtId="0" fontId="10" fillId="0" borderId="16" xfId="3" applyFont="1" applyBorder="1"/>
    <xf numFmtId="0" fontId="10" fillId="0" borderId="3" xfId="3" applyFont="1" applyBorder="1"/>
    <xf numFmtId="0" fontId="10" fillId="0" borderId="17" xfId="3" applyFont="1" applyBorder="1"/>
    <xf numFmtId="0" fontId="9" fillId="0" borderId="0" xfId="3" applyFont="1" applyBorder="1" applyAlignment="1"/>
    <xf numFmtId="0" fontId="9" fillId="4" borderId="42" xfId="3" applyFont="1" applyFill="1" applyBorder="1" applyAlignment="1"/>
    <xf numFmtId="38" fontId="9" fillId="4" borderId="43" xfId="2" applyFont="1" applyFill="1" applyBorder="1" applyAlignment="1"/>
    <xf numFmtId="0" fontId="12" fillId="4" borderId="44" xfId="3" applyFont="1" applyFill="1" applyBorder="1"/>
    <xf numFmtId="0" fontId="15" fillId="0" borderId="3" xfId="0" applyFont="1" applyBorder="1" applyAlignment="1">
      <alignment horizontal="center"/>
    </xf>
    <xf numFmtId="0" fontId="15" fillId="0" borderId="10" xfId="0" applyFont="1" applyBorder="1" applyAlignment="1">
      <alignment horizontal="center"/>
    </xf>
    <xf numFmtId="0" fontId="6" fillId="0" borderId="0" xfId="5" applyFont="1" applyBorder="1" applyProtection="1">
      <alignment vertical="center"/>
    </xf>
    <xf numFmtId="0" fontId="10" fillId="0" borderId="0" xfId="5" applyFont="1" applyBorder="1" applyProtection="1">
      <alignment vertical="center"/>
    </xf>
    <xf numFmtId="0" fontId="2" fillId="0" borderId="0" xfId="6">
      <alignment vertical="center"/>
    </xf>
    <xf numFmtId="0" fontId="23" fillId="0" borderId="0" xfId="5" applyFont="1" applyBorder="1" applyProtection="1">
      <alignment vertical="center"/>
    </xf>
    <xf numFmtId="0" fontId="16" fillId="0" borderId="0" xfId="5" applyFont="1" applyBorder="1" applyProtection="1">
      <alignment vertical="center"/>
    </xf>
    <xf numFmtId="0" fontId="16" fillId="0" borderId="0" xfId="5" applyFont="1" applyBorder="1" applyAlignment="1" applyProtection="1">
      <alignment vertical="center"/>
    </xf>
    <xf numFmtId="0" fontId="12" fillId="0" borderId="0" xfId="5" applyFont="1" applyBorder="1" applyAlignment="1" applyProtection="1">
      <alignment vertical="center"/>
    </xf>
    <xf numFmtId="0" fontId="27" fillId="0" borderId="0" xfId="5" applyFont="1" applyBorder="1" applyProtection="1">
      <alignment vertical="center"/>
    </xf>
    <xf numFmtId="0" fontId="16" fillId="0" borderId="0" xfId="5" applyFont="1" applyBorder="1" applyAlignment="1" applyProtection="1">
      <alignment horizontal="right" vertical="center"/>
    </xf>
    <xf numFmtId="0" fontId="10" fillId="0" borderId="18" xfId="5" applyFont="1" applyBorder="1" applyProtection="1">
      <alignment vertical="center"/>
    </xf>
    <xf numFmtId="0" fontId="10" fillId="0" borderId="5" xfId="5" applyFont="1" applyBorder="1" applyProtection="1">
      <alignment vertical="center"/>
    </xf>
    <xf numFmtId="0" fontId="10" fillId="0" borderId="30" xfId="5" applyFont="1" applyBorder="1" applyProtection="1">
      <alignment vertical="center"/>
    </xf>
    <xf numFmtId="0" fontId="28" fillId="0" borderId="14" xfId="5" applyFont="1" applyBorder="1" applyAlignment="1" applyProtection="1">
      <alignment horizontal="centerContinuous" vertical="center"/>
    </xf>
    <xf numFmtId="0" fontId="10" fillId="0" borderId="0" xfId="5" applyFont="1" applyBorder="1" applyAlignment="1" applyProtection="1">
      <alignment horizontal="centerContinuous" vertical="center"/>
    </xf>
    <xf numFmtId="0" fontId="19" fillId="0" borderId="0" xfId="5" applyFont="1" applyBorder="1" applyAlignment="1" applyProtection="1">
      <alignment horizontal="centerContinuous" vertical="center"/>
    </xf>
    <xf numFmtId="0" fontId="28" fillId="0" borderId="0" xfId="5" applyFont="1" applyBorder="1" applyAlignment="1" applyProtection="1">
      <alignment horizontal="centerContinuous" vertical="center"/>
    </xf>
    <xf numFmtId="0" fontId="19" fillId="0" borderId="0" xfId="5" applyFont="1" applyBorder="1" applyAlignment="1">
      <alignment horizontal="centerContinuous" vertical="center"/>
    </xf>
    <xf numFmtId="0" fontId="10" fillId="0" borderId="15" xfId="5" applyFont="1" applyBorder="1" applyAlignment="1" applyProtection="1">
      <alignment horizontal="centerContinuous" vertical="center"/>
    </xf>
    <xf numFmtId="0" fontId="29" fillId="0" borderId="14" xfId="5" applyFont="1" applyBorder="1" applyAlignment="1" applyProtection="1">
      <alignment horizontal="centerContinuous" vertical="center"/>
    </xf>
    <xf numFmtId="0" fontId="31" fillId="0" borderId="0" xfId="5" applyFont="1" applyBorder="1" applyAlignment="1" applyProtection="1">
      <alignment horizontal="centerContinuous" vertical="center"/>
    </xf>
    <xf numFmtId="0" fontId="29" fillId="0" borderId="0" xfId="5" applyFont="1" applyBorder="1" applyAlignment="1" applyProtection="1">
      <alignment horizontal="centerContinuous" vertical="center"/>
    </xf>
    <xf numFmtId="0" fontId="31" fillId="0" borderId="15" xfId="5" applyFont="1" applyBorder="1" applyAlignment="1" applyProtection="1">
      <alignment horizontal="centerContinuous" vertical="center"/>
    </xf>
    <xf numFmtId="0" fontId="19" fillId="0" borderId="14" xfId="5" applyFont="1" applyBorder="1" applyAlignment="1" applyProtection="1">
      <alignment horizontal="centerContinuous" vertical="center"/>
    </xf>
    <xf numFmtId="0" fontId="19" fillId="0" borderId="0" xfId="5" applyFont="1" applyBorder="1" applyAlignment="1" applyProtection="1">
      <alignment horizontal="left" vertical="center"/>
    </xf>
    <xf numFmtId="0" fontId="10" fillId="0" borderId="0" xfId="5" applyFont="1" applyBorder="1" applyAlignment="1" applyProtection="1">
      <alignment vertical="center"/>
    </xf>
    <xf numFmtId="0" fontId="27" fillId="0" borderId="14" xfId="5" applyFont="1" applyBorder="1" applyProtection="1">
      <alignment vertical="center"/>
    </xf>
    <xf numFmtId="0" fontId="27" fillId="0" borderId="3" xfId="5" applyFont="1" applyBorder="1" applyProtection="1">
      <alignment vertical="center"/>
    </xf>
    <xf numFmtId="0" fontId="9" fillId="0" borderId="3" xfId="5" applyFont="1" applyBorder="1" applyProtection="1">
      <alignment vertical="center"/>
    </xf>
    <xf numFmtId="0" fontId="9" fillId="0" borderId="3" xfId="5" applyFont="1" applyBorder="1" applyAlignment="1" applyProtection="1">
      <alignment vertical="center"/>
    </xf>
    <xf numFmtId="0" fontId="10" fillId="0" borderId="3" xfId="5" applyFont="1" applyBorder="1" applyProtection="1">
      <alignment vertical="center"/>
    </xf>
    <xf numFmtId="0" fontId="10" fillId="0" borderId="15" xfId="5" applyFont="1" applyBorder="1" applyProtection="1">
      <alignment vertical="center"/>
    </xf>
    <xf numFmtId="0" fontId="9" fillId="0" borderId="0" xfId="5" applyFont="1" applyBorder="1" applyProtection="1">
      <alignment vertical="center"/>
    </xf>
    <xf numFmtId="0" fontId="9" fillId="0" borderId="0" xfId="5" applyFont="1" applyBorder="1" applyAlignment="1" applyProtection="1">
      <alignment vertical="center"/>
    </xf>
    <xf numFmtId="0" fontId="9" fillId="0" borderId="0" xfId="5" applyFont="1" applyBorder="1" applyAlignment="1" applyProtection="1">
      <alignment horizontal="center" vertical="center"/>
    </xf>
    <xf numFmtId="0" fontId="2" fillId="0" borderId="42" xfId="6" applyBorder="1">
      <alignment vertical="center"/>
    </xf>
    <xf numFmtId="0" fontId="10" fillId="0" borderId="14" xfId="5" applyFont="1" applyBorder="1" applyProtection="1">
      <alignment vertical="center"/>
    </xf>
    <xf numFmtId="0" fontId="10" fillId="0" borderId="0" xfId="5" applyFont="1" applyBorder="1" applyAlignment="1" applyProtection="1">
      <alignment vertical="center" wrapText="1"/>
    </xf>
    <xf numFmtId="0" fontId="2" fillId="0" borderId="43" xfId="6" applyBorder="1">
      <alignment vertical="center"/>
    </xf>
    <xf numFmtId="0" fontId="2" fillId="0" borderId="0" xfId="6" applyBorder="1">
      <alignment vertical="center"/>
    </xf>
    <xf numFmtId="0" fontId="27" fillId="0" borderId="14" xfId="5" applyFont="1" applyBorder="1" applyAlignment="1" applyProtection="1">
      <alignment vertical="center" wrapText="1"/>
    </xf>
    <xf numFmtId="0" fontId="27" fillId="0" borderId="0" xfId="5" applyFont="1" applyBorder="1" applyAlignment="1" applyProtection="1">
      <alignment vertical="center" wrapText="1"/>
    </xf>
    <xf numFmtId="0" fontId="31" fillId="0" borderId="14" xfId="5" applyFont="1" applyBorder="1" applyProtection="1">
      <alignment vertical="center"/>
    </xf>
    <xf numFmtId="0" fontId="31" fillId="0" borderId="0" xfId="5" applyFont="1" applyBorder="1" applyProtection="1">
      <alignment vertical="center"/>
    </xf>
    <xf numFmtId="0" fontId="19" fillId="0" borderId="14" xfId="5" applyFont="1" applyBorder="1" applyProtection="1">
      <alignment vertical="center"/>
    </xf>
    <xf numFmtId="0" fontId="19" fillId="0" borderId="0" xfId="5" applyFont="1" applyBorder="1" applyProtection="1">
      <alignment vertical="center"/>
    </xf>
    <xf numFmtId="0" fontId="19" fillId="0" borderId="15" xfId="5" applyFont="1" applyBorder="1" applyProtection="1">
      <alignment vertical="center"/>
    </xf>
    <xf numFmtId="0" fontId="19" fillId="0" borderId="14" xfId="5" applyFont="1" applyBorder="1" applyAlignment="1" applyProtection="1">
      <alignment vertical="center"/>
    </xf>
    <xf numFmtId="0" fontId="19" fillId="0" borderId="0" xfId="5" applyFont="1" applyBorder="1" applyAlignment="1" applyProtection="1">
      <alignment vertical="center"/>
    </xf>
    <xf numFmtId="0" fontId="19" fillId="0" borderId="0" xfId="5" applyFont="1" applyBorder="1" applyAlignment="1" applyProtection="1">
      <alignment horizontal="center" vertical="center"/>
    </xf>
    <xf numFmtId="0" fontId="19" fillId="0" borderId="15" xfId="5" applyFont="1" applyBorder="1" applyAlignment="1" applyProtection="1">
      <alignment vertical="center"/>
    </xf>
    <xf numFmtId="0" fontId="32" fillId="0" borderId="14" xfId="5" applyFont="1" applyBorder="1" applyAlignment="1" applyProtection="1">
      <alignment vertical="center"/>
    </xf>
    <xf numFmtId="0" fontId="32" fillId="0" borderId="0" xfId="5" applyFont="1" applyBorder="1" applyAlignment="1" applyProtection="1">
      <alignment vertical="center"/>
    </xf>
    <xf numFmtId="0" fontId="33" fillId="0" borderId="0" xfId="6" applyFont="1" applyBorder="1">
      <alignment vertical="center"/>
    </xf>
    <xf numFmtId="0" fontId="32" fillId="0" borderId="3" xfId="5" applyFont="1" applyBorder="1" applyAlignment="1" applyProtection="1">
      <alignment horizontal="left" vertical="center"/>
    </xf>
    <xf numFmtId="0" fontId="34" fillId="0" borderId="15" xfId="5" applyFont="1" applyBorder="1" applyAlignment="1" applyProtection="1">
      <alignment vertical="center"/>
    </xf>
    <xf numFmtId="0" fontId="33" fillId="0" borderId="0" xfId="6" applyFont="1">
      <alignment vertical="center"/>
    </xf>
    <xf numFmtId="0" fontId="33" fillId="0" borderId="43" xfId="6" applyFont="1" applyBorder="1">
      <alignment vertical="center"/>
    </xf>
    <xf numFmtId="0" fontId="34" fillId="0" borderId="0" xfId="5" applyFont="1" applyBorder="1" applyAlignment="1" applyProtection="1">
      <alignment horizontal="center" vertical="center"/>
    </xf>
    <xf numFmtId="0" fontId="34" fillId="0" borderId="0" xfId="5" applyFont="1" applyBorder="1" applyAlignment="1" applyProtection="1">
      <alignment vertical="center"/>
    </xf>
    <xf numFmtId="0" fontId="32" fillId="0" borderId="0" xfId="5" applyFont="1" applyBorder="1" applyAlignment="1" applyProtection="1">
      <alignment horizontal="left" vertical="center"/>
    </xf>
    <xf numFmtId="0" fontId="33" fillId="0" borderId="44" xfId="6" applyFont="1" applyBorder="1">
      <alignment vertical="center"/>
    </xf>
    <xf numFmtId="0" fontId="32" fillId="0" borderId="14" xfId="5" applyFont="1" applyBorder="1" applyAlignment="1">
      <alignment vertical="center" shrinkToFit="1"/>
    </xf>
    <xf numFmtId="0" fontId="32" fillId="0" borderId="0" xfId="5" applyFont="1" applyBorder="1" applyAlignment="1">
      <alignment vertical="center"/>
    </xf>
    <xf numFmtId="0" fontId="32" fillId="0" borderId="0" xfId="5" applyFont="1" applyBorder="1" applyAlignment="1">
      <alignment vertical="center" shrinkToFit="1"/>
    </xf>
    <xf numFmtId="0" fontId="10" fillId="0" borderId="14" xfId="5" applyFont="1" applyBorder="1" applyAlignment="1" applyProtection="1">
      <alignment vertical="center"/>
    </xf>
    <xf numFmtId="0" fontId="27" fillId="0" borderId="0" xfId="5" applyFont="1" applyBorder="1" applyAlignment="1" applyProtection="1">
      <alignment vertical="center"/>
    </xf>
    <xf numFmtId="0" fontId="10" fillId="0" borderId="15" xfId="5" applyFont="1" applyBorder="1" applyAlignment="1" applyProtection="1">
      <alignment vertical="center"/>
    </xf>
    <xf numFmtId="0" fontId="19" fillId="0" borderId="0" xfId="5" applyFont="1" applyFill="1" applyBorder="1" applyAlignment="1" applyProtection="1">
      <alignment vertical="center"/>
    </xf>
    <xf numFmtId="0" fontId="35" fillId="0" borderId="42" xfId="6" applyFont="1" applyBorder="1">
      <alignment vertical="center"/>
    </xf>
    <xf numFmtId="0" fontId="34" fillId="0" borderId="14" xfId="5" applyFont="1" applyBorder="1" applyAlignment="1" applyProtection="1">
      <alignment vertical="center"/>
    </xf>
    <xf numFmtId="0" fontId="35" fillId="0" borderId="43" xfId="6" applyFont="1" applyBorder="1">
      <alignment vertical="center"/>
    </xf>
    <xf numFmtId="0" fontId="36" fillId="0" borderId="43" xfId="6" applyFont="1" applyBorder="1">
      <alignment vertical="center"/>
    </xf>
    <xf numFmtId="0" fontId="36" fillId="0" borderId="44" xfId="6" applyFont="1" applyBorder="1">
      <alignment vertical="center"/>
    </xf>
    <xf numFmtId="0" fontId="10" fillId="0" borderId="0" xfId="5" applyFont="1" applyBorder="1" applyAlignment="1" applyProtection="1">
      <alignment horizontal="right" vertical="center"/>
    </xf>
    <xf numFmtId="0" fontId="27" fillId="0" borderId="0" xfId="5" applyFont="1" applyBorder="1" applyAlignment="1">
      <alignment vertical="center"/>
    </xf>
    <xf numFmtId="0" fontId="19" fillId="0" borderId="0" xfId="5" applyFont="1" applyBorder="1" applyAlignment="1" applyProtection="1">
      <alignment vertical="center"/>
      <protection locked="0"/>
    </xf>
    <xf numFmtId="0" fontId="19" fillId="0" borderId="0" xfId="5" applyFont="1" applyBorder="1" applyAlignment="1" applyProtection="1">
      <alignment vertical="center" shrinkToFit="1"/>
    </xf>
    <xf numFmtId="0" fontId="19" fillId="0" borderId="14" xfId="5" applyFont="1" applyBorder="1" applyAlignment="1" applyProtection="1">
      <alignment horizontal="left" vertical="center"/>
    </xf>
    <xf numFmtId="0" fontId="19" fillId="0" borderId="0" xfId="5" applyFont="1" applyBorder="1" applyAlignment="1" applyProtection="1">
      <alignment horizontal="center" vertical="center"/>
      <protection locked="0"/>
    </xf>
    <xf numFmtId="0" fontId="27" fillId="0" borderId="0" xfId="5" applyFont="1" applyBorder="1" applyAlignment="1" applyProtection="1">
      <alignment horizontal="center" vertical="center"/>
    </xf>
    <xf numFmtId="0" fontId="27" fillId="0" borderId="0" xfId="5" applyFont="1" applyBorder="1" applyAlignment="1" applyProtection="1">
      <alignment horizontal="left" vertical="center"/>
    </xf>
    <xf numFmtId="0" fontId="34" fillId="0" borderId="0" xfId="5" applyFont="1" applyBorder="1" applyAlignment="1" applyProtection="1">
      <alignment vertical="center" shrinkToFit="1"/>
    </xf>
    <xf numFmtId="0" fontId="19" fillId="0" borderId="0" xfId="5" applyFont="1" applyBorder="1" applyAlignment="1" applyProtection="1">
      <alignment horizontal="center" vertical="center" shrinkToFit="1"/>
    </xf>
    <xf numFmtId="0" fontId="32" fillId="0" borderId="15" xfId="5" applyFont="1" applyBorder="1" applyAlignment="1" applyProtection="1">
      <alignment vertical="center"/>
    </xf>
    <xf numFmtId="0" fontId="27" fillId="0" borderId="15" xfId="5" applyFont="1" applyBorder="1" applyAlignment="1" applyProtection="1">
      <alignment vertical="center"/>
    </xf>
    <xf numFmtId="0" fontId="27" fillId="0" borderId="0" xfId="5" applyFont="1" applyBorder="1" applyAlignment="1" applyProtection="1">
      <alignment vertical="center" shrinkToFit="1"/>
    </xf>
    <xf numFmtId="0" fontId="19" fillId="0" borderId="0" xfId="5" applyFont="1" applyAlignment="1" applyProtection="1">
      <alignment vertical="center"/>
    </xf>
    <xf numFmtId="0" fontId="16" fillId="0" borderId="44" xfId="5" applyFont="1" applyBorder="1" applyAlignment="1" applyProtection="1">
      <alignment vertical="center"/>
    </xf>
    <xf numFmtId="0" fontId="32" fillId="0" borderId="0" xfId="5" applyFont="1" applyBorder="1" applyAlignment="1" applyProtection="1">
      <alignment vertical="center" shrinkToFit="1"/>
    </xf>
    <xf numFmtId="0" fontId="32" fillId="0" borderId="0" xfId="5" applyFont="1" applyAlignment="1" applyProtection="1">
      <alignment vertical="center"/>
    </xf>
    <xf numFmtId="0" fontId="34" fillId="0" borderId="0" xfId="5" applyFont="1" applyBorder="1" applyAlignment="1" applyProtection="1">
      <alignment horizontal="left" vertical="center"/>
    </xf>
    <xf numFmtId="0" fontId="34" fillId="0" borderId="0" xfId="5" applyFont="1" applyAlignment="1" applyProtection="1">
      <alignment vertical="center"/>
    </xf>
    <xf numFmtId="0" fontId="10" fillId="0" borderId="0" xfId="5" applyFont="1" applyBorder="1" applyAlignment="1" applyProtection="1">
      <alignment horizontal="left" vertical="center"/>
    </xf>
    <xf numFmtId="0" fontId="10" fillId="0" borderId="0" xfId="5" applyFont="1" applyAlignment="1" applyProtection="1">
      <alignment vertical="center"/>
    </xf>
    <xf numFmtId="0" fontId="27" fillId="0" borderId="0" xfId="5" applyFont="1" applyAlignment="1" applyProtection="1">
      <alignment vertical="center"/>
    </xf>
    <xf numFmtId="0" fontId="16" fillId="0" borderId="5" xfId="5" applyFont="1" applyBorder="1" applyAlignment="1" applyProtection="1">
      <alignment vertical="center"/>
    </xf>
    <xf numFmtId="0" fontId="10" fillId="0" borderId="5" xfId="5" applyFont="1" applyBorder="1" applyAlignment="1" applyProtection="1">
      <alignment vertical="center"/>
    </xf>
    <xf numFmtId="0" fontId="27" fillId="0" borderId="5" xfId="5" applyFont="1" applyBorder="1" applyAlignment="1" applyProtection="1">
      <alignment vertical="center"/>
    </xf>
    <xf numFmtId="0" fontId="31" fillId="0" borderId="5" xfId="5" applyFont="1" applyBorder="1" applyAlignment="1" applyProtection="1">
      <alignment vertical="center"/>
    </xf>
    <xf numFmtId="0" fontId="31" fillId="0" borderId="5" xfId="5" applyFont="1" applyBorder="1" applyAlignment="1" applyProtection="1">
      <alignment vertical="center" shrinkToFit="1"/>
    </xf>
    <xf numFmtId="0" fontId="3" fillId="0" borderId="0" xfId="6" applyFont="1">
      <alignment vertical="center"/>
    </xf>
    <xf numFmtId="0" fontId="10" fillId="0" borderId="0" xfId="6" applyFont="1">
      <alignment vertical="center"/>
    </xf>
    <xf numFmtId="0" fontId="27" fillId="0" borderId="0" xfId="6" applyFont="1">
      <alignment vertical="center"/>
    </xf>
    <xf numFmtId="0" fontId="31" fillId="0" borderId="0" xfId="6" applyFont="1" applyBorder="1">
      <alignment vertical="center"/>
    </xf>
    <xf numFmtId="0" fontId="10" fillId="0" borderId="18" xfId="6" applyFont="1" applyBorder="1">
      <alignment vertical="center"/>
    </xf>
    <xf numFmtId="0" fontId="10" fillId="0" borderId="5" xfId="6" applyFont="1" applyBorder="1">
      <alignment vertical="center"/>
    </xf>
    <xf numFmtId="0" fontId="27" fillId="0" borderId="5" xfId="6" applyFont="1" applyBorder="1">
      <alignment vertical="center"/>
    </xf>
    <xf numFmtId="0" fontId="10" fillId="0" borderId="30" xfId="6" applyFont="1" applyBorder="1">
      <alignment vertical="center"/>
    </xf>
    <xf numFmtId="0" fontId="19" fillId="0" borderId="14" xfId="6" applyFont="1" applyBorder="1" applyAlignment="1">
      <alignment vertical="center"/>
    </xf>
    <xf numFmtId="0" fontId="19" fillId="0" borderId="0" xfId="6" applyFont="1" applyBorder="1" applyAlignment="1">
      <alignment vertical="center"/>
    </xf>
    <xf numFmtId="0" fontId="27" fillId="0" borderId="0" xfId="6" applyFont="1" applyBorder="1">
      <alignment vertical="center"/>
    </xf>
    <xf numFmtId="0" fontId="19" fillId="0" borderId="0" xfId="6" applyFont="1" applyBorder="1">
      <alignment vertical="center"/>
    </xf>
    <xf numFmtId="0" fontId="19" fillId="0" borderId="15" xfId="6" applyFont="1" applyBorder="1">
      <alignment vertical="center"/>
    </xf>
    <xf numFmtId="0" fontId="19" fillId="0" borderId="14" xfId="6" applyFont="1" applyBorder="1">
      <alignment vertical="center"/>
    </xf>
    <xf numFmtId="0" fontId="12" fillId="0" borderId="14" xfId="6" applyFont="1" applyBorder="1" applyAlignment="1" applyProtection="1">
      <alignment horizontal="center" vertical="center"/>
      <protection locked="0"/>
    </xf>
    <xf numFmtId="0" fontId="12" fillId="0" borderId="0" xfId="6" applyFont="1" applyBorder="1" applyAlignment="1" applyProtection="1">
      <alignment horizontal="center" vertical="center"/>
      <protection locked="0"/>
    </xf>
    <xf numFmtId="0" fontId="39" fillId="0" borderId="0" xfId="6" applyFont="1" applyBorder="1" applyAlignment="1" applyProtection="1">
      <alignment horizontal="left" vertical="center"/>
      <protection locked="0"/>
    </xf>
    <xf numFmtId="0" fontId="12" fillId="0" borderId="15" xfId="6" applyFont="1" applyBorder="1">
      <alignment vertical="center"/>
    </xf>
    <xf numFmtId="0" fontId="12" fillId="0" borderId="0" xfId="6" applyFont="1">
      <alignment vertical="center"/>
    </xf>
    <xf numFmtId="0" fontId="12" fillId="0" borderId="14" xfId="6" applyFont="1" applyBorder="1">
      <alignment vertical="center"/>
    </xf>
    <xf numFmtId="0" fontId="12" fillId="0" borderId="0" xfId="6" applyFont="1" applyBorder="1">
      <alignment vertical="center"/>
    </xf>
    <xf numFmtId="0" fontId="12" fillId="0" borderId="3" xfId="6" applyFont="1" applyBorder="1" applyAlignment="1" applyProtection="1">
      <alignment horizontal="center" vertical="center"/>
      <protection locked="0"/>
    </xf>
    <xf numFmtId="0" fontId="39" fillId="0" borderId="3" xfId="6" applyFont="1" applyBorder="1" applyAlignment="1" applyProtection="1">
      <alignment horizontal="center" vertical="center"/>
      <protection locked="0"/>
    </xf>
    <xf numFmtId="0" fontId="10" fillId="0" borderId="14" xfId="6" applyFont="1" applyBorder="1">
      <alignment vertical="center"/>
    </xf>
    <xf numFmtId="0" fontId="10" fillId="0" borderId="0" xfId="6" applyFont="1" applyBorder="1">
      <alignment vertical="center"/>
    </xf>
    <xf numFmtId="0" fontId="10" fillId="0" borderId="15" xfId="6" applyFont="1" applyBorder="1">
      <alignment vertical="center"/>
    </xf>
    <xf numFmtId="0" fontId="40" fillId="0" borderId="14" xfId="6" applyFont="1" applyFill="1" applyBorder="1" applyAlignment="1"/>
    <xf numFmtId="0" fontId="40" fillId="0" borderId="0" xfId="6" applyFont="1" applyFill="1" applyBorder="1">
      <alignment vertical="center"/>
    </xf>
    <xf numFmtId="0" fontId="40" fillId="0" borderId="0" xfId="6" applyFont="1" applyBorder="1">
      <alignment vertical="center"/>
    </xf>
    <xf numFmtId="0" fontId="40" fillId="0" borderId="0" xfId="6" applyFont="1" applyFill="1" applyBorder="1" applyAlignment="1"/>
    <xf numFmtId="0" fontId="40" fillId="0" borderId="15" xfId="6" applyFont="1" applyFill="1" applyBorder="1">
      <alignment vertical="center"/>
    </xf>
    <xf numFmtId="0" fontId="41" fillId="0" borderId="14" xfId="6" applyFont="1" applyFill="1" applyBorder="1">
      <alignment vertical="center"/>
    </xf>
    <xf numFmtId="0" fontId="41" fillId="0" borderId="0" xfId="6" applyFont="1" applyFill="1" applyBorder="1">
      <alignment vertical="center"/>
    </xf>
    <xf numFmtId="0" fontId="42" fillId="0" borderId="0" xfId="6" applyFont="1" applyFill="1" applyBorder="1">
      <alignment vertical="center"/>
    </xf>
    <xf numFmtId="0" fontId="41" fillId="0" borderId="0" xfId="6" applyFont="1" applyFill="1" applyBorder="1" applyAlignment="1" applyProtection="1">
      <alignment horizontal="center" vertical="center"/>
      <protection locked="0"/>
    </xf>
    <xf numFmtId="0" fontId="41" fillId="0" borderId="0" xfId="6" applyFont="1" applyBorder="1">
      <alignment vertical="center"/>
    </xf>
    <xf numFmtId="0" fontId="41" fillId="0" borderId="15" xfId="6" applyFont="1" applyFill="1" applyBorder="1">
      <alignment vertical="center"/>
    </xf>
    <xf numFmtId="0" fontId="40" fillId="0" borderId="14" xfId="6" applyFont="1" applyFill="1" applyBorder="1">
      <alignment vertical="center"/>
    </xf>
    <xf numFmtId="0" fontId="19" fillId="0" borderId="0" xfId="6" applyFont="1" applyFill="1" applyBorder="1" applyAlignment="1" applyProtection="1">
      <alignment horizontal="center" vertical="center"/>
      <protection locked="0"/>
    </xf>
    <xf numFmtId="0" fontId="39" fillId="0" borderId="0" xfId="6" applyFont="1" applyBorder="1">
      <alignment vertical="center"/>
    </xf>
    <xf numFmtId="0" fontId="40" fillId="0" borderId="0" xfId="6" applyFont="1">
      <alignment vertical="center"/>
    </xf>
    <xf numFmtId="0" fontId="41" fillId="0" borderId="0" xfId="6" applyFont="1">
      <alignment vertical="center"/>
    </xf>
    <xf numFmtId="0" fontId="41" fillId="0" borderId="0" xfId="6" applyFont="1" applyFill="1" applyBorder="1" applyAlignment="1">
      <alignment horizontal="center" vertical="center"/>
    </xf>
    <xf numFmtId="0" fontId="40" fillId="0" borderId="0" xfId="6" applyFont="1" applyAlignment="1">
      <alignment horizontal="left" vertical="center"/>
    </xf>
    <xf numFmtId="0" fontId="40" fillId="0" borderId="14" xfId="6" applyFont="1" applyFill="1" applyBorder="1" applyAlignment="1">
      <alignment horizontal="left" vertical="center"/>
    </xf>
    <xf numFmtId="0" fontId="40" fillId="0" borderId="0" xfId="6" applyFont="1" applyBorder="1" applyAlignment="1">
      <alignment horizontal="left" vertical="center"/>
    </xf>
    <xf numFmtId="0" fontId="40" fillId="0" borderId="0" xfId="6" applyFont="1" applyFill="1" applyBorder="1" applyAlignment="1">
      <alignment horizontal="center" vertical="center"/>
    </xf>
    <xf numFmtId="0" fontId="40" fillId="0" borderId="15" xfId="6" applyFont="1" applyFill="1" applyBorder="1" applyAlignment="1">
      <alignment horizontal="left" vertical="center"/>
    </xf>
    <xf numFmtId="0" fontId="44" fillId="0" borderId="0" xfId="6" applyFont="1">
      <alignment vertical="center"/>
    </xf>
    <xf numFmtId="0" fontId="19" fillId="0" borderId="14" xfId="6" applyFont="1" applyFill="1" applyBorder="1">
      <alignment vertical="center"/>
    </xf>
    <xf numFmtId="0" fontId="19" fillId="0" borderId="0" xfId="6" applyFont="1" applyFill="1" applyBorder="1">
      <alignment vertical="center"/>
    </xf>
    <xf numFmtId="0" fontId="19" fillId="0" borderId="0" xfId="6" applyFont="1" applyFill="1" applyBorder="1" applyAlignment="1">
      <alignment vertical="center"/>
    </xf>
    <xf numFmtId="0" fontId="19" fillId="0" borderId="0" xfId="6" applyFont="1" applyFill="1" applyBorder="1" applyAlignment="1" applyProtection="1">
      <alignment vertical="center"/>
      <protection locked="0"/>
    </xf>
    <xf numFmtId="0" fontId="19" fillId="0" borderId="0" xfId="6" applyFont="1" applyFill="1" applyBorder="1" applyAlignment="1">
      <alignment vertical="center" shrinkToFit="1"/>
    </xf>
    <xf numFmtId="0" fontId="19" fillId="0" borderId="0" xfId="6" applyFont="1" applyFill="1" applyBorder="1" applyAlignment="1">
      <alignment horizontal="center" vertical="center"/>
    </xf>
    <xf numFmtId="0" fontId="19" fillId="0" borderId="15" xfId="6" applyFont="1" applyFill="1" applyBorder="1">
      <alignment vertical="center"/>
    </xf>
    <xf numFmtId="0" fontId="12" fillId="0" borderId="14" xfId="6" applyFont="1" applyFill="1" applyBorder="1" applyAlignment="1" applyProtection="1">
      <alignment horizontal="center" vertical="center"/>
      <protection locked="0"/>
    </xf>
    <xf numFmtId="0" fontId="12" fillId="0" borderId="0" xfId="6" applyFont="1" applyFill="1" applyBorder="1" applyAlignment="1" applyProtection="1">
      <alignment vertical="center"/>
      <protection locked="0"/>
    </xf>
    <xf numFmtId="0" fontId="39" fillId="0" borderId="0" xfId="6" applyFont="1" applyBorder="1" applyAlignment="1">
      <alignment vertical="center"/>
    </xf>
    <xf numFmtId="0" fontId="41" fillId="0" borderId="0" xfId="6" applyFont="1" applyBorder="1" applyAlignment="1">
      <alignment vertical="center"/>
    </xf>
    <xf numFmtId="0" fontId="12" fillId="0" borderId="0" xfId="6" applyFont="1" applyFill="1" applyBorder="1" applyAlignment="1" applyProtection="1">
      <alignment vertical="center"/>
    </xf>
    <xf numFmtId="0" fontId="39" fillId="0" borderId="0" xfId="6" applyFont="1" applyBorder="1" applyAlignment="1" applyProtection="1">
      <alignment vertical="center"/>
    </xf>
    <xf numFmtId="0" fontId="41" fillId="0" borderId="0" xfId="6" applyFont="1" applyBorder="1" applyAlignment="1" applyProtection="1">
      <alignment vertical="center"/>
    </xf>
    <xf numFmtId="0" fontId="41" fillId="0" borderId="0" xfId="6" applyFont="1" applyBorder="1" applyProtection="1">
      <alignment vertical="center"/>
    </xf>
    <xf numFmtId="0" fontId="39" fillId="0" borderId="0" xfId="6" applyFont="1" applyBorder="1" applyProtection="1">
      <alignment vertical="center"/>
    </xf>
    <xf numFmtId="0" fontId="12" fillId="0" borderId="3" xfId="6" applyFont="1" applyFill="1" applyBorder="1" applyAlignment="1" applyProtection="1">
      <alignment vertical="center"/>
      <protection locked="0"/>
    </xf>
    <xf numFmtId="0" fontId="39" fillId="0" borderId="3" xfId="6" applyFont="1" applyBorder="1" applyAlignment="1">
      <alignment horizontal="center" vertical="center"/>
    </xf>
    <xf numFmtId="0" fontId="40" fillId="0" borderId="14" xfId="6" applyFont="1" applyFill="1" applyBorder="1" applyAlignment="1">
      <alignment vertical="center"/>
    </xf>
    <xf numFmtId="0" fontId="40" fillId="0" borderId="0" xfId="6" applyFont="1" applyFill="1" applyBorder="1" applyAlignment="1">
      <alignment vertical="center"/>
    </xf>
    <xf numFmtId="0" fontId="41" fillId="0" borderId="14" xfId="6" applyFont="1" applyFill="1" applyBorder="1" applyAlignment="1">
      <alignment vertical="center"/>
    </xf>
    <xf numFmtId="0" fontId="42" fillId="0" borderId="0" xfId="6" applyFont="1" applyBorder="1">
      <alignment vertical="center"/>
    </xf>
    <xf numFmtId="0" fontId="39" fillId="0" borderId="0" xfId="6" applyFont="1" applyBorder="1" applyAlignment="1">
      <alignment horizontal="left" vertical="center" shrinkToFit="1"/>
    </xf>
    <xf numFmtId="0" fontId="40" fillId="0" borderId="0" xfId="6" applyFont="1" applyFill="1" applyBorder="1" applyAlignment="1">
      <alignment vertical="center" shrinkToFit="1"/>
    </xf>
    <xf numFmtId="0" fontId="47" fillId="0" borderId="0" xfId="6" applyFont="1" applyBorder="1">
      <alignment vertical="center"/>
    </xf>
    <xf numFmtId="0" fontId="40" fillId="0" borderId="0" xfId="6" applyFont="1" applyBorder="1" applyAlignment="1" applyProtection="1">
      <alignment vertical="center"/>
      <protection locked="0"/>
    </xf>
    <xf numFmtId="0" fontId="40" fillId="0" borderId="0" xfId="6" applyFont="1" applyBorder="1" applyAlignment="1">
      <alignment vertical="center" shrinkToFit="1"/>
    </xf>
    <xf numFmtId="0" fontId="40" fillId="0" borderId="0" xfId="6" applyFont="1" applyFill="1" applyBorder="1" applyAlignment="1">
      <alignment horizontal="left"/>
    </xf>
    <xf numFmtId="0" fontId="40" fillId="0" borderId="0" xfId="6" applyFont="1" applyFill="1" applyBorder="1" applyAlignment="1" applyProtection="1">
      <alignment vertical="center"/>
      <protection locked="0"/>
    </xf>
    <xf numFmtId="0" fontId="40" fillId="0" borderId="0" xfId="6" quotePrefix="1" applyFont="1" applyBorder="1">
      <alignment vertical="center"/>
    </xf>
    <xf numFmtId="0" fontId="47" fillId="0" borderId="0" xfId="6" applyFont="1" applyFill="1" applyBorder="1">
      <alignment vertical="center"/>
    </xf>
    <xf numFmtId="0" fontId="47" fillId="0" borderId="0" xfId="6" applyFont="1" applyFill="1" applyBorder="1" applyAlignment="1">
      <alignment vertical="center"/>
    </xf>
    <xf numFmtId="0" fontId="47" fillId="0" borderId="0" xfId="6" applyFont="1" applyFill="1" applyBorder="1" applyAlignment="1">
      <alignment vertical="center" shrinkToFit="1"/>
    </xf>
    <xf numFmtId="0" fontId="40" fillId="0" borderId="15" xfId="6" applyFont="1" applyFill="1" applyBorder="1" applyAlignment="1">
      <alignment vertical="center"/>
    </xf>
    <xf numFmtId="0" fontId="47" fillId="0" borderId="14" xfId="6" applyFont="1" applyFill="1" applyBorder="1" applyAlignment="1">
      <alignment vertical="center"/>
    </xf>
    <xf numFmtId="0" fontId="40" fillId="0" borderId="0" xfId="6" applyFont="1" applyFill="1" applyBorder="1" applyAlignment="1">
      <alignment horizontal="left" vertical="center"/>
    </xf>
    <xf numFmtId="0" fontId="47" fillId="0" borderId="0" xfId="6" applyFont="1" applyFill="1" applyBorder="1" applyAlignment="1">
      <alignment horizontal="left" vertical="center"/>
    </xf>
    <xf numFmtId="0" fontId="40" fillId="0" borderId="0" xfId="6" applyFont="1" applyBorder="1" applyAlignment="1"/>
    <xf numFmtId="0" fontId="40" fillId="0" borderId="15" xfId="6" applyFont="1" applyFill="1" applyBorder="1" applyAlignment="1"/>
    <xf numFmtId="0" fontId="41" fillId="0" borderId="0" xfId="6" applyFont="1" applyBorder="1" applyAlignment="1"/>
    <xf numFmtId="0" fontId="41" fillId="0" borderId="14" xfId="6" applyFont="1" applyFill="1" applyBorder="1" applyAlignment="1"/>
    <xf numFmtId="0" fontId="41" fillId="0" borderId="0" xfId="6" applyFont="1" applyFill="1" applyBorder="1" applyAlignment="1"/>
    <xf numFmtId="0" fontId="41" fillId="0" borderId="15" xfId="6" applyFont="1" applyFill="1" applyBorder="1" applyAlignment="1"/>
    <xf numFmtId="0" fontId="41" fillId="0" borderId="0" xfId="6" applyFont="1" applyFill="1" applyBorder="1" applyAlignment="1">
      <alignment vertical="center"/>
    </xf>
    <xf numFmtId="0" fontId="39" fillId="0" borderId="3" xfId="6" applyFont="1" applyBorder="1">
      <alignment vertical="center"/>
    </xf>
    <xf numFmtId="0" fontId="41" fillId="0" borderId="3" xfId="6" applyFont="1" applyBorder="1">
      <alignment vertical="center"/>
    </xf>
    <xf numFmtId="0" fontId="39" fillId="0" borderId="0" xfId="6" applyFont="1" applyBorder="1" applyAlignment="1">
      <alignment horizontal="right" vertical="center"/>
    </xf>
    <xf numFmtId="0" fontId="40" fillId="0" borderId="0" xfId="6" applyFont="1" applyAlignment="1"/>
    <xf numFmtId="0" fontId="40" fillId="0" borderId="0" xfId="6" applyFont="1" applyFill="1" applyBorder="1" applyAlignment="1">
      <alignment horizontal="right" vertical="center"/>
    </xf>
    <xf numFmtId="0" fontId="41" fillId="0" borderId="0" xfId="6" applyFont="1" applyAlignment="1"/>
    <xf numFmtId="0" fontId="41" fillId="0" borderId="0" xfId="6" applyFont="1" applyFill="1" applyBorder="1" applyAlignment="1">
      <alignment horizontal="right" vertical="center"/>
    </xf>
    <xf numFmtId="0" fontId="27" fillId="0" borderId="0" xfId="6" applyFont="1" applyBorder="1" applyAlignment="1">
      <alignment horizontal="center" vertical="center"/>
    </xf>
    <xf numFmtId="0" fontId="40" fillId="0" borderId="0" xfId="6" applyFont="1" applyFill="1" applyBorder="1" applyAlignment="1">
      <alignment horizontal="distributed" vertical="center"/>
    </xf>
    <xf numFmtId="0" fontId="40" fillId="0" borderId="0" xfId="6" applyFont="1" applyFill="1" applyBorder="1" applyProtection="1">
      <alignment vertical="center"/>
    </xf>
    <xf numFmtId="0" fontId="40" fillId="0" borderId="0" xfId="6" applyFont="1" applyFill="1" applyBorder="1" applyAlignment="1" applyProtection="1">
      <alignment vertical="center"/>
    </xf>
    <xf numFmtId="0" fontId="40" fillId="0" borderId="0" xfId="6" applyFont="1" applyBorder="1" applyAlignment="1">
      <alignment horizontal="center" vertical="center"/>
    </xf>
    <xf numFmtId="0" fontId="39" fillId="0" borderId="3" xfId="6" applyFont="1" applyBorder="1" applyProtection="1">
      <alignment vertical="center"/>
    </xf>
    <xf numFmtId="0" fontId="41" fillId="0" borderId="3" xfId="6" applyFont="1" applyFill="1" applyBorder="1" applyAlignment="1" applyProtection="1">
      <alignment vertical="center"/>
    </xf>
    <xf numFmtId="0" fontId="41" fillId="0" borderId="15" xfId="6" applyFont="1" applyFill="1" applyBorder="1" applyAlignment="1">
      <alignment vertical="center"/>
    </xf>
    <xf numFmtId="0" fontId="41" fillId="0" borderId="3" xfId="6" applyFont="1" applyFill="1" applyBorder="1" applyAlignment="1">
      <alignment vertical="center"/>
    </xf>
    <xf numFmtId="0" fontId="41" fillId="0" borderId="0" xfId="6" applyFont="1" applyFill="1" applyBorder="1" applyAlignment="1" applyProtection="1">
      <alignment vertical="center"/>
    </xf>
    <xf numFmtId="0" fontId="40" fillId="0" borderId="0" xfId="6" applyFont="1" applyFill="1" applyBorder="1" applyAlignment="1" applyProtection="1">
      <alignment horizontal="center" vertical="center"/>
      <protection locked="0"/>
    </xf>
    <xf numFmtId="0" fontId="41" fillId="0" borderId="3" xfId="6" applyFont="1" applyFill="1" applyBorder="1" applyProtection="1">
      <alignment vertical="center"/>
    </xf>
    <xf numFmtId="0" fontId="40" fillId="0" borderId="0" xfId="6" applyFont="1" applyFill="1" applyBorder="1" applyAlignment="1" applyProtection="1"/>
    <xf numFmtId="0" fontId="48" fillId="0" borderId="0" xfId="6" applyFont="1" applyBorder="1">
      <alignment vertical="center"/>
    </xf>
    <xf numFmtId="0" fontId="48" fillId="0" borderId="14" xfId="6" applyFont="1" applyFill="1" applyBorder="1" applyAlignment="1">
      <alignment vertical="center"/>
    </xf>
    <xf numFmtId="0" fontId="32" fillId="0" borderId="0" xfId="6" applyFont="1" applyBorder="1">
      <alignment vertical="center"/>
    </xf>
    <xf numFmtId="0" fontId="48" fillId="0" borderId="0" xfId="6" applyFont="1" applyFill="1" applyBorder="1" applyAlignment="1" applyProtection="1">
      <alignment vertical="center"/>
      <protection locked="0"/>
    </xf>
    <xf numFmtId="0" fontId="48" fillId="0" borderId="3" xfId="6" applyFont="1" applyFill="1" applyBorder="1" applyAlignment="1" applyProtection="1">
      <alignment vertical="center"/>
      <protection locked="0"/>
    </xf>
    <xf numFmtId="0" fontId="48" fillId="0" borderId="0" xfId="6" applyFont="1" applyFill="1" applyBorder="1" applyAlignment="1" applyProtection="1"/>
    <xf numFmtId="0" fontId="48" fillId="0" borderId="15" xfId="6" applyFont="1" applyFill="1" applyBorder="1">
      <alignment vertical="center"/>
    </xf>
    <xf numFmtId="0" fontId="48" fillId="0" borderId="0" xfId="6" applyFont="1" applyFill="1" applyBorder="1" applyAlignment="1">
      <alignment vertical="center"/>
    </xf>
    <xf numFmtId="0" fontId="40" fillId="0" borderId="0" xfId="6" applyFont="1" applyBorder="1" applyAlignment="1">
      <alignment vertical="center"/>
    </xf>
    <xf numFmtId="0" fontId="27" fillId="0" borderId="0" xfId="6" applyFont="1" applyBorder="1" applyAlignment="1" applyProtection="1">
      <alignment vertical="center" wrapText="1"/>
    </xf>
    <xf numFmtId="0" fontId="40" fillId="0" borderId="14" xfId="6" applyFont="1" applyFill="1" applyBorder="1" applyAlignment="1">
      <alignment horizontal="center" vertical="center"/>
    </xf>
    <xf numFmtId="0" fontId="42" fillId="0" borderId="0" xfId="6" applyFont="1" applyFill="1" applyBorder="1" applyAlignment="1">
      <alignment vertical="center"/>
    </xf>
    <xf numFmtId="0" fontId="40" fillId="0" borderId="16" xfId="6" applyFont="1" applyFill="1" applyBorder="1" applyAlignment="1">
      <alignment vertical="center"/>
    </xf>
    <xf numFmtId="0" fontId="40" fillId="0" borderId="3" xfId="6" applyFont="1" applyFill="1" applyBorder="1" applyAlignment="1">
      <alignment vertical="center"/>
    </xf>
    <xf numFmtId="0" fontId="40" fillId="0" borderId="3" xfId="6" applyFont="1" applyFill="1" applyBorder="1" applyAlignment="1">
      <alignment horizontal="left" vertical="center"/>
    </xf>
    <xf numFmtId="0" fontId="27" fillId="0" borderId="3" xfId="6" applyFont="1" applyBorder="1">
      <alignment vertical="center"/>
    </xf>
    <xf numFmtId="0" fontId="40" fillId="0" borderId="17" xfId="6" applyFont="1" applyFill="1" applyBorder="1" applyAlignment="1">
      <alignment vertical="center"/>
    </xf>
    <xf numFmtId="0" fontId="40" fillId="0" borderId="18" xfId="6" applyFont="1" applyFill="1" applyBorder="1" applyAlignment="1">
      <alignment vertical="center"/>
    </xf>
    <xf numFmtId="0" fontId="40" fillId="0" borderId="5" xfId="6" applyFont="1" applyFill="1" applyBorder="1" applyAlignment="1">
      <alignment vertical="center"/>
    </xf>
    <xf numFmtId="0" fontId="40" fillId="0" borderId="5" xfId="6" applyFont="1" applyFill="1" applyBorder="1" applyAlignment="1">
      <alignment horizontal="left" vertical="center"/>
    </xf>
    <xf numFmtId="0" fontId="40" fillId="0" borderId="30" xfId="6" applyFont="1" applyFill="1" applyBorder="1" applyAlignment="1">
      <alignment vertical="center"/>
    </xf>
    <xf numFmtId="0" fontId="40" fillId="0" borderId="0" xfId="6" applyFont="1" applyFill="1" applyBorder="1" applyProtection="1">
      <alignment vertical="center"/>
      <protection locked="0"/>
    </xf>
    <xf numFmtId="0" fontId="9" fillId="0" borderId="0" xfId="6" applyFont="1">
      <alignment vertical="center"/>
    </xf>
    <xf numFmtId="0" fontId="42" fillId="0" borderId="0" xfId="6" applyFont="1" applyFill="1" applyBorder="1" applyAlignment="1">
      <alignment vertical="top"/>
    </xf>
    <xf numFmtId="0" fontId="47" fillId="0" borderId="0" xfId="6" applyFont="1" applyFill="1" applyBorder="1" applyAlignment="1">
      <alignment vertical="top"/>
    </xf>
    <xf numFmtId="0" fontId="39" fillId="0" borderId="0" xfId="6" applyFont="1" applyFill="1" applyBorder="1">
      <alignment vertical="center"/>
    </xf>
    <xf numFmtId="0" fontId="27" fillId="0" borderId="0" xfId="6" applyFont="1" applyFill="1" applyBorder="1">
      <alignment vertical="center"/>
    </xf>
    <xf numFmtId="0" fontId="19" fillId="0" borderId="14" xfId="6" applyFont="1" applyFill="1" applyBorder="1" applyProtection="1">
      <alignment vertical="center"/>
    </xf>
    <xf numFmtId="0" fontId="19" fillId="0" borderId="0" xfId="6" applyFont="1" applyFill="1" applyBorder="1" applyProtection="1">
      <alignment vertical="center"/>
    </xf>
    <xf numFmtId="0" fontId="27" fillId="0" borderId="0" xfId="6" applyFont="1" applyFill="1" applyBorder="1" applyProtection="1">
      <alignment vertical="center"/>
    </xf>
    <xf numFmtId="0" fontId="19" fillId="0" borderId="0" xfId="6" applyFont="1" applyFill="1" applyBorder="1" applyAlignment="1" applyProtection="1">
      <alignment horizontal="center" vertical="center"/>
    </xf>
    <xf numFmtId="0" fontId="19" fillId="0" borderId="15" xfId="6" applyFont="1" applyFill="1" applyBorder="1" applyProtection="1">
      <alignment vertical="center"/>
    </xf>
    <xf numFmtId="0" fontId="9" fillId="0" borderId="0" xfId="6" applyFont="1" applyFill="1">
      <alignment vertical="center"/>
    </xf>
    <xf numFmtId="0" fontId="9" fillId="0" borderId="14" xfId="6" applyFont="1" applyFill="1" applyBorder="1">
      <alignment vertical="center"/>
    </xf>
    <xf numFmtId="0" fontId="26" fillId="0" borderId="0" xfId="6" applyFont="1" applyFill="1" applyBorder="1">
      <alignment vertical="center"/>
    </xf>
    <xf numFmtId="0" fontId="9" fillId="0" borderId="0" xfId="6" applyFont="1" applyFill="1" applyBorder="1">
      <alignment vertical="center"/>
    </xf>
    <xf numFmtId="0" fontId="9" fillId="0" borderId="15" xfId="6" applyFont="1" applyFill="1" applyBorder="1">
      <alignment vertical="center"/>
    </xf>
    <xf numFmtId="0" fontId="20" fillId="0" borderId="0" xfId="6" applyFont="1" applyFill="1" applyBorder="1">
      <alignment vertical="center"/>
    </xf>
    <xf numFmtId="0" fontId="19" fillId="0" borderId="0" xfId="6" applyFont="1" applyFill="1" applyBorder="1" applyAlignment="1"/>
    <xf numFmtId="0" fontId="47" fillId="0" borderId="50" xfId="6" applyFont="1" applyFill="1" applyBorder="1">
      <alignment vertical="center"/>
    </xf>
    <xf numFmtId="0" fontId="27" fillId="0" borderId="50" xfId="6" applyFont="1" applyFill="1" applyBorder="1">
      <alignment vertical="center"/>
    </xf>
    <xf numFmtId="0" fontId="47" fillId="0" borderId="50" xfId="6" applyFont="1" applyFill="1" applyBorder="1" applyAlignment="1">
      <alignment horizontal="center" vertical="center"/>
    </xf>
    <xf numFmtId="0" fontId="49" fillId="0" borderId="0" xfId="6" applyFont="1" applyFill="1" applyBorder="1">
      <alignment vertical="center"/>
    </xf>
    <xf numFmtId="0" fontId="43" fillId="0" borderId="0" xfId="6" applyFont="1" applyFill="1" applyBorder="1">
      <alignment vertical="center"/>
    </xf>
    <xf numFmtId="0" fontId="50" fillId="0" borderId="0" xfId="6" applyFont="1" applyFill="1" applyBorder="1">
      <alignment vertical="center"/>
    </xf>
    <xf numFmtId="0" fontId="16" fillId="0" borderId="0" xfId="6" applyFont="1" applyFill="1" applyBorder="1">
      <alignment vertical="center"/>
    </xf>
    <xf numFmtId="0" fontId="47" fillId="0" borderId="0" xfId="6" applyFont="1" applyFill="1" applyBorder="1" applyAlignment="1">
      <alignment horizontal="center" vertical="center"/>
    </xf>
    <xf numFmtId="0" fontId="19" fillId="0" borderId="45" xfId="6" applyFont="1" applyFill="1" applyBorder="1">
      <alignment vertical="center"/>
    </xf>
    <xf numFmtId="0" fontId="19" fillId="0" borderId="46" xfId="6" applyFont="1" applyFill="1" applyBorder="1">
      <alignment vertical="center"/>
    </xf>
    <xf numFmtId="0" fontId="27" fillId="0" borderId="46" xfId="6" applyFont="1" applyFill="1" applyBorder="1">
      <alignment vertical="center"/>
    </xf>
    <xf numFmtId="0" fontId="19" fillId="0" borderId="47" xfId="6" applyFont="1" applyFill="1" applyBorder="1">
      <alignment vertical="center"/>
    </xf>
    <xf numFmtId="0" fontId="19" fillId="0" borderId="0" xfId="6" applyFont="1" applyFill="1" applyBorder="1" applyAlignment="1">
      <alignment horizontal="left" vertical="center"/>
    </xf>
    <xf numFmtId="0" fontId="19" fillId="0" borderId="16" xfId="6" applyFont="1" applyFill="1" applyBorder="1">
      <alignment vertical="center"/>
    </xf>
    <xf numFmtId="0" fontId="19" fillId="0" borderId="3" xfId="6" applyFont="1" applyFill="1" applyBorder="1">
      <alignment vertical="center"/>
    </xf>
    <xf numFmtId="0" fontId="19" fillId="0" borderId="17" xfId="6" applyFont="1" applyFill="1" applyBorder="1">
      <alignment vertical="center"/>
    </xf>
    <xf numFmtId="0" fontId="40" fillId="0" borderId="16" xfId="6" applyFont="1" applyFill="1" applyBorder="1">
      <alignment vertical="center"/>
    </xf>
    <xf numFmtId="0" fontId="40" fillId="0" borderId="3" xfId="6" applyFont="1" applyFill="1" applyBorder="1">
      <alignment vertical="center"/>
    </xf>
    <xf numFmtId="0" fontId="40" fillId="0" borderId="17" xfId="6" applyFont="1" applyFill="1" applyBorder="1">
      <alignment vertical="center"/>
    </xf>
    <xf numFmtId="0" fontId="6" fillId="0" borderId="0" xfId="6" applyFont="1">
      <alignment vertical="center"/>
    </xf>
    <xf numFmtId="0" fontId="9" fillId="0" borderId="0" xfId="6" applyFont="1" applyBorder="1">
      <alignment vertical="center"/>
    </xf>
    <xf numFmtId="0" fontId="19" fillId="0" borderId="0" xfId="6" applyFont="1" applyBorder="1" applyAlignment="1" applyProtection="1">
      <alignment horizontal="center" vertical="center"/>
      <protection locked="0"/>
    </xf>
    <xf numFmtId="0" fontId="9" fillId="0" borderId="15" xfId="6" applyFont="1" applyBorder="1">
      <alignment vertical="center"/>
    </xf>
    <xf numFmtId="0" fontId="9" fillId="0" borderId="14" xfId="6" applyFont="1" applyBorder="1">
      <alignment vertical="center"/>
    </xf>
    <xf numFmtId="0" fontId="2" fillId="0" borderId="0" xfId="6" applyBorder="1" applyAlignment="1"/>
    <xf numFmtId="0" fontId="9" fillId="0" borderId="0" xfId="6" applyFont="1" applyBorder="1" applyAlignment="1">
      <alignment vertical="center"/>
    </xf>
    <xf numFmtId="0" fontId="19" fillId="0" borderId="3" xfId="6" applyFont="1" applyBorder="1" applyAlignment="1" applyProtection="1">
      <alignment horizontal="center" vertical="center"/>
      <protection locked="0"/>
    </xf>
    <xf numFmtId="0" fontId="9" fillId="0" borderId="5" xfId="6" applyFont="1" applyBorder="1">
      <alignment vertical="center"/>
    </xf>
    <xf numFmtId="0" fontId="19" fillId="0" borderId="5" xfId="6" applyFont="1" applyBorder="1" applyAlignment="1" applyProtection="1">
      <alignment horizontal="center" vertical="center"/>
      <protection locked="0"/>
    </xf>
    <xf numFmtId="0" fontId="27" fillId="0" borderId="14" xfId="6" applyFont="1" applyBorder="1">
      <alignment vertical="center"/>
    </xf>
    <xf numFmtId="0" fontId="27" fillId="0" borderId="15" xfId="6" applyFont="1" applyBorder="1">
      <alignment vertical="center"/>
    </xf>
    <xf numFmtId="0" fontId="19" fillId="0" borderId="0" xfId="6" applyFont="1" applyBorder="1" applyAlignment="1" applyProtection="1">
      <alignment vertical="center"/>
    </xf>
    <xf numFmtId="0" fontId="9" fillId="0" borderId="14" xfId="6" applyFont="1" applyBorder="1" applyProtection="1">
      <alignment vertical="center"/>
    </xf>
    <xf numFmtId="0" fontId="19" fillId="0" borderId="0" xfId="6" applyFont="1" applyBorder="1" applyProtection="1">
      <alignment vertical="center"/>
    </xf>
    <xf numFmtId="0" fontId="9" fillId="0" borderId="0" xfId="6" applyFont="1" applyBorder="1" applyProtection="1">
      <alignment vertical="center"/>
    </xf>
    <xf numFmtId="0" fontId="9" fillId="0" borderId="0" xfId="6" applyFont="1" applyBorder="1" applyAlignment="1" applyProtection="1">
      <alignment vertical="center"/>
    </xf>
    <xf numFmtId="0" fontId="27" fillId="0" borderId="0" xfId="6" applyFont="1" applyBorder="1" applyProtection="1">
      <alignment vertical="center"/>
    </xf>
    <xf numFmtId="0" fontId="2" fillId="0" borderId="0" xfId="6" applyBorder="1" applyAlignment="1">
      <alignment vertical="center"/>
    </xf>
    <xf numFmtId="0" fontId="9" fillId="0" borderId="0" xfId="6" applyFont="1" applyBorder="1" applyAlignment="1">
      <alignment horizontal="center" vertical="center"/>
    </xf>
    <xf numFmtId="0" fontId="27" fillId="0" borderId="14" xfId="6" applyFont="1" applyBorder="1" applyAlignment="1">
      <alignment horizontal="center" vertical="center"/>
    </xf>
    <xf numFmtId="0" fontId="39" fillId="0" borderId="0" xfId="6" applyFont="1" applyBorder="1" applyAlignment="1">
      <alignment horizontal="left" vertical="center"/>
    </xf>
    <xf numFmtId="0" fontId="39" fillId="0" borderId="15" xfId="6" applyFont="1" applyBorder="1">
      <alignment vertical="center"/>
    </xf>
    <xf numFmtId="0" fontId="39" fillId="0" borderId="0" xfId="6" applyFont="1">
      <alignment vertical="center"/>
    </xf>
    <xf numFmtId="0" fontId="19" fillId="0" borderId="0" xfId="6" applyFont="1">
      <alignment vertical="center"/>
    </xf>
    <xf numFmtId="0" fontId="19" fillId="0" borderId="0" xfId="6" applyFont="1" applyBorder="1" applyAlignment="1" applyProtection="1">
      <alignment vertical="center"/>
      <protection locked="0"/>
    </xf>
    <xf numFmtId="0" fontId="19" fillId="0" borderId="15" xfId="6" applyFont="1" applyBorder="1" applyAlignment="1" applyProtection="1">
      <alignment vertical="center"/>
      <protection locked="0"/>
    </xf>
    <xf numFmtId="0" fontId="9" fillId="0" borderId="0" xfId="6" applyFont="1" applyBorder="1" applyAlignment="1" applyProtection="1">
      <alignment horizontal="center" vertical="center"/>
    </xf>
    <xf numFmtId="0" fontId="27" fillId="0" borderId="0" xfId="6" applyFont="1" applyBorder="1" applyAlignment="1" applyProtection="1">
      <alignment horizontal="center" vertical="center"/>
    </xf>
    <xf numFmtId="0" fontId="19" fillId="0" borderId="0" xfId="6" applyFont="1" applyBorder="1" applyAlignment="1">
      <alignment horizontal="left" vertical="center"/>
    </xf>
    <xf numFmtId="0" fontId="27" fillId="0" borderId="0" xfId="6" applyFont="1" applyBorder="1" applyAlignment="1">
      <alignment horizontal="left" vertical="center"/>
    </xf>
    <xf numFmtId="0" fontId="12" fillId="0" borderId="16" xfId="6" applyFont="1" applyBorder="1">
      <alignment vertical="center"/>
    </xf>
    <xf numFmtId="0" fontId="12" fillId="0" borderId="3" xfId="6" applyFont="1" applyBorder="1">
      <alignment vertical="center"/>
    </xf>
    <xf numFmtId="0" fontId="12" fillId="0" borderId="17" xfId="6" applyFont="1" applyBorder="1">
      <alignment vertical="center"/>
    </xf>
    <xf numFmtId="0" fontId="9" fillId="0" borderId="18" xfId="6" applyFont="1" applyBorder="1">
      <alignment vertical="center"/>
    </xf>
    <xf numFmtId="0" fontId="9" fillId="0" borderId="30" xfId="6" applyFont="1" applyBorder="1">
      <alignment vertical="center"/>
    </xf>
    <xf numFmtId="0" fontId="39" fillId="0" borderId="14" xfId="6" applyFont="1" applyBorder="1" applyAlignment="1">
      <alignment vertical="center" shrinkToFit="1"/>
    </xf>
    <xf numFmtId="0" fontId="27" fillId="0" borderId="0" xfId="6" applyFont="1" applyBorder="1" applyAlignment="1">
      <alignment vertical="center"/>
    </xf>
    <xf numFmtId="0" fontId="39" fillId="0" borderId="0" xfId="6" applyFont="1" applyBorder="1" applyAlignment="1">
      <alignment vertical="center" shrinkToFit="1"/>
    </xf>
    <xf numFmtId="0" fontId="39" fillId="0" borderId="15" xfId="6" applyFont="1" applyBorder="1" applyAlignment="1">
      <alignment vertical="center" shrinkToFit="1"/>
    </xf>
    <xf numFmtId="0" fontId="20" fillId="0" borderId="14" xfId="6" applyFont="1" applyFill="1" applyBorder="1">
      <alignment vertical="center"/>
    </xf>
    <xf numFmtId="0" fontId="20" fillId="0" borderId="0" xfId="6" applyFont="1" applyBorder="1">
      <alignment vertical="center"/>
    </xf>
    <xf numFmtId="0" fontId="20" fillId="0" borderId="15" xfId="6" applyFont="1" applyFill="1" applyBorder="1">
      <alignment vertical="center"/>
    </xf>
    <xf numFmtId="0" fontId="20" fillId="0" borderId="0" xfId="6" applyFont="1">
      <alignment vertical="center"/>
    </xf>
    <xf numFmtId="0" fontId="27" fillId="0" borderId="0" xfId="6" applyFont="1" applyBorder="1" applyAlignment="1">
      <alignment vertical="center" shrinkToFit="1"/>
    </xf>
    <xf numFmtId="0" fontId="20" fillId="0" borderId="0" xfId="6" applyFont="1" applyFill="1" applyBorder="1" applyAlignment="1">
      <alignment horizontal="right" vertical="center"/>
    </xf>
    <xf numFmtId="0" fontId="51" fillId="0" borderId="0" xfId="6" applyFont="1" applyFill="1" applyBorder="1">
      <alignment vertical="center"/>
    </xf>
    <xf numFmtId="0" fontId="20" fillId="0" borderId="0" xfId="6" applyFont="1" applyFill="1">
      <alignment vertical="center"/>
    </xf>
    <xf numFmtId="0" fontId="20" fillId="0" borderId="14" xfId="6" applyFont="1" applyFill="1" applyBorder="1" applyProtection="1">
      <alignment vertical="center"/>
    </xf>
    <xf numFmtId="0" fontId="47" fillId="0" borderId="0" xfId="6" applyFont="1" applyFill="1" applyBorder="1" applyAlignment="1" applyProtection="1">
      <alignment vertical="top"/>
    </xf>
    <xf numFmtId="0" fontId="20" fillId="0" borderId="0" xfId="6" applyFont="1" applyFill="1" applyBorder="1" applyProtection="1">
      <alignment vertical="center"/>
    </xf>
    <xf numFmtId="0" fontId="19" fillId="0" borderId="0" xfId="6" applyFont="1" applyFill="1" applyBorder="1" applyAlignment="1" applyProtection="1"/>
    <xf numFmtId="0" fontId="20" fillId="0" borderId="15" xfId="6" applyFont="1" applyFill="1" applyBorder="1" applyProtection="1">
      <alignment vertical="center"/>
    </xf>
    <xf numFmtId="0" fontId="47" fillId="0" borderId="50" xfId="6" applyFont="1" applyFill="1" applyBorder="1" applyProtection="1">
      <alignment vertical="center"/>
    </xf>
    <xf numFmtId="0" fontId="20" fillId="0" borderId="50" xfId="6" applyFont="1" applyFill="1" applyBorder="1">
      <alignment vertical="center"/>
    </xf>
    <xf numFmtId="0" fontId="47" fillId="0" borderId="50" xfId="6" applyFont="1" applyFill="1" applyBorder="1" applyAlignment="1" applyProtection="1">
      <alignment horizontal="right" vertical="center"/>
    </xf>
    <xf numFmtId="0" fontId="20" fillId="0" borderId="50" xfId="6" applyFont="1" applyFill="1" applyBorder="1" applyProtection="1">
      <alignment vertical="center"/>
    </xf>
    <xf numFmtId="0" fontId="47" fillId="0" borderId="0" xfId="6" applyFont="1" applyFill="1" applyBorder="1" applyProtection="1">
      <alignment vertical="center"/>
    </xf>
    <xf numFmtId="0" fontId="47" fillId="0" borderId="0" xfId="6" applyFont="1" applyFill="1" applyBorder="1" applyAlignment="1" applyProtection="1">
      <alignment horizontal="right" vertical="center"/>
    </xf>
    <xf numFmtId="0" fontId="47" fillId="0" borderId="0" xfId="6" applyFont="1" applyFill="1" applyBorder="1" applyAlignment="1" applyProtection="1">
      <alignment horizontal="center" vertical="center"/>
    </xf>
    <xf numFmtId="0" fontId="52" fillId="0" borderId="0" xfId="6" applyFont="1" applyFill="1" applyBorder="1">
      <alignment vertical="center"/>
    </xf>
    <xf numFmtId="0" fontId="53" fillId="0" borderId="0" xfId="6" applyFont="1" applyFill="1" applyBorder="1">
      <alignment vertical="center"/>
    </xf>
    <xf numFmtId="0" fontId="54" fillId="0" borderId="16" xfId="6" applyFont="1" applyFill="1" applyBorder="1">
      <alignment vertical="center"/>
    </xf>
    <xf numFmtId="0" fontId="54" fillId="0" borderId="3" xfId="6" applyFont="1" applyFill="1" applyBorder="1">
      <alignment vertical="center"/>
    </xf>
    <xf numFmtId="0" fontId="54" fillId="0" borderId="17" xfId="6" applyFont="1" applyFill="1" applyBorder="1">
      <alignment vertical="center"/>
    </xf>
    <xf numFmtId="0" fontId="10" fillId="0" borderId="0" xfId="6" applyFont="1" applyFill="1" applyBorder="1">
      <alignment vertical="center"/>
    </xf>
    <xf numFmtId="0" fontId="10" fillId="0" borderId="0" xfId="6" applyFont="1" applyFill="1">
      <alignment vertical="center"/>
    </xf>
    <xf numFmtId="0" fontId="10" fillId="0" borderId="16" xfId="6" applyFont="1" applyBorder="1">
      <alignment vertical="center"/>
    </xf>
    <xf numFmtId="0" fontId="10" fillId="0" borderId="3" xfId="6" applyFont="1" applyBorder="1">
      <alignment vertical="center"/>
    </xf>
    <xf numFmtId="0" fontId="10" fillId="0" borderId="17" xfId="6" applyFont="1" applyBorder="1">
      <alignment vertical="center"/>
    </xf>
    <xf numFmtId="0" fontId="9" fillId="0" borderId="3" xfId="3" applyFont="1" applyBorder="1" applyAlignment="1"/>
    <xf numFmtId="0" fontId="19" fillId="0" borderId="5" xfId="3" applyFont="1" applyBorder="1" applyAlignment="1">
      <alignment horizontal="center"/>
    </xf>
    <xf numFmtId="0" fontId="15" fillId="0" borderId="6" xfId="0" applyFont="1" applyBorder="1" applyAlignment="1">
      <alignment horizontal="right"/>
    </xf>
    <xf numFmtId="0" fontId="15" fillId="0" borderId="2" xfId="0" applyFont="1" applyBorder="1" applyAlignment="1">
      <alignment vertical="center" wrapText="1"/>
    </xf>
    <xf numFmtId="0" fontId="19" fillId="0" borderId="30" xfId="3" applyFont="1" applyBorder="1" applyAlignment="1">
      <alignment horizontal="center"/>
    </xf>
    <xf numFmtId="0" fontId="9" fillId="0" borderId="16" xfId="3" applyFont="1" applyBorder="1" applyAlignment="1"/>
    <xf numFmtId="0" fontId="19" fillId="0" borderId="17" xfId="3" applyFont="1" applyBorder="1" applyAlignment="1">
      <alignment horizontal="center"/>
    </xf>
    <xf numFmtId="0" fontId="15" fillId="4" borderId="42" xfId="0" applyFont="1" applyFill="1" applyBorder="1" applyAlignment="1"/>
    <xf numFmtId="0" fontId="15" fillId="4" borderId="43" xfId="0" applyFont="1" applyFill="1" applyBorder="1" applyAlignment="1">
      <alignment horizontal="left"/>
    </xf>
    <xf numFmtId="0" fontId="7" fillId="4" borderId="43" xfId="0" applyFont="1" applyFill="1" applyBorder="1" applyAlignment="1"/>
    <xf numFmtId="0" fontId="7" fillId="4" borderId="44" xfId="0" applyFont="1" applyFill="1" applyBorder="1" applyAlignment="1"/>
    <xf numFmtId="0" fontId="4" fillId="0" borderId="42" xfId="0" applyFont="1" applyBorder="1">
      <alignment vertical="center"/>
    </xf>
    <xf numFmtId="0" fontId="0" fillId="0" borderId="43" xfId="0" applyBorder="1">
      <alignment vertical="center"/>
    </xf>
    <xf numFmtId="0" fontId="6" fillId="0" borderId="43" xfId="0" applyFont="1" applyBorder="1">
      <alignment vertical="center"/>
    </xf>
    <xf numFmtId="0" fontId="9" fillId="0" borderId="44" xfId="0" applyFont="1" applyFill="1" applyBorder="1">
      <alignment vertical="center"/>
    </xf>
    <xf numFmtId="0" fontId="0" fillId="0" borderId="43" xfId="0" applyFont="1" applyBorder="1">
      <alignment vertical="center"/>
    </xf>
    <xf numFmtId="0" fontId="23" fillId="0" borderId="20" xfId="0" applyFont="1" applyFill="1" applyBorder="1" applyAlignment="1">
      <alignment vertical="center"/>
    </xf>
    <xf numFmtId="0" fontId="23" fillId="0" borderId="22" xfId="0" applyFont="1" applyFill="1" applyBorder="1" applyAlignment="1">
      <alignment vertical="center"/>
    </xf>
    <xf numFmtId="0" fontId="15" fillId="0" borderId="14" xfId="0" applyFont="1" applyBorder="1" applyAlignment="1">
      <alignment horizontal="center"/>
    </xf>
    <xf numFmtId="0" fontId="23" fillId="0" borderId="36" xfId="0" applyFont="1" applyFill="1" applyBorder="1" applyAlignment="1">
      <alignment vertical="center"/>
    </xf>
    <xf numFmtId="0" fontId="55" fillId="0" borderId="16" xfId="0" applyFont="1" applyBorder="1" applyAlignment="1">
      <alignment vertical="center" wrapText="1"/>
    </xf>
    <xf numFmtId="0" fontId="55" fillId="0" borderId="3" xfId="0" applyFont="1" applyBorder="1" applyAlignment="1"/>
    <xf numFmtId="0" fontId="55" fillId="0" borderId="14" xfId="0" applyFont="1" applyBorder="1" applyAlignment="1">
      <alignment vertical="center" wrapText="1"/>
    </xf>
    <xf numFmtId="0" fontId="55" fillId="0" borderId="0" xfId="0" applyFont="1" applyBorder="1" applyAlignment="1"/>
    <xf numFmtId="0" fontId="55" fillId="0" borderId="16" xfId="0" applyFont="1" applyBorder="1" applyAlignment="1"/>
    <xf numFmtId="0" fontId="55" fillId="0" borderId="14" xfId="0" applyFont="1" applyBorder="1" applyAlignment="1"/>
    <xf numFmtId="0" fontId="57" fillId="0" borderId="0" xfId="0" applyFont="1" applyAlignment="1"/>
    <xf numFmtId="0" fontId="3" fillId="0" borderId="0" xfId="0" applyFont="1" applyAlignment="1"/>
    <xf numFmtId="0" fontId="58" fillId="0" borderId="0" xfId="0" applyFont="1" applyAlignment="1"/>
    <xf numFmtId="0" fontId="6" fillId="0" borderId="0" xfId="0" applyFont="1" applyAlignment="1"/>
    <xf numFmtId="0" fontId="3" fillId="0" borderId="0" xfId="0" applyFont="1">
      <alignment vertical="center"/>
    </xf>
    <xf numFmtId="0" fontId="3" fillId="0" borderId="0" xfId="0" applyFont="1" applyBorder="1">
      <alignment vertical="center"/>
    </xf>
    <xf numFmtId="0" fontId="57" fillId="0" borderId="0" xfId="0" applyFont="1">
      <alignment vertical="center"/>
    </xf>
    <xf numFmtId="0" fontId="57" fillId="0" borderId="0" xfId="0" applyFont="1" applyAlignment="1" applyProtection="1"/>
    <xf numFmtId="0" fontId="3" fillId="0" borderId="0" xfId="0" applyFont="1" applyAlignment="1" applyProtection="1"/>
    <xf numFmtId="0" fontId="58" fillId="0" borderId="0" xfId="0" applyFont="1" applyAlignment="1" applyProtection="1"/>
    <xf numFmtId="0" fontId="11" fillId="0" borderId="0" xfId="0" applyFont="1" applyAlignment="1" applyProtection="1">
      <alignment horizontal="right"/>
    </xf>
    <xf numFmtId="0" fontId="14" fillId="0" borderId="1" xfId="0" applyFont="1" applyBorder="1" applyAlignment="1" applyProtection="1">
      <alignment horizontal="right"/>
    </xf>
    <xf numFmtId="0" fontId="6" fillId="0" borderId="0" xfId="0" applyFont="1" applyAlignment="1" applyProtection="1"/>
    <xf numFmtId="0" fontId="7" fillId="0" borderId="31" xfId="0" applyFont="1" applyFill="1" applyBorder="1" applyAlignment="1" applyProtection="1"/>
    <xf numFmtId="0" fontId="7" fillId="0" borderId="6" xfId="0" applyFont="1" applyFill="1" applyBorder="1" applyAlignment="1" applyProtection="1"/>
    <xf numFmtId="0" fontId="6" fillId="0" borderId="6" xfId="0" applyFont="1" applyFill="1" applyBorder="1" applyAlignment="1" applyProtection="1"/>
    <xf numFmtId="0" fontId="6" fillId="0" borderId="32" xfId="0" applyFont="1" applyFill="1" applyBorder="1" applyAlignment="1" applyProtection="1"/>
    <xf numFmtId="0" fontId="15" fillId="0" borderId="6" xfId="0" applyFont="1" applyFill="1" applyBorder="1" applyAlignment="1" applyProtection="1"/>
    <xf numFmtId="0" fontId="13" fillId="0" borderId="6" xfId="0" applyFont="1" applyFill="1" applyBorder="1" applyAlignment="1" applyProtection="1"/>
    <xf numFmtId="0" fontId="15" fillId="0" borderId="33" xfId="0" applyFont="1" applyFill="1" applyBorder="1" applyAlignment="1" applyProtection="1"/>
    <xf numFmtId="0" fontId="7" fillId="0" borderId="0" xfId="0" applyFont="1" applyAlignment="1" applyProtection="1"/>
    <xf numFmtId="0" fontId="7" fillId="0" borderId="9" xfId="0" applyFont="1" applyBorder="1" applyAlignment="1" applyProtection="1">
      <alignment horizontal="left"/>
    </xf>
    <xf numFmtId="0" fontId="7" fillId="0" borderId="0" xfId="0" applyFont="1" applyBorder="1" applyAlignment="1" applyProtection="1">
      <alignment horizontal="left"/>
    </xf>
    <xf numFmtId="0" fontId="7" fillId="0" borderId="14" xfId="0" applyFont="1" applyBorder="1" applyAlignment="1" applyProtection="1"/>
    <xf numFmtId="0" fontId="7" fillId="0" borderId="0" xfId="0" applyFont="1" applyBorder="1" applyAlignment="1" applyProtection="1"/>
    <xf numFmtId="0" fontId="7" fillId="0" borderId="4" xfId="0" applyFont="1" applyBorder="1" applyAlignment="1" applyProtection="1"/>
    <xf numFmtId="0" fontId="7" fillId="0" borderId="21" xfId="0" applyFont="1" applyBorder="1" applyAlignment="1" applyProtection="1">
      <alignment horizontal="left"/>
    </xf>
    <xf numFmtId="0" fontId="7" fillId="0" borderId="3" xfId="0" applyFont="1" applyBorder="1" applyAlignment="1" applyProtection="1">
      <alignment horizontal="left"/>
    </xf>
    <xf numFmtId="0" fontId="7" fillId="0" borderId="16" xfId="0" applyFont="1" applyBorder="1" applyAlignment="1" applyProtection="1"/>
    <xf numFmtId="0" fontId="7" fillId="0" borderId="3" xfId="0" applyFont="1" applyBorder="1" applyAlignment="1" applyProtection="1"/>
    <xf numFmtId="0" fontId="7" fillId="0" borderId="22" xfId="0" applyFont="1" applyBorder="1" applyAlignment="1" applyProtection="1"/>
    <xf numFmtId="0" fontId="7" fillId="0" borderId="0" xfId="0" applyFont="1" applyBorder="1" applyAlignment="1" applyProtection="1">
      <alignment horizontal="center"/>
    </xf>
    <xf numFmtId="0" fontId="7" fillId="0" borderId="5" xfId="0" applyFont="1" applyBorder="1" applyAlignment="1" applyProtection="1">
      <alignment horizontal="left"/>
    </xf>
    <xf numFmtId="0" fontId="7" fillId="0" borderId="5" xfId="0" applyFont="1" applyBorder="1" applyAlignment="1" applyProtection="1"/>
    <xf numFmtId="0" fontId="7" fillId="0" borderId="5" xfId="0" applyFont="1" applyBorder="1" applyAlignment="1" applyProtection="1">
      <alignment horizontal="center"/>
    </xf>
    <xf numFmtId="0" fontId="7" fillId="0" borderId="30" xfId="0" applyFont="1" applyBorder="1" applyAlignment="1" applyProtection="1">
      <alignment horizontal="center"/>
    </xf>
    <xf numFmtId="0" fontId="7" fillId="0" borderId="21" xfId="0" applyFont="1" applyBorder="1" applyAlignment="1" applyProtection="1"/>
    <xf numFmtId="0" fontId="7" fillId="0" borderId="3" xfId="0" applyFont="1" applyBorder="1" applyAlignment="1" applyProtection="1">
      <alignment horizontal="center" vertical="center"/>
    </xf>
    <xf numFmtId="0" fontId="7" fillId="0" borderId="3" xfId="0" applyFont="1" applyBorder="1" applyAlignment="1" applyProtection="1">
      <alignment horizontal="left" vertical="center"/>
    </xf>
    <xf numFmtId="0" fontId="7" fillId="0" borderId="3" xfId="0" applyFont="1" applyBorder="1" applyAlignment="1" applyProtection="1">
      <alignment horizontal="center"/>
    </xf>
    <xf numFmtId="0" fontId="7" fillId="0" borderId="17" xfId="0" applyFont="1" applyBorder="1" applyAlignment="1" applyProtection="1">
      <alignment horizontal="center"/>
    </xf>
    <xf numFmtId="0" fontId="7" fillId="0" borderId="20" xfId="0" applyFont="1" applyBorder="1" applyAlignment="1" applyProtection="1"/>
    <xf numFmtId="0" fontId="7" fillId="0" borderId="3" xfId="0" applyFont="1" applyBorder="1" applyAlignment="1" applyProtection="1">
      <alignment horizontal="center" shrinkToFit="1"/>
    </xf>
    <xf numFmtId="0" fontId="7" fillId="0" borderId="3" xfId="0" applyFont="1" applyBorder="1" applyAlignment="1" applyProtection="1">
      <alignment horizontal="left" shrinkToFit="1"/>
    </xf>
    <xf numFmtId="0" fontId="7" fillId="0" borderId="0" xfId="0" applyFont="1" applyBorder="1" applyAlignment="1" applyProtection="1">
      <alignment horizontal="left" shrinkToFit="1"/>
    </xf>
    <xf numFmtId="0" fontId="7" fillId="0" borderId="0" xfId="0" applyFont="1" applyBorder="1" applyAlignment="1" applyProtection="1">
      <alignment horizontal="center" shrinkToFit="1"/>
    </xf>
    <xf numFmtId="0" fontId="7" fillId="0" borderId="9" xfId="0" applyFont="1" applyBorder="1" applyAlignment="1" applyProtection="1"/>
    <xf numFmtId="0" fontId="6" fillId="0" borderId="0" xfId="0" applyFont="1" applyBorder="1" applyAlignment="1" applyProtection="1"/>
    <xf numFmtId="0" fontId="6" fillId="0" borderId="4" xfId="0" applyFont="1" applyBorder="1" applyAlignment="1" applyProtection="1"/>
    <xf numFmtId="0" fontId="7" fillId="0" borderId="24" xfId="0" applyFont="1" applyBorder="1" applyAlignment="1" applyProtection="1"/>
    <xf numFmtId="0" fontId="7" fillId="0" borderId="10" xfId="0" applyFont="1" applyBorder="1" applyAlignment="1" applyProtection="1"/>
    <xf numFmtId="0" fontId="7" fillId="0" borderId="36" xfId="0" applyFont="1" applyBorder="1" applyAlignment="1" applyProtection="1"/>
    <xf numFmtId="0" fontId="7" fillId="0" borderId="43" xfId="0" applyFont="1" applyBorder="1" applyAlignment="1"/>
    <xf numFmtId="0" fontId="13" fillId="0" borderId="0" xfId="0" applyFont="1">
      <alignment vertical="center"/>
    </xf>
    <xf numFmtId="0" fontId="10" fillId="0" borderId="0" xfId="5" applyFont="1" applyAlignment="1" applyProtection="1">
      <alignment horizontal="center" vertical="center"/>
    </xf>
    <xf numFmtId="0" fontId="56" fillId="0" borderId="0" xfId="6" applyFont="1">
      <alignment vertical="center"/>
    </xf>
    <xf numFmtId="0" fontId="1" fillId="0" borderId="0" xfId="6" applyFont="1">
      <alignment vertical="center"/>
    </xf>
    <xf numFmtId="0" fontId="61" fillId="0" borderId="0" xfId="5" applyFont="1" applyAlignment="1" applyProtection="1">
      <alignment horizontal="left" vertical="center"/>
    </xf>
    <xf numFmtId="0" fontId="56" fillId="0" borderId="0" xfId="6" applyFont="1" applyAlignment="1">
      <alignment horizontal="left" vertical="center"/>
    </xf>
    <xf numFmtId="0" fontId="15" fillId="0" borderId="29" xfId="0" applyFont="1" applyBorder="1" applyAlignment="1">
      <alignment vertical="center" wrapText="1"/>
    </xf>
    <xf numFmtId="0" fontId="15" fillId="0" borderId="42" xfId="0" applyFont="1" applyBorder="1" applyAlignment="1">
      <alignment vertical="center" wrapText="1"/>
    </xf>
    <xf numFmtId="0" fontId="15" fillId="0" borderId="43" xfId="0" applyFont="1" applyBorder="1" applyAlignment="1">
      <alignment vertical="center" wrapText="1"/>
    </xf>
    <xf numFmtId="0" fontId="15" fillId="0" borderId="43" xfId="0" applyFont="1" applyBorder="1" applyAlignment="1"/>
    <xf numFmtId="0" fontId="15" fillId="0" borderId="44" xfId="0" applyFont="1" applyBorder="1" applyAlignment="1"/>
    <xf numFmtId="0" fontId="15" fillId="0" borderId="42" xfId="0" applyFont="1" applyBorder="1">
      <alignment vertical="center"/>
    </xf>
    <xf numFmtId="0" fontId="15" fillId="0" borderId="43" xfId="0" applyFont="1" applyBorder="1">
      <alignment vertical="center"/>
    </xf>
    <xf numFmtId="0" fontId="12" fillId="0" borderId="44" xfId="0" applyFont="1" applyFill="1" applyBorder="1">
      <alignment vertical="center"/>
    </xf>
    <xf numFmtId="0" fontId="15" fillId="0" borderId="44" xfId="0" applyFont="1" applyBorder="1" applyAlignment="1">
      <alignment vertical="center" wrapText="1"/>
    </xf>
    <xf numFmtId="0" fontId="12" fillId="0" borderId="43" xfId="0" applyFont="1" applyFill="1" applyBorder="1">
      <alignment vertical="center"/>
    </xf>
    <xf numFmtId="0" fontId="62" fillId="0" borderId="0" xfId="3" applyFont="1"/>
    <xf numFmtId="0" fontId="61" fillId="0" borderId="0" xfId="3" applyFont="1"/>
    <xf numFmtId="14" fontId="0" fillId="0" borderId="0" xfId="0" applyNumberFormat="1">
      <alignment vertical="center"/>
    </xf>
    <xf numFmtId="0" fontId="0" fillId="0" borderId="0" xfId="0" applyAlignment="1">
      <alignment horizontal="center" vertical="center"/>
    </xf>
    <xf numFmtId="0" fontId="0" fillId="3" borderId="0" xfId="0" applyFill="1">
      <alignment vertical="center"/>
    </xf>
    <xf numFmtId="0" fontId="0" fillId="0" borderId="39" xfId="0" applyBorder="1" applyAlignment="1">
      <alignment vertical="center"/>
    </xf>
    <xf numFmtId="0" fontId="0" fillId="0" borderId="39" xfId="0" quotePrefix="1" applyBorder="1">
      <alignment vertical="center"/>
    </xf>
    <xf numFmtId="0" fontId="0" fillId="0" borderId="39" xfId="0" applyBorder="1">
      <alignment vertical="center"/>
    </xf>
    <xf numFmtId="0" fontId="0" fillId="0" borderId="39" xfId="0" applyBorder="1" applyAlignment="1">
      <alignment horizontal="center" vertical="center"/>
    </xf>
    <xf numFmtId="38" fontId="0" fillId="0" borderId="0" xfId="2" applyFont="1">
      <alignment vertical="center"/>
    </xf>
    <xf numFmtId="38" fontId="0" fillId="0" borderId="0" xfId="0" applyNumberFormat="1">
      <alignment vertical="center"/>
    </xf>
    <xf numFmtId="0" fontId="63" fillId="3" borderId="0" xfId="0" applyFont="1" applyFill="1">
      <alignment vertical="center"/>
    </xf>
    <xf numFmtId="0" fontId="63" fillId="3" borderId="0" xfId="0" applyFont="1" applyFill="1" applyBorder="1">
      <alignment vertical="center"/>
    </xf>
    <xf numFmtId="0" fontId="19" fillId="0" borderId="18" xfId="3" applyFont="1" applyBorder="1" applyAlignment="1" applyProtection="1">
      <alignment horizontal="right"/>
      <protection locked="0"/>
    </xf>
    <xf numFmtId="0" fontId="19" fillId="0" borderId="5" xfId="3" applyFont="1" applyBorder="1" applyAlignment="1" applyProtection="1">
      <alignment horizontal="right"/>
      <protection locked="0"/>
    </xf>
    <xf numFmtId="0" fontId="9" fillId="0" borderId="5" xfId="3" applyFont="1" applyBorder="1" applyAlignment="1" applyProtection="1">
      <protection locked="0"/>
    </xf>
    <xf numFmtId="0" fontId="13" fillId="0" borderId="0" xfId="0" applyFont="1" applyAlignment="1">
      <alignment horizontal="center" vertical="center"/>
    </xf>
    <xf numFmtId="49" fontId="0" fillId="0" borderId="39" xfId="0" applyNumberFormat="1" applyBorder="1">
      <alignment vertical="center"/>
    </xf>
    <xf numFmtId="0" fontId="0" fillId="0" borderId="0" xfId="0" applyAlignment="1">
      <alignment vertical="center"/>
    </xf>
    <xf numFmtId="0" fontId="15" fillId="0" borderId="42" xfId="0" applyFont="1" applyBorder="1" applyAlignment="1"/>
    <xf numFmtId="0" fontId="15" fillId="0" borderId="0" xfId="0" applyFont="1">
      <alignment vertical="center"/>
    </xf>
    <xf numFmtId="0" fontId="15" fillId="0" borderId="0" xfId="0" applyFont="1" applyAlignment="1">
      <alignment vertical="center" wrapText="1"/>
    </xf>
    <xf numFmtId="0" fontId="16" fillId="0" borderId="0" xfId="0" applyFont="1" applyFill="1">
      <alignment vertical="center"/>
    </xf>
    <xf numFmtId="0" fontId="16" fillId="0" borderId="0" xfId="0" applyFont="1" applyAlignment="1"/>
    <xf numFmtId="0" fontId="16" fillId="0" borderId="0" xfId="0" applyFont="1">
      <alignment vertical="center"/>
    </xf>
    <xf numFmtId="0" fontId="13" fillId="0" borderId="0" xfId="0" applyFont="1" applyFill="1" applyAlignment="1"/>
    <xf numFmtId="0" fontId="10" fillId="0" borderId="0" xfId="3" applyFont="1" applyBorder="1" applyAlignment="1"/>
    <xf numFmtId="0" fontId="10" fillId="0" borderId="3" xfId="3" applyFont="1" applyBorder="1" applyAlignment="1">
      <alignment horizontal="right"/>
    </xf>
    <xf numFmtId="0" fontId="10" fillId="0" borderId="3" xfId="3" applyFont="1" applyBorder="1" applyAlignment="1"/>
    <xf numFmtId="0" fontId="10" fillId="0" borderId="3" xfId="3" applyFont="1" applyBorder="1" applyAlignment="1">
      <alignment horizontal="center"/>
    </xf>
    <xf numFmtId="0" fontId="10" fillId="0" borderId="0" xfId="3" applyFont="1" applyAlignment="1">
      <alignment horizontal="center"/>
    </xf>
    <xf numFmtId="0" fontId="10" fillId="0" borderId="0" xfId="3" applyFont="1" applyBorder="1" applyAlignment="1">
      <alignment horizontal="center"/>
    </xf>
    <xf numFmtId="0" fontId="13" fillId="0" borderId="0" xfId="0" applyFont="1" applyAlignment="1">
      <alignment horizontal="center" vertical="center"/>
    </xf>
    <xf numFmtId="0" fontId="15" fillId="0" borderId="36" xfId="0" applyFont="1" applyBorder="1" applyAlignment="1"/>
    <xf numFmtId="0" fontId="0" fillId="0" borderId="0" xfId="0" applyAlignment="1">
      <alignment horizontal="center" vertical="center"/>
    </xf>
    <xf numFmtId="0" fontId="64" fillId="0" borderId="0" xfId="0" applyFont="1" applyBorder="1" applyAlignment="1">
      <alignment horizontal="centerContinuous" vertical="center"/>
    </xf>
    <xf numFmtId="0" fontId="65" fillId="0" borderId="0" xfId="0" applyFont="1" applyBorder="1" applyAlignment="1">
      <alignment horizontal="centerContinuous" vertical="center"/>
    </xf>
    <xf numFmtId="0" fontId="6" fillId="0" borderId="0" xfId="0" applyFont="1" applyBorder="1" applyAlignment="1">
      <alignment horizontal="centerContinuous" vertical="center"/>
    </xf>
    <xf numFmtId="0" fontId="65" fillId="0" borderId="0" xfId="0" applyFont="1" applyBorder="1" applyAlignment="1">
      <alignment horizontal="left" vertical="center"/>
    </xf>
    <xf numFmtId="0" fontId="6" fillId="0" borderId="0" xfId="0" applyFont="1" applyBorder="1" applyAlignment="1">
      <alignment horizontal="center" vertical="center" wrapText="1"/>
    </xf>
    <xf numFmtId="49" fontId="6" fillId="0" borderId="0" xfId="0" applyNumberFormat="1" applyFont="1" applyBorder="1" applyAlignment="1">
      <alignment horizontal="right"/>
    </xf>
    <xf numFmtId="0" fontId="66" fillId="0" borderId="0" xfId="0" applyFont="1" applyBorder="1" applyAlignment="1">
      <alignment horizontal="right"/>
    </xf>
    <xf numFmtId="0" fontId="65" fillId="0" borderId="39" xfId="0" applyFont="1" applyFill="1" applyBorder="1" applyAlignment="1">
      <alignment horizontal="center" vertical="center"/>
    </xf>
    <xf numFmtId="0" fontId="67" fillId="0" borderId="59" xfId="0" applyFont="1" applyBorder="1" applyAlignment="1">
      <alignment horizontal="center" vertical="center"/>
    </xf>
    <xf numFmtId="0" fontId="67" fillId="0" borderId="58" xfId="0" quotePrefix="1" applyFont="1" applyBorder="1" applyAlignment="1">
      <alignment horizontal="center" vertical="center" wrapText="1"/>
    </xf>
    <xf numFmtId="0" fontId="6" fillId="0" borderId="59" xfId="0" applyFont="1" applyBorder="1" applyAlignment="1">
      <alignment horizontal="center" vertical="center" wrapText="1"/>
    </xf>
    <xf numFmtId="0" fontId="6" fillId="0" borderId="8" xfId="0" applyFont="1" applyBorder="1" applyAlignment="1">
      <alignment horizontal="center" vertical="center" wrapText="1"/>
    </xf>
    <xf numFmtId="0" fontId="59" fillId="0" borderId="26" xfId="0" applyFont="1" applyBorder="1" applyAlignment="1">
      <alignment horizontal="center" vertical="center" wrapText="1"/>
    </xf>
    <xf numFmtId="0" fontId="67" fillId="0" borderId="41" xfId="0" quotePrefix="1" applyFont="1" applyBorder="1" applyAlignment="1">
      <alignment horizontal="center" vertical="center" wrapText="1"/>
    </xf>
    <xf numFmtId="0" fontId="67" fillId="0" borderId="58" xfId="0" applyFont="1" applyBorder="1" applyAlignment="1">
      <alignment horizontal="center" vertical="center" wrapText="1"/>
    </xf>
    <xf numFmtId="0" fontId="67" fillId="0" borderId="16" xfId="0" applyFont="1" applyBorder="1" applyAlignment="1">
      <alignment horizontal="center" vertical="center" wrapText="1"/>
    </xf>
    <xf numFmtId="0" fontId="67" fillId="0" borderId="3" xfId="0" applyFont="1" applyBorder="1" applyAlignment="1">
      <alignment horizontal="center" vertical="center" wrapText="1"/>
    </xf>
    <xf numFmtId="0" fontId="67" fillId="0" borderId="22" xfId="0" applyFont="1" applyBorder="1" applyAlignment="1">
      <alignment horizontal="center" vertical="center" wrapText="1"/>
    </xf>
    <xf numFmtId="0" fontId="67" fillId="0" borderId="48" xfId="0" applyFont="1" applyBorder="1" applyAlignment="1">
      <alignment horizontal="center" vertical="center" wrapText="1"/>
    </xf>
    <xf numFmtId="0" fontId="67" fillId="0" borderId="39" xfId="0" quotePrefix="1" applyFont="1" applyBorder="1" applyAlignment="1">
      <alignment horizontal="center" vertical="center" wrapText="1"/>
    </xf>
    <xf numFmtId="0" fontId="67" fillId="0" borderId="2" xfId="0" applyFont="1" applyBorder="1" applyAlignment="1">
      <alignment horizontal="center" vertical="center" wrapText="1"/>
    </xf>
    <xf numFmtId="0" fontId="67" fillId="0" borderId="23" xfId="0" applyFont="1" applyBorder="1" applyAlignment="1">
      <alignment horizontal="center" vertical="center" wrapText="1"/>
    </xf>
    <xf numFmtId="0" fontId="67" fillId="0" borderId="39" xfId="0" applyFont="1" applyBorder="1" applyAlignment="1">
      <alignment horizontal="center" vertical="center" wrapText="1"/>
    </xf>
    <xf numFmtId="0" fontId="67" fillId="0" borderId="18" xfId="0" applyFont="1" applyBorder="1" applyAlignment="1">
      <alignment horizontal="center" vertical="center" wrapText="1"/>
    </xf>
    <xf numFmtId="0" fontId="67" fillId="0" borderId="5" xfId="0" applyFont="1" applyBorder="1" applyAlignment="1">
      <alignment horizontal="center" vertical="center" wrapText="1"/>
    </xf>
    <xf numFmtId="0" fontId="67" fillId="0" borderId="20" xfId="0" applyFont="1" applyBorder="1" applyAlignment="1">
      <alignment horizontal="center" vertical="center" wrapText="1"/>
    </xf>
    <xf numFmtId="0" fontId="4" fillId="3" borderId="63" xfId="0" applyFont="1" applyFill="1" applyBorder="1" applyAlignment="1">
      <alignment vertical="center" wrapText="1"/>
    </xf>
    <xf numFmtId="0" fontId="4" fillId="3" borderId="37" xfId="0" applyFont="1" applyFill="1" applyBorder="1" applyAlignment="1">
      <alignment vertical="center" wrapText="1"/>
    </xf>
    <xf numFmtId="0" fontId="4" fillId="3" borderId="64" xfId="0" applyFont="1" applyFill="1" applyBorder="1" applyAlignment="1">
      <alignment vertical="center" wrapText="1"/>
    </xf>
    <xf numFmtId="0" fontId="67" fillId="0" borderId="63" xfId="0" applyFont="1" applyBorder="1" applyAlignment="1">
      <alignment horizontal="center" vertical="center" wrapText="1"/>
    </xf>
    <xf numFmtId="0" fontId="67" fillId="0" borderId="62" xfId="0" applyFont="1" applyBorder="1" applyAlignment="1">
      <alignment horizontal="center" vertical="center" wrapText="1"/>
    </xf>
    <xf numFmtId="0" fontId="67" fillId="0" borderId="37" xfId="0" applyFont="1" applyBorder="1" applyAlignment="1">
      <alignment horizontal="center" vertical="center" wrapText="1"/>
    </xf>
    <xf numFmtId="0" fontId="67" fillId="0" borderId="38" xfId="0" applyFont="1" applyBorder="1" applyAlignment="1">
      <alignment horizontal="center" vertical="center" wrapText="1"/>
    </xf>
    <xf numFmtId="0" fontId="67" fillId="0" borderId="59" xfId="0" applyFont="1" applyBorder="1" applyAlignment="1">
      <alignment horizontal="center" vertical="center" wrapText="1"/>
    </xf>
    <xf numFmtId="0" fontId="67" fillId="0" borderId="8" xfId="0" applyFont="1" applyBorder="1" applyAlignment="1">
      <alignment horizontal="center" vertical="center" wrapText="1"/>
    </xf>
    <xf numFmtId="0" fontId="67" fillId="0" borderId="26" xfId="0" applyFont="1" applyBorder="1" applyAlignment="1">
      <alignment horizontal="center" vertical="center" wrapText="1"/>
    </xf>
    <xf numFmtId="0" fontId="6" fillId="0" borderId="48" xfId="0" applyFont="1" applyBorder="1" applyAlignment="1">
      <alignment horizontal="left" vertical="center" wrapText="1"/>
    </xf>
    <xf numFmtId="0" fontId="6" fillId="0" borderId="2" xfId="0" applyFont="1" applyBorder="1" applyAlignment="1">
      <alignment horizontal="left" vertical="center" wrapText="1"/>
    </xf>
    <xf numFmtId="0" fontId="6" fillId="0" borderId="23" xfId="0" applyFont="1" applyBorder="1" applyAlignment="1">
      <alignment horizontal="left" vertical="center" wrapText="1"/>
    </xf>
    <xf numFmtId="0" fontId="4" fillId="3" borderId="14"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15" xfId="0" applyFont="1" applyFill="1" applyBorder="1" applyAlignment="1">
      <alignment horizontal="left" vertical="center" wrapText="1"/>
    </xf>
    <xf numFmtId="0" fontId="6" fillId="0" borderId="14" xfId="0" applyFont="1" applyBorder="1" applyAlignment="1">
      <alignment horizontal="left" vertical="center" wrapText="1"/>
    </xf>
    <xf numFmtId="0" fontId="67" fillId="0" borderId="28" xfId="0" applyFont="1" applyBorder="1" applyAlignment="1">
      <alignment horizontal="center" vertical="center" wrapText="1"/>
    </xf>
    <xf numFmtId="0" fontId="6" fillId="0" borderId="0" xfId="0" applyFont="1" applyBorder="1" applyAlignment="1">
      <alignment horizontal="left" vertical="center" wrapText="1"/>
    </xf>
    <xf numFmtId="0" fontId="6" fillId="0" borderId="4" xfId="0" applyFont="1" applyBorder="1" applyAlignment="1">
      <alignment horizontal="left" vertical="center" wrapText="1"/>
    </xf>
    <xf numFmtId="0" fontId="67" fillId="0" borderId="32" xfId="0" applyFont="1" applyBorder="1" applyAlignment="1">
      <alignment horizontal="center" vertical="center" wrapText="1"/>
    </xf>
    <xf numFmtId="0" fontId="67" fillId="0" borderId="55" xfId="0" quotePrefix="1" applyFont="1" applyBorder="1" applyAlignment="1">
      <alignment horizontal="center" vertical="center" wrapText="1"/>
    </xf>
    <xf numFmtId="0" fontId="67" fillId="0" borderId="6" xfId="0" applyFont="1" applyBorder="1" applyAlignment="1">
      <alignment horizontal="center" vertical="center" wrapText="1"/>
    </xf>
    <xf numFmtId="0" fontId="67" fillId="0" borderId="33" xfId="0" applyFont="1" applyBorder="1" applyAlignment="1">
      <alignment horizontal="center" vertical="center" wrapText="1"/>
    </xf>
    <xf numFmtId="0" fontId="67" fillId="0" borderId="29" xfId="0" applyFont="1" applyBorder="1" applyAlignment="1">
      <alignment horizontal="center" vertical="center" wrapText="1"/>
    </xf>
    <xf numFmtId="0" fontId="67" fillId="0" borderId="65" xfId="0" applyFont="1" applyBorder="1" applyAlignment="1">
      <alignment horizontal="center" vertical="center" wrapText="1"/>
    </xf>
    <xf numFmtId="0" fontId="67" fillId="0" borderId="10" xfId="0" applyFont="1" applyBorder="1" applyAlignment="1">
      <alignment horizontal="center" vertical="center" wrapText="1"/>
    </xf>
    <xf numFmtId="0" fontId="67" fillId="0" borderId="36" xfId="0" applyFont="1" applyBorder="1" applyAlignment="1">
      <alignment horizontal="center" vertical="center" wrapText="1"/>
    </xf>
    <xf numFmtId="0" fontId="4" fillId="0" borderId="0" xfId="0" applyFont="1" applyAlignment="1">
      <alignment horizontal="center" vertical="center"/>
    </xf>
    <xf numFmtId="0" fontId="59" fillId="0" borderId="0" xfId="0" applyFont="1" applyAlignment="1">
      <alignment horizontal="left" vertical="center"/>
    </xf>
    <xf numFmtId="0" fontId="9" fillId="0" borderId="0" xfId="3" applyFont="1" applyAlignment="1">
      <alignment horizontal="right"/>
    </xf>
    <xf numFmtId="0" fontId="0" fillId="3" borderId="0" xfId="0" applyFill="1" applyBorder="1">
      <alignment vertical="center"/>
    </xf>
    <xf numFmtId="0" fontId="13" fillId="3" borderId="0" xfId="0" applyFont="1" applyFill="1" applyBorder="1" applyAlignment="1">
      <alignment horizontal="right" vertical="center"/>
    </xf>
    <xf numFmtId="0" fontId="17" fillId="3" borderId="0" xfId="0" applyFont="1" applyFill="1" applyBorder="1" applyAlignment="1">
      <alignment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0" fontId="7" fillId="0" borderId="5" xfId="0" applyFont="1" applyBorder="1" applyAlignment="1"/>
    <xf numFmtId="0" fontId="0" fillId="3" borderId="0" xfId="0" applyFont="1" applyFill="1" applyBorder="1" applyAlignment="1">
      <alignment vertical="center"/>
    </xf>
    <xf numFmtId="0" fontId="59" fillId="3" borderId="0" xfId="0" applyFont="1" applyFill="1" applyBorder="1" applyAlignment="1">
      <alignment horizontal="left" vertical="center"/>
    </xf>
    <xf numFmtId="49" fontId="15" fillId="0" borderId="3" xfId="0" applyNumberFormat="1" applyFont="1" applyBorder="1" applyAlignment="1" applyProtection="1"/>
    <xf numFmtId="0" fontId="19" fillId="0" borderId="14" xfId="3" applyFont="1" applyBorder="1" applyAlignment="1" applyProtection="1">
      <alignment horizontal="right"/>
      <protection locked="0"/>
    </xf>
    <xf numFmtId="0" fontId="15" fillId="0" borderId="5" xfId="0" applyFont="1" applyFill="1" applyBorder="1" applyAlignment="1" applyProtection="1">
      <protection locked="0"/>
    </xf>
    <xf numFmtId="0" fontId="13" fillId="0" borderId="0" xfId="0" quotePrefix="1" applyFont="1">
      <alignment vertical="center"/>
    </xf>
    <xf numFmtId="49" fontId="15" fillId="0" borderId="15" xfId="0" applyNumberFormat="1" applyFont="1" applyBorder="1" applyAlignment="1"/>
    <xf numFmtId="49" fontId="13" fillId="0" borderId="0" xfId="0" applyNumberFormat="1" applyFont="1" applyBorder="1" applyAlignment="1"/>
    <xf numFmtId="49" fontId="13" fillId="0" borderId="0" xfId="0" applyNumberFormat="1" applyFont="1" applyBorder="1" applyAlignment="1">
      <alignment horizontal="left" vertical="center"/>
    </xf>
    <xf numFmtId="49" fontId="15" fillId="0" borderId="0" xfId="0" applyNumberFormat="1" applyFont="1" applyFill="1" applyBorder="1" applyAlignment="1" applyProtection="1">
      <protection locked="0"/>
    </xf>
    <xf numFmtId="49" fontId="15" fillId="0" borderId="0" xfId="0" applyNumberFormat="1" applyFont="1" applyFill="1" applyBorder="1" applyAlignment="1"/>
    <xf numFmtId="0" fontId="13" fillId="3" borderId="0" xfId="0" applyFont="1" applyFill="1" applyBorder="1" applyAlignment="1">
      <alignment horizontal="center" vertical="center"/>
    </xf>
    <xf numFmtId="0" fontId="50" fillId="3" borderId="0" xfId="0" applyFont="1" applyFill="1" applyBorder="1" applyAlignment="1">
      <alignment vertical="center"/>
    </xf>
    <xf numFmtId="0" fontId="7" fillId="3" borderId="0" xfId="0" applyFont="1" applyFill="1" applyBorder="1" applyAlignment="1">
      <alignment horizontal="center" vertical="center"/>
    </xf>
    <xf numFmtId="0" fontId="53" fillId="3" borderId="0" xfId="0" applyFont="1" applyFill="1" applyBorder="1" applyAlignment="1">
      <alignment vertical="center"/>
    </xf>
    <xf numFmtId="0" fontId="7" fillId="0" borderId="0" xfId="0" applyFont="1">
      <alignment vertical="center"/>
    </xf>
    <xf numFmtId="0" fontId="13" fillId="3" borderId="0" xfId="0" applyFont="1" applyFill="1" applyBorder="1" applyAlignment="1">
      <alignment horizontal="left" vertical="center"/>
    </xf>
    <xf numFmtId="0" fontId="15" fillId="0" borderId="0" xfId="0" applyNumberFormat="1" applyFont="1" applyFill="1" applyBorder="1" applyAlignment="1" applyProtection="1">
      <protection locked="0"/>
    </xf>
    <xf numFmtId="0" fontId="15" fillId="0" borderId="3" xfId="0" applyFont="1" applyBorder="1" applyAlignment="1">
      <alignment horizontal="center"/>
    </xf>
    <xf numFmtId="0" fontId="15" fillId="0" borderId="5" xfId="0" applyFont="1" applyBorder="1" applyAlignment="1">
      <alignment horizontal="center"/>
    </xf>
    <xf numFmtId="0" fontId="12" fillId="0" borderId="51" xfId="0" applyFont="1" applyFill="1" applyBorder="1">
      <alignment vertical="center"/>
    </xf>
    <xf numFmtId="0" fontId="7" fillId="2" borderId="10" xfId="0" applyFont="1" applyFill="1" applyBorder="1" applyAlignment="1"/>
    <xf numFmtId="0" fontId="7" fillId="2" borderId="36" xfId="0" applyFont="1" applyFill="1" applyBorder="1" applyAlignment="1"/>
    <xf numFmtId="0" fontId="7" fillId="2" borderId="24" xfId="0" applyFont="1" applyFill="1" applyBorder="1" applyAlignment="1"/>
    <xf numFmtId="0" fontId="3" fillId="2" borderId="10" xfId="0" applyFont="1" applyFill="1" applyBorder="1" applyAlignment="1"/>
    <xf numFmtId="0" fontId="12" fillId="2" borderId="10" xfId="0" applyFont="1" applyFill="1" applyBorder="1" applyAlignment="1"/>
    <xf numFmtId="0" fontId="15" fillId="2" borderId="10" xfId="0" applyFont="1" applyFill="1" applyBorder="1" applyAlignment="1">
      <alignment horizontal="left"/>
    </xf>
    <xf numFmtId="0" fontId="15" fillId="2" borderId="10" xfId="0" applyFont="1" applyFill="1" applyBorder="1" applyAlignment="1"/>
    <xf numFmtId="0" fontId="12" fillId="2" borderId="10" xfId="0" applyFont="1" applyFill="1" applyBorder="1" applyAlignment="1">
      <alignment horizontal="left"/>
    </xf>
    <xf numFmtId="0" fontId="12" fillId="2" borderId="10" xfId="0" applyFont="1" applyFill="1" applyBorder="1" applyAlignment="1">
      <alignment vertical="center" wrapText="1"/>
    </xf>
    <xf numFmtId="38" fontId="13" fillId="0" borderId="0" xfId="0" applyNumberFormat="1" applyFont="1" applyAlignment="1">
      <alignment horizontal="center" vertical="center"/>
    </xf>
    <xf numFmtId="49" fontId="13" fillId="0" borderId="0" xfId="0" applyNumberFormat="1" applyFont="1" applyAlignment="1">
      <alignment horizontal="center" vertical="center"/>
    </xf>
    <xf numFmtId="0" fontId="15" fillId="3" borderId="8" xfId="0" applyFont="1" applyFill="1" applyBorder="1" applyAlignment="1" applyProtection="1">
      <protection locked="0"/>
    </xf>
    <xf numFmtId="0" fontId="15" fillId="3" borderId="8" xfId="0" applyFont="1" applyFill="1" applyBorder="1" applyAlignment="1"/>
    <xf numFmtId="0" fontId="15" fillId="3" borderId="8" xfId="0" applyFont="1" applyFill="1" applyBorder="1" applyAlignment="1">
      <alignment horizontal="left"/>
    </xf>
    <xf numFmtId="164" fontId="13" fillId="0" borderId="0" xfId="0" applyNumberFormat="1" applyFont="1" applyAlignment="1">
      <alignment horizontal="center" vertical="center"/>
    </xf>
    <xf numFmtId="0" fontId="70" fillId="0" borderId="0" xfId="7">
      <alignment vertical="center"/>
    </xf>
    <xf numFmtId="0" fontId="69" fillId="0" borderId="0" xfId="7" applyFont="1">
      <alignment vertical="center"/>
    </xf>
    <xf numFmtId="0" fontId="69" fillId="0" borderId="0" xfId="7" applyFont="1" applyAlignment="1">
      <alignment horizontal="right" vertical="center"/>
    </xf>
    <xf numFmtId="0" fontId="72" fillId="0" borderId="0" xfId="7" applyFont="1">
      <alignment vertical="center"/>
    </xf>
    <xf numFmtId="0" fontId="72" fillId="0" borderId="7" xfId="7" applyFont="1" applyBorder="1" applyAlignment="1">
      <alignment horizontal="center" vertical="center"/>
    </xf>
    <xf numFmtId="0" fontId="23" fillId="3" borderId="2" xfId="7" applyFont="1" applyFill="1" applyBorder="1" applyAlignment="1">
      <alignment vertical="center"/>
    </xf>
    <xf numFmtId="0" fontId="23" fillId="3" borderId="23" xfId="7" applyFont="1" applyFill="1" applyBorder="1" applyAlignment="1">
      <alignment vertical="center"/>
    </xf>
    <xf numFmtId="0" fontId="72" fillId="3" borderId="2" xfId="7" applyFont="1" applyFill="1" applyBorder="1" applyAlignment="1">
      <alignment vertical="center"/>
    </xf>
    <xf numFmtId="0" fontId="72" fillId="3" borderId="23" xfId="7" applyFont="1" applyFill="1" applyBorder="1" applyAlignment="1">
      <alignment vertical="center"/>
    </xf>
    <xf numFmtId="0" fontId="72" fillId="3" borderId="2" xfId="7" applyFont="1" applyFill="1" applyBorder="1" applyAlignment="1">
      <alignment horizontal="left" vertical="center"/>
    </xf>
    <xf numFmtId="0" fontId="72" fillId="3" borderId="23" xfId="7" applyFont="1" applyFill="1" applyBorder="1" applyAlignment="1">
      <alignment horizontal="left" vertical="center"/>
    </xf>
    <xf numFmtId="0" fontId="7" fillId="3" borderId="2" xfId="8" applyFont="1" applyFill="1" applyBorder="1" applyAlignment="1" applyProtection="1">
      <alignment vertical="center"/>
    </xf>
    <xf numFmtId="14" fontId="72" fillId="3" borderId="2" xfId="7" applyNumberFormat="1" applyFont="1" applyFill="1" applyBorder="1" applyAlignment="1">
      <alignment vertical="center"/>
    </xf>
    <xf numFmtId="49" fontId="72" fillId="3" borderId="2" xfId="7" applyNumberFormat="1" applyFont="1" applyFill="1" applyBorder="1" applyAlignment="1">
      <alignment vertical="center"/>
    </xf>
    <xf numFmtId="0" fontId="23" fillId="3" borderId="2" xfId="7" applyFont="1" applyFill="1" applyBorder="1" applyAlignment="1">
      <alignment horizontal="center" vertical="center"/>
    </xf>
    <xf numFmtId="0" fontId="72" fillId="3" borderId="2" xfId="7" applyFont="1" applyFill="1" applyBorder="1" applyAlignment="1">
      <alignment horizontal="center" vertical="center"/>
    </xf>
    <xf numFmtId="0" fontId="23" fillId="0" borderId="48" xfId="7" applyFont="1" applyBorder="1" applyAlignment="1">
      <alignment horizontal="center" vertical="center"/>
    </xf>
    <xf numFmtId="0" fontId="23" fillId="3" borderId="2" xfId="7" applyFont="1" applyFill="1" applyBorder="1" applyAlignment="1">
      <alignment horizontal="left" vertical="center"/>
    </xf>
    <xf numFmtId="0" fontId="23" fillId="3" borderId="23" xfId="7" applyFont="1" applyFill="1" applyBorder="1" applyAlignment="1">
      <alignment horizontal="left" vertical="center"/>
    </xf>
    <xf numFmtId="0" fontId="23" fillId="3" borderId="2" xfId="7" quotePrefix="1" applyFont="1" applyFill="1" applyBorder="1" applyAlignment="1">
      <alignment vertical="center"/>
    </xf>
    <xf numFmtId="0" fontId="23" fillId="3" borderId="23" xfId="7" quotePrefix="1" applyFont="1" applyFill="1" applyBorder="1" applyAlignment="1">
      <alignment vertical="center"/>
    </xf>
    <xf numFmtId="0" fontId="23" fillId="3" borderId="5" xfId="7" applyFont="1" applyFill="1" applyBorder="1" applyAlignment="1">
      <alignment horizontal="left" vertical="center"/>
    </xf>
    <xf numFmtId="0" fontId="23" fillId="3" borderId="5" xfId="7" applyFont="1" applyFill="1" applyBorder="1" applyAlignment="1">
      <alignment horizontal="center" vertical="center"/>
    </xf>
    <xf numFmtId="0" fontId="23" fillId="3" borderId="5" xfId="7" quotePrefix="1" applyFont="1" applyFill="1" applyBorder="1" applyAlignment="1">
      <alignment vertical="center"/>
    </xf>
    <xf numFmtId="0" fontId="23" fillId="3" borderId="20" xfId="7" quotePrefix="1" applyFont="1" applyFill="1" applyBorder="1" applyAlignment="1">
      <alignment vertical="center"/>
    </xf>
    <xf numFmtId="0" fontId="23" fillId="3" borderId="37" xfId="7" applyFont="1" applyFill="1" applyBorder="1" applyAlignment="1">
      <alignment vertical="center"/>
    </xf>
    <xf numFmtId="0" fontId="23" fillId="3" borderId="38" xfId="7" applyFont="1" applyFill="1" applyBorder="1" applyAlignment="1">
      <alignment vertical="center"/>
    </xf>
    <xf numFmtId="0" fontId="72" fillId="0" borderId="25" xfId="7" applyFont="1" applyBorder="1" applyAlignment="1">
      <alignment horizontal="center" vertical="center"/>
    </xf>
    <xf numFmtId="0" fontId="70" fillId="0" borderId="9" xfId="7" applyBorder="1">
      <alignment vertical="center"/>
    </xf>
    <xf numFmtId="0" fontId="70" fillId="0" borderId="0" xfId="7" applyBorder="1">
      <alignment vertical="center"/>
    </xf>
    <xf numFmtId="0" fontId="70" fillId="0" borderId="4" xfId="7" applyBorder="1">
      <alignment vertical="center"/>
    </xf>
    <xf numFmtId="0" fontId="70" fillId="0" borderId="24" xfId="7" applyBorder="1">
      <alignment vertical="center"/>
    </xf>
    <xf numFmtId="0" fontId="70" fillId="0" borderId="10" xfId="7" applyBorder="1">
      <alignment vertical="center"/>
    </xf>
    <xf numFmtId="0" fontId="70" fillId="0" borderId="36" xfId="7" applyBorder="1">
      <alignment vertical="center"/>
    </xf>
    <xf numFmtId="0" fontId="70" fillId="0" borderId="31" xfId="7" applyBorder="1" applyAlignment="1">
      <alignment vertical="center"/>
    </xf>
    <xf numFmtId="0" fontId="70" fillId="0" borderId="6" xfId="7" applyBorder="1">
      <alignment vertical="center"/>
    </xf>
    <xf numFmtId="0" fontId="70" fillId="0" borderId="33" xfId="7" applyBorder="1">
      <alignment vertical="center"/>
    </xf>
    <xf numFmtId="0" fontId="70" fillId="0" borderId="9" xfId="7" applyBorder="1" applyAlignment="1">
      <alignment horizontal="left" vertical="center"/>
    </xf>
    <xf numFmtId="0" fontId="23" fillId="0" borderId="48" xfId="0" applyFont="1" applyBorder="1" applyAlignment="1">
      <alignment horizontal="center" vertical="center"/>
    </xf>
    <xf numFmtId="0" fontId="23" fillId="3" borderId="2" xfId="0" applyFont="1" applyFill="1" applyBorder="1" applyAlignment="1">
      <alignment horizontal="left" vertical="center"/>
    </xf>
    <xf numFmtId="0" fontId="23" fillId="3" borderId="23" xfId="0" applyFont="1" applyFill="1" applyBorder="1" applyAlignment="1">
      <alignment horizontal="left" vertical="center"/>
    </xf>
    <xf numFmtId="0" fontId="23" fillId="0" borderId="48" xfId="7" applyFont="1" applyBorder="1" applyAlignment="1">
      <alignment horizontal="center" vertical="center" wrapText="1"/>
    </xf>
    <xf numFmtId="0" fontId="23" fillId="0" borderId="39" xfId="7" applyFont="1" applyBorder="1" applyAlignment="1">
      <alignment vertical="center" wrapText="1"/>
    </xf>
    <xf numFmtId="0" fontId="23" fillId="0" borderId="49" xfId="7" applyFont="1" applyBorder="1" applyAlignment="1">
      <alignment horizontal="left" vertical="center"/>
    </xf>
    <xf numFmtId="0" fontId="67" fillId="0" borderId="16" xfId="0" applyFont="1" applyBorder="1" applyAlignment="1">
      <alignment horizontal="center" vertical="center"/>
    </xf>
    <xf numFmtId="0" fontId="67" fillId="0" borderId="40" xfId="0" applyFont="1" applyBorder="1" applyAlignment="1">
      <alignment horizontal="center" vertical="center" wrapText="1"/>
    </xf>
    <xf numFmtId="0" fontId="67" fillId="0" borderId="3" xfId="0" applyFont="1" applyBorder="1" applyAlignment="1">
      <alignment horizontal="center" vertical="center"/>
    </xf>
    <xf numFmtId="0" fontId="67" fillId="0" borderId="22" xfId="0" applyFont="1" applyBorder="1" applyAlignment="1">
      <alignment horizontal="center" vertical="center"/>
    </xf>
    <xf numFmtId="0" fontId="67" fillId="0" borderId="48" xfId="0" applyFont="1" applyBorder="1" applyAlignment="1">
      <alignment horizontal="center" vertical="center"/>
    </xf>
    <xf numFmtId="0" fontId="67" fillId="0" borderId="2" xfId="0" applyFont="1" applyBorder="1" applyAlignment="1">
      <alignment horizontal="center" vertical="center"/>
    </xf>
    <xf numFmtId="0" fontId="67" fillId="0" borderId="23" xfId="0" applyFont="1" applyBorder="1" applyAlignment="1">
      <alignment horizontal="center" vertical="center"/>
    </xf>
    <xf numFmtId="0" fontId="15" fillId="3" borderId="0" xfId="0" applyFont="1" applyFill="1" applyBorder="1" applyAlignment="1">
      <alignment vertical="center"/>
    </xf>
    <xf numFmtId="0" fontId="4" fillId="0" borderId="80" xfId="0" applyFont="1" applyBorder="1" applyAlignment="1">
      <alignment horizontal="center" vertical="center" wrapText="1"/>
    </xf>
    <xf numFmtId="0" fontId="4" fillId="0" borderId="81" xfId="0" applyFont="1" applyBorder="1" applyAlignment="1">
      <alignment horizontal="center" vertical="center" wrapText="1"/>
    </xf>
    <xf numFmtId="0" fontId="4" fillId="0" borderId="82"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79" xfId="0" applyFont="1" applyBorder="1" applyAlignment="1">
      <alignment horizontal="center" vertical="center" wrapText="1"/>
    </xf>
    <xf numFmtId="0" fontId="4" fillId="0" borderId="75" xfId="0" applyFont="1" applyBorder="1" applyAlignment="1">
      <alignment horizontal="center" vertical="center" wrapText="1"/>
    </xf>
    <xf numFmtId="0" fontId="13" fillId="0" borderId="0" xfId="0" applyFont="1" applyAlignment="1">
      <alignment horizontal="center" vertical="center"/>
    </xf>
    <xf numFmtId="0" fontId="13" fillId="7" borderId="39" xfId="0" applyFont="1" applyFill="1" applyBorder="1" applyAlignment="1">
      <alignment horizontal="center" vertical="center"/>
    </xf>
    <xf numFmtId="165" fontId="13" fillId="0" borderId="0" xfId="0" applyNumberFormat="1" applyFont="1" applyAlignment="1">
      <alignment horizontal="center" vertical="center"/>
    </xf>
    <xf numFmtId="0" fontId="15" fillId="8" borderId="0" xfId="0" applyFont="1" applyFill="1" applyBorder="1" applyAlignment="1" applyProtection="1">
      <protection locked="0"/>
    </xf>
    <xf numFmtId="0" fontId="15" fillId="8" borderId="0" xfId="0" applyFont="1" applyFill="1" applyBorder="1" applyAlignment="1" applyProtection="1">
      <alignment horizontal="left"/>
      <protection locked="0"/>
    </xf>
    <xf numFmtId="0" fontId="15" fillId="8" borderId="8" xfId="0" applyFont="1" applyFill="1" applyBorder="1" applyAlignment="1" applyProtection="1">
      <protection locked="0"/>
    </xf>
    <xf numFmtId="0" fontId="15" fillId="8" borderId="5" xfId="0" applyFont="1" applyFill="1" applyBorder="1" applyAlignment="1" applyProtection="1">
      <protection locked="0"/>
    </xf>
    <xf numFmtId="49" fontId="15" fillId="8" borderId="0" xfId="0" applyNumberFormat="1" applyFont="1" applyFill="1" applyBorder="1" applyAlignment="1" applyProtection="1">
      <protection locked="0"/>
    </xf>
    <xf numFmtId="0" fontId="12" fillId="0" borderId="0" xfId="0" applyFont="1" applyFill="1" applyBorder="1" applyAlignment="1"/>
    <xf numFmtId="0" fontId="55" fillId="0" borderId="3" xfId="0" applyFont="1" applyFill="1" applyBorder="1" applyAlignment="1"/>
    <xf numFmtId="49" fontId="15" fillId="8" borderId="5" xfId="0" applyNumberFormat="1" applyFont="1" applyFill="1" applyBorder="1" applyAlignment="1" applyProtection="1">
      <protection locked="0"/>
    </xf>
    <xf numFmtId="0" fontId="6" fillId="8" borderId="0" xfId="0" applyFont="1" applyFill="1" applyBorder="1" applyAlignment="1" applyProtection="1">
      <alignment horizontal="center"/>
      <protection locked="0"/>
    </xf>
    <xf numFmtId="0" fontId="19" fillId="8" borderId="0" xfId="5" applyFont="1" applyFill="1" applyBorder="1" applyAlignment="1" applyProtection="1">
      <alignment horizontal="center" vertical="center"/>
    </xf>
    <xf numFmtId="38" fontId="0" fillId="8" borderId="39" xfId="2" applyFont="1" applyFill="1" applyBorder="1">
      <alignment vertical="center"/>
    </xf>
    <xf numFmtId="0" fontId="41" fillId="0" borderId="0" xfId="6" applyFont="1" applyBorder="1" applyAlignment="1">
      <alignment horizontal="center" vertical="center"/>
    </xf>
    <xf numFmtId="0" fontId="19" fillId="9" borderId="0" xfId="6" applyFont="1" applyFill="1" applyBorder="1" applyAlignment="1" applyProtection="1">
      <alignment horizontal="center" vertical="center"/>
      <protection locked="0"/>
    </xf>
    <xf numFmtId="0" fontId="0" fillId="8" borderId="0" xfId="0" applyFill="1">
      <alignment vertical="center"/>
    </xf>
    <xf numFmtId="0" fontId="63" fillId="4" borderId="0" xfId="0" applyFont="1" applyFill="1">
      <alignment vertical="center"/>
    </xf>
    <xf numFmtId="0" fontId="0" fillId="4" borderId="0" xfId="0" applyFill="1">
      <alignment vertical="center"/>
    </xf>
    <xf numFmtId="0" fontId="0" fillId="4" borderId="39" xfId="0" applyFill="1" applyBorder="1">
      <alignment vertical="center"/>
    </xf>
    <xf numFmtId="0" fontId="15" fillId="3" borderId="0" xfId="0" applyFont="1" applyFill="1" applyBorder="1" applyAlignment="1"/>
    <xf numFmtId="0" fontId="8" fillId="0" borderId="0" xfId="1" applyAlignment="1" applyProtection="1">
      <alignment vertical="center"/>
    </xf>
    <xf numFmtId="0" fontId="0" fillId="8" borderId="0" xfId="0" applyFill="1" applyAlignment="1">
      <alignment horizontal="center" vertical="center"/>
    </xf>
    <xf numFmtId="0" fontId="15" fillId="0" borderId="39" xfId="0" applyFont="1" applyBorder="1" applyAlignment="1">
      <alignment horizontal="left" vertical="center"/>
    </xf>
    <xf numFmtId="0" fontId="0" fillId="0" borderId="0" xfId="0" applyAlignment="1">
      <alignment horizontal="center" vertical="center"/>
    </xf>
    <xf numFmtId="0" fontId="65" fillId="0" borderId="39" xfId="0" applyFont="1" applyFill="1" applyBorder="1" applyAlignment="1">
      <alignment horizontal="center" vertical="center"/>
    </xf>
    <xf numFmtId="0" fontId="4" fillId="0" borderId="79" xfId="0" applyFont="1" applyBorder="1" applyAlignment="1">
      <alignment horizontal="center" vertical="center"/>
    </xf>
    <xf numFmtId="0" fontId="4" fillId="0" borderId="75" xfId="0" applyFont="1" applyBorder="1" applyAlignment="1">
      <alignment horizontal="center" vertical="center"/>
    </xf>
    <xf numFmtId="0" fontId="4" fillId="0" borderId="32" xfId="0" applyFont="1" applyBorder="1" applyAlignment="1">
      <alignment horizontal="center" vertical="center" wrapText="1"/>
    </xf>
    <xf numFmtId="0" fontId="4" fillId="0" borderId="6" xfId="0" applyFont="1" applyBorder="1" applyAlignment="1">
      <alignment horizontal="center" vertical="center" wrapText="1"/>
    </xf>
    <xf numFmtId="0" fontId="4" fillId="0" borderId="51"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55" xfId="0" applyFont="1" applyBorder="1" applyAlignment="1">
      <alignment horizontal="center" vertical="center" wrapText="1"/>
    </xf>
    <xf numFmtId="0" fontId="4" fillId="0" borderId="28" xfId="0" applyFont="1" applyBorder="1" applyAlignment="1">
      <alignment horizontal="center" vertical="center" wrapText="1"/>
    </xf>
    <xf numFmtId="0" fontId="67" fillId="0" borderId="39" xfId="0" applyFont="1" applyFill="1" applyBorder="1" applyAlignment="1">
      <alignment horizontal="center" vertical="center"/>
    </xf>
    <xf numFmtId="0" fontId="4" fillId="0" borderId="33" xfId="0" applyFont="1" applyBorder="1" applyAlignment="1">
      <alignment horizontal="center" vertical="center" wrapText="1"/>
    </xf>
    <xf numFmtId="0" fontId="4" fillId="0" borderId="4" xfId="0" applyFont="1" applyBorder="1" applyAlignment="1">
      <alignment horizontal="center" vertical="center" wrapText="1"/>
    </xf>
    <xf numFmtId="0" fontId="65" fillId="0" borderId="39" xfId="0" applyFont="1" applyFill="1" applyBorder="1" applyAlignment="1">
      <alignment horizontal="center" vertical="center" wrapText="1"/>
    </xf>
    <xf numFmtId="0" fontId="67" fillId="0" borderId="39" xfId="0" applyFont="1" applyFill="1" applyBorder="1" applyAlignment="1">
      <alignment horizontal="center" vertical="center" wrapText="1"/>
    </xf>
    <xf numFmtId="164" fontId="67" fillId="0" borderId="39" xfId="0" applyNumberFormat="1" applyFont="1" applyFill="1" applyBorder="1" applyAlignment="1">
      <alignment horizontal="center" vertical="center" wrapText="1"/>
    </xf>
    <xf numFmtId="0" fontId="4" fillId="3" borderId="59" xfId="0" applyFont="1" applyFill="1" applyBorder="1" applyAlignment="1">
      <alignment horizontal="left" vertical="center" wrapText="1"/>
    </xf>
    <xf numFmtId="0" fontId="4" fillId="3" borderId="8" xfId="0" applyFont="1" applyFill="1" applyBorder="1" applyAlignment="1">
      <alignment horizontal="left" vertical="center" wrapText="1"/>
    </xf>
    <xf numFmtId="0" fontId="4" fillId="3" borderId="60" xfId="0" applyFont="1" applyFill="1" applyBorder="1" applyAlignment="1">
      <alignment horizontal="left" vertical="center" wrapText="1"/>
    </xf>
    <xf numFmtId="0" fontId="4" fillId="3" borderId="48" xfId="0" applyFont="1" applyFill="1" applyBorder="1" applyAlignment="1">
      <alignment horizontal="left" vertical="center" wrapText="1"/>
    </xf>
    <xf numFmtId="0" fontId="4" fillId="3" borderId="2" xfId="0" applyFont="1" applyFill="1" applyBorder="1" applyAlignment="1">
      <alignment horizontal="left" vertical="center" wrapText="1"/>
    </xf>
    <xf numFmtId="0" fontId="4" fillId="3" borderId="49" xfId="0" applyFont="1" applyFill="1" applyBorder="1" applyAlignment="1">
      <alignment horizontal="left" vertical="center" wrapText="1"/>
    </xf>
    <xf numFmtId="0" fontId="4" fillId="3" borderId="29" xfId="0" applyFont="1" applyFill="1" applyBorder="1" applyAlignment="1">
      <alignment horizontal="left" vertical="center" wrapText="1"/>
    </xf>
    <xf numFmtId="0" fontId="4" fillId="3" borderId="10" xfId="0" applyFont="1" applyFill="1" applyBorder="1" applyAlignment="1">
      <alignment horizontal="left" vertical="center" wrapText="1"/>
    </xf>
    <xf numFmtId="0" fontId="4" fillId="3" borderId="34" xfId="0" applyFont="1" applyFill="1" applyBorder="1" applyAlignment="1">
      <alignment horizontal="left" vertical="center" wrapText="1"/>
    </xf>
    <xf numFmtId="0" fontId="4" fillId="3" borderId="59" xfId="0" applyFont="1" applyFill="1" applyBorder="1" applyAlignment="1">
      <alignment vertical="center" wrapText="1"/>
    </xf>
    <xf numFmtId="0" fontId="4" fillId="3" borderId="8" xfId="0" applyFont="1" applyFill="1" applyBorder="1" applyAlignment="1">
      <alignment vertical="center" wrapText="1"/>
    </xf>
    <xf numFmtId="0" fontId="4" fillId="3" borderId="60" xfId="0" applyFont="1" applyFill="1" applyBorder="1" applyAlignment="1">
      <alignment vertical="center" wrapText="1"/>
    </xf>
    <xf numFmtId="0" fontId="4" fillId="3" borderId="48" xfId="0" applyFont="1" applyFill="1" applyBorder="1" applyAlignment="1">
      <alignment vertical="center" wrapText="1"/>
    </xf>
    <xf numFmtId="0" fontId="4" fillId="3" borderId="2" xfId="0" applyFont="1" applyFill="1" applyBorder="1" applyAlignment="1">
      <alignment vertical="center" wrapText="1"/>
    </xf>
    <xf numFmtId="0" fontId="4" fillId="3" borderId="49" xfId="0" applyFont="1" applyFill="1" applyBorder="1" applyAlignment="1">
      <alignment vertical="center" wrapText="1"/>
    </xf>
    <xf numFmtId="0" fontId="4" fillId="3" borderId="16"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17" xfId="0" applyFont="1" applyFill="1" applyBorder="1" applyAlignment="1">
      <alignment horizontal="left" vertical="center" wrapText="1"/>
    </xf>
    <xf numFmtId="0" fontId="16" fillId="0" borderId="18" xfId="3" applyFont="1" applyBorder="1" applyAlignment="1">
      <alignment horizontal="center" vertical="center" wrapText="1"/>
    </xf>
    <xf numFmtId="0" fontId="16" fillId="0" borderId="5" xfId="3" applyFont="1" applyBorder="1" applyAlignment="1">
      <alignment horizontal="center" vertical="center" wrapText="1"/>
    </xf>
    <xf numFmtId="0" fontId="16" fillId="0" borderId="16" xfId="3" applyFont="1" applyBorder="1" applyAlignment="1">
      <alignment horizontal="center" vertical="center" wrapText="1"/>
    </xf>
    <xf numFmtId="0" fontId="16" fillId="0" borderId="3" xfId="3" applyFont="1" applyBorder="1" applyAlignment="1">
      <alignment horizontal="center" vertical="center" wrapText="1"/>
    </xf>
    <xf numFmtId="0" fontId="16" fillId="3" borderId="39" xfId="3" applyFont="1" applyFill="1" applyBorder="1" applyAlignment="1">
      <alignment horizontal="center"/>
    </xf>
    <xf numFmtId="0" fontId="16" fillId="0" borderId="39" xfId="3" applyFont="1" applyBorder="1" applyAlignment="1">
      <alignment horizontal="center" vertical="center" wrapText="1"/>
    </xf>
    <xf numFmtId="0" fontId="16" fillId="0" borderId="39" xfId="3" applyFont="1" applyBorder="1" applyAlignment="1">
      <alignment horizontal="center" vertical="center"/>
    </xf>
    <xf numFmtId="0" fontId="10" fillId="0" borderId="5" xfId="3" applyFont="1" applyBorder="1" applyAlignment="1">
      <alignment horizontal="center" vertical="center" wrapText="1" shrinkToFit="1"/>
    </xf>
    <xf numFmtId="0" fontId="10" fillId="0" borderId="30" xfId="3" applyFont="1" applyBorder="1" applyAlignment="1">
      <alignment horizontal="center" vertical="center" wrapText="1" shrinkToFit="1"/>
    </xf>
    <xf numFmtId="0" fontId="10" fillId="0" borderId="3" xfId="3" applyFont="1" applyBorder="1" applyAlignment="1">
      <alignment horizontal="center" vertical="center" wrapText="1" shrinkToFit="1"/>
    </xf>
    <xf numFmtId="0" fontId="10" fillId="0" borderId="17" xfId="3" applyFont="1" applyBorder="1" applyAlignment="1">
      <alignment horizontal="center" vertical="center" wrapText="1" shrinkToFit="1"/>
    </xf>
    <xf numFmtId="49" fontId="10" fillId="0" borderId="18" xfId="3" applyNumberFormat="1" applyFont="1" applyBorder="1" applyAlignment="1">
      <alignment horizontal="center" vertical="center"/>
    </xf>
    <xf numFmtId="49" fontId="10" fillId="0" borderId="5" xfId="3" applyNumberFormat="1" applyFont="1" applyBorder="1" applyAlignment="1">
      <alignment horizontal="center" vertical="center"/>
    </xf>
    <xf numFmtId="49" fontId="10" fillId="0" borderId="30" xfId="3" applyNumberFormat="1" applyFont="1" applyBorder="1" applyAlignment="1">
      <alignment horizontal="center" vertical="center"/>
    </xf>
    <xf numFmtId="49" fontId="10" fillId="0" borderId="16" xfId="3" applyNumberFormat="1" applyFont="1" applyBorder="1" applyAlignment="1">
      <alignment horizontal="center" vertical="center"/>
    </xf>
    <xf numFmtId="49" fontId="10" fillId="0" borderId="3" xfId="3" applyNumberFormat="1" applyFont="1" applyBorder="1" applyAlignment="1">
      <alignment horizontal="center" vertical="center"/>
    </xf>
    <xf numFmtId="49" fontId="10" fillId="0" borderId="17" xfId="3" applyNumberFormat="1" applyFont="1" applyBorder="1" applyAlignment="1">
      <alignment horizontal="center" vertical="center"/>
    </xf>
    <xf numFmtId="0" fontId="16" fillId="0" borderId="41" xfId="3" applyFont="1" applyBorder="1" applyAlignment="1">
      <alignment horizontal="center" vertical="center" wrapText="1"/>
    </xf>
    <xf numFmtId="0" fontId="16" fillId="0" borderId="40" xfId="3" applyFont="1" applyBorder="1" applyAlignment="1">
      <alignment horizontal="center" vertical="center"/>
    </xf>
    <xf numFmtId="0" fontId="10" fillId="0" borderId="18" xfId="3" applyFont="1" applyBorder="1" applyAlignment="1">
      <alignment horizontal="left" vertical="center"/>
    </xf>
    <xf numFmtId="0" fontId="10" fillId="0" borderId="5" xfId="3" applyFont="1" applyBorder="1" applyAlignment="1">
      <alignment horizontal="left" vertical="center"/>
    </xf>
    <xf numFmtId="0" fontId="10" fillId="0" borderId="30" xfId="3" applyFont="1" applyBorder="1" applyAlignment="1">
      <alignment horizontal="left" vertical="center"/>
    </xf>
    <xf numFmtId="0" fontId="10" fillId="0" borderId="16" xfId="3" applyFont="1" applyBorder="1" applyAlignment="1">
      <alignment horizontal="left" vertical="center"/>
    </xf>
    <xf numFmtId="0" fontId="10" fillId="0" borderId="3" xfId="3" applyFont="1" applyBorder="1" applyAlignment="1">
      <alignment horizontal="left" vertical="center"/>
    </xf>
    <xf numFmtId="0" fontId="10" fillId="0" borderId="17" xfId="3" applyFont="1" applyBorder="1" applyAlignment="1">
      <alignment horizontal="left" vertical="center"/>
    </xf>
    <xf numFmtId="0" fontId="10" fillId="0" borderId="39" xfId="3" applyFont="1" applyBorder="1" applyAlignment="1">
      <alignment horizontal="center" vertical="center" wrapText="1"/>
    </xf>
    <xf numFmtId="0" fontId="16" fillId="0" borderId="30" xfId="3" applyFont="1" applyBorder="1" applyAlignment="1">
      <alignment horizontal="center" vertical="center"/>
    </xf>
    <xf numFmtId="0" fontId="16" fillId="0" borderId="16" xfId="3" applyFont="1" applyBorder="1" applyAlignment="1">
      <alignment horizontal="center" vertical="center"/>
    </xf>
    <xf numFmtId="0" fontId="16" fillId="0" borderId="17" xfId="3" applyFont="1" applyBorder="1" applyAlignment="1">
      <alignment horizontal="center" vertical="center"/>
    </xf>
    <xf numFmtId="0" fontId="10" fillId="0" borderId="5" xfId="3" applyFont="1" applyBorder="1" applyAlignment="1">
      <alignment horizontal="center" vertical="center" wrapText="1"/>
    </xf>
    <xf numFmtId="0" fontId="10" fillId="0" borderId="30" xfId="3" applyFont="1" applyBorder="1" applyAlignment="1">
      <alignment horizontal="center" vertical="center" wrapText="1"/>
    </xf>
    <xf numFmtId="0" fontId="10" fillId="0" borderId="3" xfId="3" applyFont="1" applyBorder="1" applyAlignment="1">
      <alignment horizontal="center" vertical="center" wrapText="1"/>
    </xf>
    <xf numFmtId="0" fontId="10" fillId="0" borderId="17" xfId="3" applyFont="1" applyBorder="1" applyAlignment="1">
      <alignment horizontal="center" vertical="center" wrapText="1"/>
    </xf>
    <xf numFmtId="0" fontId="10" fillId="0" borderId="39" xfId="3" applyFont="1" applyBorder="1" applyAlignment="1">
      <alignment horizontal="center" vertical="center" wrapText="1" shrinkToFit="1"/>
    </xf>
    <xf numFmtId="0" fontId="10" fillId="0" borderId="18" xfId="3" applyFont="1" applyBorder="1" applyAlignment="1">
      <alignment horizontal="left" vertical="center" shrinkToFit="1"/>
    </xf>
    <xf numFmtId="0" fontId="10" fillId="0" borderId="5" xfId="3" applyFont="1" applyBorder="1" applyAlignment="1">
      <alignment horizontal="left" vertical="center" shrinkToFit="1"/>
    </xf>
    <xf numFmtId="0" fontId="10" fillId="0" borderId="30" xfId="3" applyFont="1" applyBorder="1" applyAlignment="1">
      <alignment horizontal="left" vertical="center" shrinkToFit="1"/>
    </xf>
    <xf numFmtId="0" fontId="10" fillId="0" borderId="16" xfId="3" applyFont="1" applyBorder="1" applyAlignment="1">
      <alignment horizontal="left" vertical="center" shrinkToFit="1"/>
    </xf>
    <xf numFmtId="0" fontId="10" fillId="0" borderId="3" xfId="3" applyFont="1" applyBorder="1" applyAlignment="1">
      <alignment horizontal="left" vertical="center" shrinkToFit="1"/>
    </xf>
    <xf numFmtId="0" fontId="10" fillId="0" borderId="17" xfId="3" applyFont="1" applyBorder="1" applyAlignment="1">
      <alignment horizontal="left" vertical="center" shrinkToFit="1"/>
    </xf>
    <xf numFmtId="49" fontId="10" fillId="0" borderId="18" xfId="3" applyNumberFormat="1" applyFont="1" applyBorder="1" applyAlignment="1">
      <alignment horizontal="center" vertical="center" shrinkToFit="1"/>
    </xf>
    <xf numFmtId="49" fontId="10" fillId="0" borderId="5" xfId="3" applyNumberFormat="1" applyFont="1" applyBorder="1" applyAlignment="1">
      <alignment horizontal="center" vertical="center" shrinkToFit="1"/>
    </xf>
    <xf numFmtId="49" fontId="10" fillId="0" borderId="30" xfId="3" applyNumberFormat="1" applyFont="1" applyBorder="1" applyAlignment="1">
      <alignment horizontal="center" vertical="center" shrinkToFit="1"/>
    </xf>
    <xf numFmtId="49" fontId="10" fillId="0" borderId="16" xfId="3" applyNumberFormat="1" applyFont="1" applyBorder="1" applyAlignment="1">
      <alignment horizontal="center" vertical="center" shrinkToFit="1"/>
    </xf>
    <xf numFmtId="49" fontId="10" fillId="0" borderId="3" xfId="3" applyNumberFormat="1" applyFont="1" applyBorder="1" applyAlignment="1">
      <alignment horizontal="center" vertical="center" shrinkToFit="1"/>
    </xf>
    <xf numFmtId="49" fontId="10" fillId="0" borderId="17" xfId="3" applyNumberFormat="1" applyFont="1" applyBorder="1" applyAlignment="1">
      <alignment horizontal="center" vertical="center" shrinkToFit="1"/>
    </xf>
    <xf numFmtId="0" fontId="16" fillId="3" borderId="39" xfId="3" applyFont="1" applyFill="1" applyBorder="1" applyAlignment="1">
      <alignment horizontal="center" shrinkToFit="1"/>
    </xf>
    <xf numFmtId="0" fontId="16" fillId="0" borderId="0" xfId="3" applyFont="1" applyAlignment="1">
      <alignment vertical="center" wrapText="1"/>
    </xf>
    <xf numFmtId="0" fontId="19" fillId="0" borderId="0" xfId="3" applyFont="1" applyAlignment="1">
      <alignment horizontal="center"/>
    </xf>
    <xf numFmtId="3" fontId="19" fillId="0" borderId="3" xfId="3" applyNumberFormat="1" applyFont="1" applyBorder="1" applyAlignment="1">
      <alignment horizontal="center"/>
    </xf>
    <xf numFmtId="38" fontId="19" fillId="8" borderId="2" xfId="2" applyFont="1" applyFill="1" applyBorder="1" applyAlignment="1" applyProtection="1">
      <alignment horizontal="center"/>
      <protection locked="0"/>
    </xf>
    <xf numFmtId="0" fontId="9" fillId="0" borderId="18" xfId="3" applyFont="1" applyBorder="1" applyAlignment="1" applyProtection="1">
      <alignment horizontal="center"/>
      <protection locked="0"/>
    </xf>
    <xf numFmtId="0" fontId="9" fillId="0" borderId="5" xfId="3" applyFont="1" applyBorder="1" applyAlignment="1" applyProtection="1">
      <alignment horizontal="center"/>
      <protection locked="0"/>
    </xf>
    <xf numFmtId="0" fontId="19" fillId="0" borderId="5" xfId="3" applyFont="1" applyBorder="1" applyAlignment="1" applyProtection="1">
      <alignment horizontal="center"/>
      <protection locked="0"/>
    </xf>
    <xf numFmtId="0" fontId="19" fillId="0" borderId="0" xfId="3" applyFont="1" applyBorder="1" applyAlignment="1" applyProtection="1">
      <alignment horizontal="center"/>
      <protection locked="0"/>
    </xf>
    <xf numFmtId="0" fontId="10" fillId="0" borderId="0" xfId="3" applyFont="1" applyAlignment="1">
      <alignment horizontal="left"/>
    </xf>
    <xf numFmtId="0" fontId="26" fillId="0" borderId="0" xfId="3" applyFont="1" applyAlignment="1">
      <alignment horizontal="center" vertical="center"/>
    </xf>
    <xf numFmtId="0" fontId="16" fillId="0" borderId="0" xfId="3" applyFont="1" applyAlignment="1">
      <alignment horizontal="center" vertical="center"/>
    </xf>
    <xf numFmtId="0" fontId="16" fillId="0" borderId="3" xfId="3" applyFont="1" applyBorder="1" applyAlignment="1">
      <alignment horizontal="center" vertical="center"/>
    </xf>
    <xf numFmtId="0" fontId="16" fillId="0" borderId="0" xfId="3" applyFont="1" applyBorder="1" applyAlignment="1">
      <alignment horizontal="center" vertical="center" wrapText="1"/>
    </xf>
    <xf numFmtId="49" fontId="19" fillId="0" borderId="0" xfId="3" applyNumberFormat="1" applyFont="1" applyBorder="1" applyAlignment="1">
      <alignment horizontal="center" vertical="center"/>
    </xf>
    <xf numFmtId="0" fontId="19" fillId="0" borderId="0" xfId="3" applyFont="1" applyBorder="1" applyAlignment="1">
      <alignment horizontal="center" vertical="center"/>
    </xf>
    <xf numFmtId="0" fontId="19" fillId="0" borderId="0" xfId="3" applyFont="1" applyAlignment="1">
      <alignment horizontal="center" vertical="center"/>
    </xf>
    <xf numFmtId="49" fontId="19" fillId="0" borderId="0" xfId="3" applyNumberFormat="1" applyFont="1" applyAlignment="1">
      <alignment horizontal="center" vertical="center"/>
    </xf>
    <xf numFmtId="0" fontId="10" fillId="0" borderId="0" xfId="3" applyFont="1" applyAlignment="1">
      <alignment vertical="center" wrapText="1"/>
    </xf>
    <xf numFmtId="0" fontId="16" fillId="0" borderId="0" xfId="3" applyFont="1" applyAlignment="1">
      <alignment horizontal="left" vertical="center" wrapText="1"/>
    </xf>
    <xf numFmtId="0" fontId="80" fillId="8" borderId="18" xfId="3" applyNumberFormat="1" applyFont="1" applyFill="1" applyBorder="1" applyAlignment="1" applyProtection="1">
      <alignment horizontal="left" vertical="center" wrapText="1"/>
      <protection locked="0"/>
    </xf>
    <xf numFmtId="0" fontId="80" fillId="8" borderId="5" xfId="3" applyNumberFormat="1" applyFont="1" applyFill="1" applyBorder="1" applyAlignment="1" applyProtection="1">
      <alignment horizontal="left" vertical="center" wrapText="1"/>
      <protection locked="0"/>
    </xf>
    <xf numFmtId="0" fontId="80" fillId="8" borderId="30" xfId="3" applyNumberFormat="1" applyFont="1" applyFill="1" applyBorder="1" applyAlignment="1" applyProtection="1">
      <alignment horizontal="left" vertical="center" wrapText="1"/>
      <protection locked="0"/>
    </xf>
    <xf numFmtId="0" fontId="80" fillId="8" borderId="14" xfId="3" applyNumberFormat="1" applyFont="1" applyFill="1" applyBorder="1" applyAlignment="1" applyProtection="1">
      <alignment horizontal="left" vertical="center" wrapText="1"/>
      <protection locked="0"/>
    </xf>
    <xf numFmtId="0" fontId="80" fillId="8" borderId="0" xfId="3" applyNumberFormat="1" applyFont="1" applyFill="1" applyBorder="1" applyAlignment="1" applyProtection="1">
      <alignment horizontal="left" vertical="center" wrapText="1"/>
      <protection locked="0"/>
    </xf>
    <xf numFmtId="0" fontId="80" fillId="8" borderId="15" xfId="3" applyNumberFormat="1" applyFont="1" applyFill="1" applyBorder="1" applyAlignment="1" applyProtection="1">
      <alignment horizontal="left" vertical="center" wrapText="1"/>
      <protection locked="0"/>
    </xf>
    <xf numFmtId="0" fontId="80" fillId="8" borderId="16" xfId="3" applyNumberFormat="1" applyFont="1" applyFill="1" applyBorder="1" applyAlignment="1" applyProtection="1">
      <alignment horizontal="left" vertical="center" wrapText="1"/>
      <protection locked="0"/>
    </xf>
    <xf numFmtId="0" fontId="80" fillId="8" borderId="3" xfId="3" applyNumberFormat="1" applyFont="1" applyFill="1" applyBorder="1" applyAlignment="1" applyProtection="1">
      <alignment horizontal="left" vertical="center" wrapText="1"/>
      <protection locked="0"/>
    </xf>
    <xf numFmtId="0" fontId="80" fillId="8" borderId="17" xfId="3" applyNumberFormat="1" applyFont="1" applyFill="1" applyBorder="1" applyAlignment="1" applyProtection="1">
      <alignment horizontal="left" vertical="center" wrapText="1"/>
      <protection locked="0"/>
    </xf>
    <xf numFmtId="0" fontId="77" fillId="8" borderId="18" xfId="0" applyNumberFormat="1" applyFont="1" applyFill="1" applyBorder="1" applyAlignment="1" applyProtection="1">
      <alignment horizontal="left" vertical="center" wrapText="1"/>
      <protection locked="0"/>
    </xf>
    <xf numFmtId="0" fontId="77" fillId="8" borderId="5" xfId="0" applyNumberFormat="1" applyFont="1" applyFill="1" applyBorder="1" applyAlignment="1" applyProtection="1">
      <alignment horizontal="left" vertical="center" wrapText="1"/>
      <protection locked="0"/>
    </xf>
    <xf numFmtId="0" fontId="77" fillId="8" borderId="30" xfId="0" applyNumberFormat="1" applyFont="1" applyFill="1" applyBorder="1" applyAlignment="1" applyProtection="1">
      <alignment horizontal="left" vertical="center" wrapText="1"/>
      <protection locked="0"/>
    </xf>
    <xf numFmtId="0" fontId="77" fillId="8" borderId="14" xfId="0" applyNumberFormat="1" applyFont="1" applyFill="1" applyBorder="1" applyAlignment="1" applyProtection="1">
      <alignment horizontal="left" vertical="center" wrapText="1"/>
      <protection locked="0"/>
    </xf>
    <xf numFmtId="0" fontId="77" fillId="8" borderId="0" xfId="0" applyNumberFormat="1" applyFont="1" applyFill="1" applyBorder="1" applyAlignment="1" applyProtection="1">
      <alignment horizontal="left" vertical="center" wrapText="1"/>
      <protection locked="0"/>
    </xf>
    <xf numFmtId="0" fontId="77" fillId="8" borderId="15" xfId="0" applyNumberFormat="1" applyFont="1" applyFill="1" applyBorder="1" applyAlignment="1" applyProtection="1">
      <alignment horizontal="left" vertical="center" wrapText="1"/>
      <protection locked="0"/>
    </xf>
    <xf numFmtId="0" fontId="77" fillId="8" borderId="16" xfId="0" applyNumberFormat="1" applyFont="1" applyFill="1" applyBorder="1" applyAlignment="1" applyProtection="1">
      <alignment horizontal="left" vertical="center" wrapText="1"/>
      <protection locked="0"/>
    </xf>
    <xf numFmtId="0" fontId="77" fillId="8" borderId="3" xfId="0" applyNumberFormat="1" applyFont="1" applyFill="1" applyBorder="1" applyAlignment="1" applyProtection="1">
      <alignment horizontal="left" vertical="center" wrapText="1"/>
      <protection locked="0"/>
    </xf>
    <xf numFmtId="0" fontId="77" fillId="8" borderId="17" xfId="0" applyNumberFormat="1" applyFont="1" applyFill="1" applyBorder="1" applyAlignment="1" applyProtection="1">
      <alignment horizontal="left" vertical="center" wrapText="1"/>
      <protection locked="0"/>
    </xf>
    <xf numFmtId="0" fontId="81" fillId="8" borderId="18" xfId="0" applyNumberFormat="1" applyFont="1" applyFill="1" applyBorder="1" applyAlignment="1" applyProtection="1">
      <alignment horizontal="left" vertical="center" wrapText="1"/>
      <protection locked="0"/>
    </xf>
    <xf numFmtId="0" fontId="81" fillId="8" borderId="5" xfId="0" applyNumberFormat="1" applyFont="1" applyFill="1" applyBorder="1" applyAlignment="1" applyProtection="1">
      <alignment horizontal="left" vertical="center" wrapText="1"/>
      <protection locked="0"/>
    </xf>
    <xf numFmtId="0" fontId="81" fillId="8" borderId="30" xfId="0" applyNumberFormat="1" applyFont="1" applyFill="1" applyBorder="1" applyAlignment="1" applyProtection="1">
      <alignment horizontal="left" vertical="center" wrapText="1"/>
      <protection locked="0"/>
    </xf>
    <xf numFmtId="0" fontId="81" fillId="8" borderId="14" xfId="0" applyNumberFormat="1" applyFont="1" applyFill="1" applyBorder="1" applyAlignment="1" applyProtection="1">
      <alignment horizontal="left" vertical="center" wrapText="1"/>
      <protection locked="0"/>
    </xf>
    <xf numFmtId="0" fontId="81" fillId="8" borderId="0" xfId="0" applyNumberFormat="1" applyFont="1" applyFill="1" applyBorder="1" applyAlignment="1" applyProtection="1">
      <alignment horizontal="left" vertical="center" wrapText="1"/>
      <protection locked="0"/>
    </xf>
    <xf numFmtId="0" fontId="81" fillId="8" borderId="15" xfId="0" applyNumberFormat="1" applyFont="1" applyFill="1" applyBorder="1" applyAlignment="1" applyProtection="1">
      <alignment horizontal="left" vertical="center" wrapText="1"/>
      <protection locked="0"/>
    </xf>
    <xf numFmtId="0" fontId="81" fillId="8" borderId="16" xfId="0" applyNumberFormat="1" applyFont="1" applyFill="1" applyBorder="1" applyAlignment="1" applyProtection="1">
      <alignment horizontal="left" vertical="center" wrapText="1"/>
      <protection locked="0"/>
    </xf>
    <xf numFmtId="0" fontId="81" fillId="8" borderId="3" xfId="0" applyNumberFormat="1" applyFont="1" applyFill="1" applyBorder="1" applyAlignment="1" applyProtection="1">
      <alignment horizontal="left" vertical="center" wrapText="1"/>
      <protection locked="0"/>
    </xf>
    <xf numFmtId="0" fontId="81" fillId="8" borderId="17" xfId="0" applyNumberFormat="1" applyFont="1" applyFill="1" applyBorder="1" applyAlignment="1" applyProtection="1">
      <alignment horizontal="left" vertical="center" wrapText="1"/>
      <protection locked="0"/>
    </xf>
    <xf numFmtId="49" fontId="15" fillId="8" borderId="18" xfId="0" applyNumberFormat="1" applyFont="1" applyFill="1" applyBorder="1" applyAlignment="1" applyProtection="1">
      <alignment horizontal="left" vertical="center" wrapText="1"/>
      <protection locked="0"/>
    </xf>
    <xf numFmtId="49" fontId="15" fillId="8" borderId="5" xfId="0" applyNumberFormat="1" applyFont="1" applyFill="1" applyBorder="1" applyAlignment="1" applyProtection="1">
      <alignment horizontal="left" vertical="center" wrapText="1"/>
      <protection locked="0"/>
    </xf>
    <xf numFmtId="49" fontId="15" fillId="8" borderId="20" xfId="0" applyNumberFormat="1" applyFont="1" applyFill="1" applyBorder="1" applyAlignment="1" applyProtection="1">
      <alignment horizontal="left" vertical="center" wrapText="1"/>
      <protection locked="0"/>
    </xf>
    <xf numFmtId="49" fontId="15" fillId="8" borderId="29" xfId="0" applyNumberFormat="1" applyFont="1" applyFill="1" applyBorder="1" applyAlignment="1" applyProtection="1">
      <alignment horizontal="left" vertical="center" wrapText="1"/>
      <protection locked="0"/>
    </xf>
    <xf numFmtId="49" fontId="15" fillId="8" borderId="10" xfId="0" applyNumberFormat="1" applyFont="1" applyFill="1" applyBorder="1" applyAlignment="1" applyProtection="1">
      <alignment horizontal="left" vertical="center" wrapText="1"/>
      <protection locked="0"/>
    </xf>
    <xf numFmtId="49" fontId="15" fillId="8" borderId="36" xfId="0" applyNumberFormat="1" applyFont="1" applyFill="1" applyBorder="1" applyAlignment="1" applyProtection="1">
      <alignment horizontal="left" vertical="center" wrapText="1"/>
      <protection locked="0"/>
    </xf>
    <xf numFmtId="49" fontId="15" fillId="8" borderId="18" xfId="0" applyNumberFormat="1" applyFont="1" applyFill="1" applyBorder="1" applyAlignment="1" applyProtection="1">
      <alignment horizontal="center" vertical="center" wrapText="1"/>
      <protection locked="0"/>
    </xf>
    <xf numFmtId="49" fontId="15" fillId="8" borderId="5" xfId="0" applyNumberFormat="1" applyFont="1" applyFill="1" applyBorder="1" applyAlignment="1" applyProtection="1">
      <alignment horizontal="center" vertical="center" wrapText="1"/>
      <protection locked="0"/>
    </xf>
    <xf numFmtId="49" fontId="15" fillId="8" borderId="30" xfId="0" applyNumberFormat="1" applyFont="1" applyFill="1" applyBorder="1" applyAlignment="1" applyProtection="1">
      <alignment horizontal="center" vertical="center" wrapText="1"/>
      <protection locked="0"/>
    </xf>
    <xf numFmtId="49" fontId="15" fillId="8" borderId="29" xfId="0" applyNumberFormat="1" applyFont="1" applyFill="1" applyBorder="1" applyAlignment="1" applyProtection="1">
      <alignment horizontal="center" vertical="center" wrapText="1"/>
      <protection locked="0"/>
    </xf>
    <xf numFmtId="49" fontId="15" fillId="8" borderId="10" xfId="0" applyNumberFormat="1" applyFont="1" applyFill="1" applyBorder="1" applyAlignment="1" applyProtection="1">
      <alignment horizontal="center" vertical="center" wrapText="1"/>
      <protection locked="0"/>
    </xf>
    <xf numFmtId="49" fontId="15" fillId="8" borderId="34" xfId="0" applyNumberFormat="1" applyFont="1" applyFill="1" applyBorder="1" applyAlignment="1" applyProtection="1">
      <alignment horizontal="center" vertical="center" wrapText="1"/>
      <protection locked="0"/>
    </xf>
    <xf numFmtId="49" fontId="7" fillId="8" borderId="5" xfId="0" applyNumberFormat="1" applyFont="1" applyFill="1" applyBorder="1" applyAlignment="1" applyProtection="1">
      <alignment horizontal="center"/>
      <protection locked="0"/>
    </xf>
    <xf numFmtId="49" fontId="7" fillId="8" borderId="19" xfId="0" applyNumberFormat="1" applyFont="1" applyFill="1" applyBorder="1" applyAlignment="1" applyProtection="1">
      <alignment horizontal="center"/>
      <protection locked="0"/>
    </xf>
    <xf numFmtId="0" fontId="15" fillId="0" borderId="55" xfId="0" applyFont="1" applyBorder="1" applyAlignment="1">
      <alignment horizontal="center"/>
    </xf>
    <xf numFmtId="0" fontId="15" fillId="0" borderId="56" xfId="0" applyFont="1" applyBorder="1" applyAlignment="1">
      <alignment horizontal="center"/>
    </xf>
    <xf numFmtId="0" fontId="15" fillId="0" borderId="40" xfId="0" applyFont="1" applyBorder="1" applyAlignment="1">
      <alignment horizontal="center"/>
    </xf>
    <xf numFmtId="0" fontId="15" fillId="0" borderId="57" xfId="0" applyFont="1" applyBorder="1" applyAlignment="1">
      <alignment horizontal="center"/>
    </xf>
    <xf numFmtId="0" fontId="15" fillId="0" borderId="18" xfId="0" applyFont="1" applyBorder="1" applyAlignment="1">
      <alignment horizontal="center" wrapText="1" shrinkToFit="1"/>
    </xf>
    <xf numFmtId="0" fontId="15" fillId="0" borderId="5" xfId="0" applyFont="1" applyBorder="1" applyAlignment="1">
      <alignment horizontal="center" shrinkToFit="1"/>
    </xf>
    <xf numFmtId="0" fontId="15" fillId="0" borderId="20" xfId="0" applyFont="1" applyBorder="1" applyAlignment="1">
      <alignment horizontal="center" shrinkToFit="1"/>
    </xf>
    <xf numFmtId="0" fontId="15" fillId="0" borderId="16" xfId="0" applyFont="1" applyBorder="1" applyAlignment="1">
      <alignment horizontal="center" shrinkToFit="1"/>
    </xf>
    <xf numFmtId="0" fontId="15" fillId="0" borderId="3" xfId="0" applyFont="1" applyBorder="1" applyAlignment="1">
      <alignment horizontal="center" shrinkToFit="1"/>
    </xf>
    <xf numFmtId="0" fontId="15" fillId="0" borderId="22" xfId="0" applyFont="1" applyBorder="1" applyAlignment="1">
      <alignment horizontal="center" shrinkToFit="1"/>
    </xf>
    <xf numFmtId="49" fontId="15" fillId="8" borderId="18" xfId="0" applyNumberFormat="1" applyFont="1" applyFill="1" applyBorder="1" applyAlignment="1" applyProtection="1">
      <alignment horizontal="center" wrapText="1" shrinkToFit="1"/>
      <protection locked="0"/>
    </xf>
    <xf numFmtId="49" fontId="15" fillId="8" borderId="5" xfId="0" applyNumberFormat="1" applyFont="1" applyFill="1" applyBorder="1" applyAlignment="1" applyProtection="1">
      <alignment horizontal="center" shrinkToFit="1"/>
      <protection locked="0"/>
    </xf>
    <xf numFmtId="49" fontId="15" fillId="8" borderId="20" xfId="0" applyNumberFormat="1" applyFont="1" applyFill="1" applyBorder="1" applyAlignment="1" applyProtection="1">
      <alignment horizontal="center" shrinkToFit="1"/>
      <protection locked="0"/>
    </xf>
    <xf numFmtId="49" fontId="15" fillId="8" borderId="16" xfId="0" applyNumberFormat="1" applyFont="1" applyFill="1" applyBorder="1" applyAlignment="1" applyProtection="1">
      <alignment horizontal="center" shrinkToFit="1"/>
      <protection locked="0"/>
    </xf>
    <xf numFmtId="49" fontId="15" fillId="8" borderId="3" xfId="0" applyNumberFormat="1" applyFont="1" applyFill="1" applyBorder="1" applyAlignment="1" applyProtection="1">
      <alignment horizontal="center" shrinkToFit="1"/>
      <protection locked="0"/>
    </xf>
    <xf numFmtId="49" fontId="15" fillId="8" borderId="22" xfId="0" applyNumberFormat="1" applyFont="1" applyFill="1" applyBorder="1" applyAlignment="1" applyProtection="1">
      <alignment horizontal="center" shrinkToFit="1"/>
      <protection locked="0"/>
    </xf>
    <xf numFmtId="49" fontId="15" fillId="8" borderId="29" xfId="0" applyNumberFormat="1" applyFont="1" applyFill="1" applyBorder="1" applyAlignment="1" applyProtection="1">
      <alignment horizontal="center" shrinkToFit="1"/>
      <protection locked="0"/>
    </xf>
    <xf numFmtId="49" fontId="15" fillId="8" borderId="10" xfId="0" applyNumberFormat="1" applyFont="1" applyFill="1" applyBorder="1" applyAlignment="1" applyProtection="1">
      <alignment horizontal="center" shrinkToFit="1"/>
      <protection locked="0"/>
    </xf>
    <xf numFmtId="49" fontId="15" fillId="8" borderId="36" xfId="0" applyNumberFormat="1" applyFont="1" applyFill="1" applyBorder="1" applyAlignment="1" applyProtection="1">
      <alignment horizontal="center" shrinkToFit="1"/>
      <protection locked="0"/>
    </xf>
    <xf numFmtId="49" fontId="15" fillId="8" borderId="19" xfId="0" applyNumberFormat="1" applyFont="1" applyFill="1" applyBorder="1" applyAlignment="1" applyProtection="1">
      <alignment horizontal="center" vertical="center" wrapText="1"/>
      <protection locked="0"/>
    </xf>
    <xf numFmtId="49" fontId="15" fillId="8" borderId="21" xfId="0" applyNumberFormat="1" applyFont="1" applyFill="1" applyBorder="1" applyAlignment="1" applyProtection="1">
      <alignment horizontal="center" vertical="center" wrapText="1"/>
      <protection locked="0"/>
    </xf>
    <xf numFmtId="49" fontId="15" fillId="8" borderId="3" xfId="0" applyNumberFormat="1" applyFont="1" applyFill="1" applyBorder="1" applyAlignment="1" applyProtection="1">
      <alignment horizontal="center" vertical="center" wrapText="1"/>
      <protection locked="0"/>
    </xf>
    <xf numFmtId="49" fontId="15" fillId="8" borderId="17" xfId="0" applyNumberFormat="1" applyFont="1" applyFill="1" applyBorder="1" applyAlignment="1" applyProtection="1">
      <alignment horizontal="center" vertical="center" wrapText="1"/>
      <protection locked="0"/>
    </xf>
    <xf numFmtId="49" fontId="55" fillId="8" borderId="18" xfId="0" applyNumberFormat="1" applyFont="1" applyFill="1" applyBorder="1" applyAlignment="1" applyProtection="1">
      <alignment horizontal="center" vertical="center" wrapText="1"/>
      <protection locked="0"/>
    </xf>
    <xf numFmtId="49" fontId="55" fillId="8" borderId="5" xfId="0" applyNumberFormat="1" applyFont="1" applyFill="1" applyBorder="1" applyAlignment="1" applyProtection="1">
      <alignment horizontal="center" vertical="center" wrapText="1"/>
      <protection locked="0"/>
    </xf>
    <xf numFmtId="49" fontId="55" fillId="8" borderId="30" xfId="0" applyNumberFormat="1" applyFont="1" applyFill="1" applyBorder="1" applyAlignment="1" applyProtection="1">
      <alignment horizontal="center" vertical="center" wrapText="1"/>
      <protection locked="0"/>
    </xf>
    <xf numFmtId="49" fontId="55" fillId="8" borderId="16" xfId="0" applyNumberFormat="1" applyFont="1" applyFill="1" applyBorder="1" applyAlignment="1" applyProtection="1">
      <alignment horizontal="center" vertical="center" wrapText="1"/>
      <protection locked="0"/>
    </xf>
    <xf numFmtId="49" fontId="55" fillId="8" borderId="3" xfId="0" applyNumberFormat="1" applyFont="1" applyFill="1" applyBorder="1" applyAlignment="1" applyProtection="1">
      <alignment horizontal="center" vertical="center" wrapText="1"/>
      <protection locked="0"/>
    </xf>
    <xf numFmtId="49" fontId="55" fillId="8" borderId="17" xfId="0" applyNumberFormat="1" applyFont="1" applyFill="1" applyBorder="1" applyAlignment="1" applyProtection="1">
      <alignment horizontal="center" vertical="center" wrapText="1"/>
      <protection locked="0"/>
    </xf>
    <xf numFmtId="49" fontId="23" fillId="8" borderId="5" xfId="0" applyNumberFormat="1" applyFont="1" applyFill="1" applyBorder="1" applyAlignment="1" applyProtection="1">
      <alignment horizontal="center"/>
      <protection locked="0"/>
    </xf>
    <xf numFmtId="0" fontId="15" fillId="0" borderId="19" xfId="0" applyFont="1" applyBorder="1" applyAlignment="1">
      <alignment horizontal="center"/>
    </xf>
    <xf numFmtId="0" fontId="15" fillId="0" borderId="5" xfId="0" applyFont="1" applyBorder="1" applyAlignment="1">
      <alignment horizontal="center"/>
    </xf>
    <xf numFmtId="0" fontId="15" fillId="0" borderId="30" xfId="0" applyFont="1" applyBorder="1" applyAlignment="1">
      <alignment horizontal="center"/>
    </xf>
    <xf numFmtId="49" fontId="15" fillId="0" borderId="0" xfId="0" applyNumberFormat="1" applyFont="1" applyBorder="1" applyAlignment="1">
      <alignment horizontal="center"/>
    </xf>
    <xf numFmtId="0" fontId="15" fillId="0" borderId="18" xfId="0" applyFont="1" applyBorder="1" applyAlignment="1">
      <alignment horizontal="center"/>
    </xf>
    <xf numFmtId="0" fontId="15" fillId="0" borderId="16" xfId="0" applyFont="1" applyBorder="1" applyAlignment="1">
      <alignment horizontal="center"/>
    </xf>
    <xf numFmtId="0" fontId="15" fillId="0" borderId="3" xfId="0" applyFont="1" applyBorder="1" applyAlignment="1">
      <alignment horizontal="center"/>
    </xf>
    <xf numFmtId="0" fontId="15" fillId="0" borderId="17" xfId="0" applyFont="1" applyBorder="1" applyAlignment="1">
      <alignment horizontal="center"/>
    </xf>
    <xf numFmtId="0" fontId="15" fillId="0" borderId="32" xfId="0" applyFont="1" applyBorder="1" applyAlignment="1">
      <alignment horizontal="center"/>
    </xf>
    <xf numFmtId="0" fontId="15" fillId="0" borderId="6" xfId="0" applyFont="1" applyBorder="1" applyAlignment="1">
      <alignment horizontal="center"/>
    </xf>
    <xf numFmtId="49" fontId="23" fillId="8" borderId="0" xfId="0" applyNumberFormat="1" applyFont="1" applyFill="1" applyBorder="1" applyAlignment="1" applyProtection="1">
      <alignment horizontal="left" vertical="center" wrapText="1"/>
      <protection locked="0"/>
    </xf>
    <xf numFmtId="49" fontId="23" fillId="8" borderId="3" xfId="0" applyNumberFormat="1" applyFont="1" applyFill="1" applyBorder="1" applyAlignment="1" applyProtection="1">
      <alignment horizontal="left" vertical="center" wrapText="1"/>
      <protection locked="0"/>
    </xf>
    <xf numFmtId="0" fontId="15" fillId="0" borderId="21" xfId="0" applyFont="1" applyBorder="1" applyAlignment="1">
      <alignment horizontal="center"/>
    </xf>
    <xf numFmtId="49" fontId="15" fillId="8" borderId="5" xfId="0" applyNumberFormat="1" applyFont="1" applyFill="1" applyBorder="1" applyAlignment="1" applyProtection="1">
      <alignment horizontal="center"/>
      <protection locked="0"/>
    </xf>
    <xf numFmtId="49" fontId="12" fillId="8" borderId="5" xfId="0" applyNumberFormat="1" applyFont="1" applyFill="1" applyBorder="1" applyAlignment="1" applyProtection="1">
      <alignment horizontal="center"/>
      <protection locked="0"/>
    </xf>
    <xf numFmtId="0" fontId="15" fillId="8" borderId="18" xfId="0" applyFont="1" applyFill="1" applyBorder="1" applyAlignment="1" applyProtection="1">
      <alignment horizontal="center" vertical="center"/>
      <protection locked="0"/>
    </xf>
    <xf numFmtId="0" fontId="15" fillId="8" borderId="5" xfId="0" applyFont="1" applyFill="1" applyBorder="1" applyAlignment="1" applyProtection="1">
      <alignment horizontal="center" vertical="center"/>
      <protection locked="0"/>
    </xf>
    <xf numFmtId="0" fontId="15" fillId="8" borderId="20" xfId="0" applyFont="1" applyFill="1" applyBorder="1" applyAlignment="1" applyProtection="1">
      <alignment horizontal="center" vertical="center"/>
      <protection locked="0"/>
    </xf>
    <xf numFmtId="0" fontId="15" fillId="8" borderId="16" xfId="0" applyFont="1" applyFill="1" applyBorder="1" applyAlignment="1" applyProtection="1">
      <alignment horizontal="center" vertical="center"/>
      <protection locked="0"/>
    </xf>
    <xf numFmtId="0" fontId="15" fillId="8" borderId="3" xfId="0" applyFont="1" applyFill="1" applyBorder="1" applyAlignment="1" applyProtection="1">
      <alignment horizontal="center" vertical="center"/>
      <protection locked="0"/>
    </xf>
    <xf numFmtId="0" fontId="15" fillId="8" borderId="22" xfId="0" applyFont="1" applyFill="1" applyBorder="1" applyAlignment="1" applyProtection="1">
      <alignment horizontal="center" vertical="center"/>
      <protection locked="0"/>
    </xf>
    <xf numFmtId="0" fontId="5" fillId="0" borderId="21" xfId="0" applyFont="1" applyBorder="1" applyAlignment="1">
      <alignment horizontal="center"/>
    </xf>
    <xf numFmtId="0" fontId="5" fillId="0" borderId="3" xfId="0" applyFont="1" applyBorder="1" applyAlignment="1">
      <alignment horizontal="center"/>
    </xf>
    <xf numFmtId="0" fontId="5" fillId="0" borderId="17" xfId="0" applyFont="1" applyBorder="1" applyAlignment="1">
      <alignment horizontal="center"/>
    </xf>
    <xf numFmtId="0" fontId="15" fillId="0" borderId="20" xfId="0" applyFont="1" applyBorder="1" applyAlignment="1">
      <alignment horizontal="center"/>
    </xf>
    <xf numFmtId="49" fontId="15" fillId="8" borderId="24" xfId="0" applyNumberFormat="1" applyFont="1" applyFill="1" applyBorder="1" applyAlignment="1" applyProtection="1">
      <alignment horizontal="center" vertical="center" wrapText="1"/>
      <protection locked="0"/>
    </xf>
    <xf numFmtId="0" fontId="15" fillId="0" borderId="22" xfId="0" applyFont="1" applyBorder="1" applyAlignment="1">
      <alignment horizontal="center"/>
    </xf>
    <xf numFmtId="49" fontId="15" fillId="8" borderId="6" xfId="0" applyNumberFormat="1" applyFont="1" applyFill="1" applyBorder="1" applyAlignment="1" applyProtection="1">
      <alignment horizontal="center"/>
      <protection locked="0"/>
    </xf>
    <xf numFmtId="49" fontId="15" fillId="8" borderId="18" xfId="0" applyNumberFormat="1" applyFont="1" applyFill="1" applyBorder="1" applyAlignment="1" applyProtection="1">
      <alignment horizontal="center" vertical="center"/>
      <protection locked="0"/>
    </xf>
    <xf numFmtId="49" fontId="15" fillId="8" borderId="5" xfId="0" applyNumberFormat="1" applyFont="1" applyFill="1" applyBorder="1" applyAlignment="1" applyProtection="1">
      <alignment horizontal="center" vertical="center"/>
      <protection locked="0"/>
    </xf>
    <xf numFmtId="49" fontId="15" fillId="8" borderId="30" xfId="0" applyNumberFormat="1" applyFont="1" applyFill="1" applyBorder="1" applyAlignment="1" applyProtection="1">
      <alignment horizontal="center" vertical="center"/>
      <protection locked="0"/>
    </xf>
    <xf numFmtId="49" fontId="15" fillId="8" borderId="29" xfId="0" applyNumberFormat="1" applyFont="1" applyFill="1" applyBorder="1" applyAlignment="1" applyProtection="1">
      <alignment horizontal="center" vertical="center"/>
      <protection locked="0"/>
    </xf>
    <xf numFmtId="49" fontId="15" fillId="8" borderId="10" xfId="0" applyNumberFormat="1" applyFont="1" applyFill="1" applyBorder="1" applyAlignment="1" applyProtection="1">
      <alignment horizontal="center" vertical="center"/>
      <protection locked="0"/>
    </xf>
    <xf numFmtId="49" fontId="15" fillId="8" borderId="34" xfId="0" applyNumberFormat="1" applyFont="1" applyFill="1" applyBorder="1" applyAlignment="1" applyProtection="1">
      <alignment horizontal="center" vertical="center"/>
      <protection locked="0"/>
    </xf>
    <xf numFmtId="0" fontId="9" fillId="0" borderId="5" xfId="0" applyFont="1" applyBorder="1" applyAlignment="1">
      <alignment horizontal="center"/>
    </xf>
    <xf numFmtId="0" fontId="15" fillId="0" borderId="51" xfId="0" applyFont="1" applyBorder="1" applyAlignment="1">
      <alignment horizontal="center"/>
    </xf>
    <xf numFmtId="49" fontId="15" fillId="8" borderId="20" xfId="0" applyNumberFormat="1" applyFont="1" applyFill="1" applyBorder="1" applyAlignment="1" applyProtection="1">
      <alignment horizontal="center" vertical="center"/>
      <protection locked="0"/>
    </xf>
    <xf numFmtId="49" fontId="15" fillId="8" borderId="36" xfId="0" applyNumberFormat="1" applyFont="1" applyFill="1" applyBorder="1" applyAlignment="1" applyProtection="1">
      <alignment horizontal="center" vertical="center"/>
      <protection locked="0"/>
    </xf>
    <xf numFmtId="49" fontId="24" fillId="8" borderId="18" xfId="0" applyNumberFormat="1" applyFont="1" applyFill="1" applyBorder="1" applyAlignment="1" applyProtection="1">
      <alignment horizontal="left" vertical="center" wrapText="1"/>
      <protection locked="0"/>
    </xf>
    <xf numFmtId="49" fontId="24" fillId="8" borderId="5" xfId="0" applyNumberFormat="1" applyFont="1" applyFill="1" applyBorder="1" applyAlignment="1" applyProtection="1">
      <alignment horizontal="left" vertical="center" wrapText="1"/>
      <protection locked="0"/>
    </xf>
    <xf numFmtId="49" fontId="24" fillId="8" borderId="30" xfId="0" applyNumberFormat="1" applyFont="1" applyFill="1" applyBorder="1" applyAlignment="1" applyProtection="1">
      <alignment horizontal="left" vertical="center" wrapText="1"/>
      <protection locked="0"/>
    </xf>
    <xf numFmtId="49" fontId="24" fillId="8" borderId="16" xfId="0" applyNumberFormat="1" applyFont="1" applyFill="1" applyBorder="1" applyAlignment="1" applyProtection="1">
      <alignment horizontal="left" vertical="center" wrapText="1"/>
      <protection locked="0"/>
    </xf>
    <xf numFmtId="49" fontId="24" fillId="8" borderId="3" xfId="0" applyNumberFormat="1" applyFont="1" applyFill="1" applyBorder="1" applyAlignment="1" applyProtection="1">
      <alignment horizontal="left" vertical="center" wrapText="1"/>
      <protection locked="0"/>
    </xf>
    <xf numFmtId="49" fontId="24" fillId="8" borderId="17" xfId="0" applyNumberFormat="1" applyFont="1" applyFill="1" applyBorder="1" applyAlignment="1" applyProtection="1">
      <alignment horizontal="left" vertical="center" wrapText="1"/>
      <protection locked="0"/>
    </xf>
    <xf numFmtId="49" fontId="15" fillId="8" borderId="0" xfId="0" applyNumberFormat="1" applyFont="1" applyFill="1" applyBorder="1" applyAlignment="1" applyProtection="1">
      <alignment horizontal="center" vertical="center" wrapText="1"/>
      <protection locked="0"/>
    </xf>
    <xf numFmtId="49" fontId="15" fillId="0" borderId="0" xfId="0" applyNumberFormat="1" applyFont="1" applyBorder="1" applyAlignment="1">
      <alignment horizontal="center" vertical="center"/>
    </xf>
    <xf numFmtId="49" fontId="15" fillId="8" borderId="16" xfId="0" applyNumberFormat="1" applyFont="1" applyFill="1" applyBorder="1" applyAlignment="1" applyProtection="1">
      <alignment horizontal="center" vertical="center" wrapText="1"/>
      <protection locked="0"/>
    </xf>
    <xf numFmtId="49" fontId="55" fillId="8" borderId="29" xfId="0" applyNumberFormat="1" applyFont="1" applyFill="1" applyBorder="1" applyAlignment="1" applyProtection="1">
      <alignment horizontal="center" vertical="center" wrapText="1"/>
      <protection locked="0"/>
    </xf>
    <xf numFmtId="49" fontId="55" fillId="8" borderId="10" xfId="0" applyNumberFormat="1" applyFont="1" applyFill="1" applyBorder="1" applyAlignment="1" applyProtection="1">
      <alignment horizontal="center" vertical="center" wrapText="1"/>
      <protection locked="0"/>
    </xf>
    <xf numFmtId="49" fontId="55" fillId="8" borderId="34" xfId="0" applyNumberFormat="1" applyFont="1" applyFill="1" applyBorder="1" applyAlignment="1" applyProtection="1">
      <alignment horizontal="center" vertical="center" wrapText="1"/>
      <protection locked="0"/>
    </xf>
    <xf numFmtId="49" fontId="23" fillId="8" borderId="5" xfId="0" applyNumberFormat="1" applyFont="1" applyFill="1" applyBorder="1" applyAlignment="1" applyProtection="1">
      <alignment horizontal="center" vertical="center" wrapText="1"/>
      <protection locked="0"/>
    </xf>
    <xf numFmtId="49" fontId="23" fillId="8" borderId="3" xfId="0" applyNumberFormat="1" applyFont="1" applyFill="1" applyBorder="1" applyAlignment="1" applyProtection="1">
      <alignment horizontal="center" vertical="center" wrapText="1"/>
      <protection locked="0"/>
    </xf>
    <xf numFmtId="0" fontId="15" fillId="0" borderId="31" xfId="0" applyFont="1" applyBorder="1" applyAlignment="1">
      <alignment horizontal="center"/>
    </xf>
    <xf numFmtId="49" fontId="23" fillId="8" borderId="18" xfId="0" applyNumberFormat="1" applyFont="1" applyFill="1" applyBorder="1" applyAlignment="1" applyProtection="1">
      <alignment horizontal="center"/>
      <protection locked="0"/>
    </xf>
    <xf numFmtId="49" fontId="23" fillId="8" borderId="6" xfId="0" applyNumberFormat="1" applyFont="1" applyFill="1" applyBorder="1" applyAlignment="1" applyProtection="1">
      <alignment horizontal="left" vertical="center" wrapText="1"/>
      <protection locked="0"/>
    </xf>
    <xf numFmtId="0" fontId="15" fillId="0" borderId="19" xfId="0" applyFont="1" applyBorder="1" applyAlignment="1">
      <alignment horizontal="center" wrapText="1"/>
    </xf>
    <xf numFmtId="0" fontId="15" fillId="0" borderId="5" xfId="0" applyFont="1" applyBorder="1" applyAlignment="1">
      <alignment horizontal="center" wrapText="1"/>
    </xf>
    <xf numFmtId="0" fontId="15" fillId="0" borderId="30" xfId="0" applyFont="1" applyBorder="1" applyAlignment="1">
      <alignment horizontal="center" wrapText="1"/>
    </xf>
    <xf numFmtId="0" fontId="15" fillId="0" borderId="21" xfId="0" applyFont="1" applyBorder="1" applyAlignment="1">
      <alignment horizontal="center" wrapText="1"/>
    </xf>
    <xf numFmtId="0" fontId="15" fillId="0" borderId="3" xfId="0" applyFont="1" applyBorder="1" applyAlignment="1">
      <alignment horizontal="center" wrapText="1"/>
    </xf>
    <xf numFmtId="0" fontId="15" fillId="0" borderId="17" xfId="0" applyFont="1" applyBorder="1" applyAlignment="1">
      <alignment horizontal="center" wrapText="1"/>
    </xf>
    <xf numFmtId="0" fontId="15" fillId="8" borderId="19" xfId="0" applyFont="1" applyFill="1" applyBorder="1" applyAlignment="1" applyProtection="1">
      <alignment horizontal="center" vertical="center" wrapText="1"/>
      <protection locked="0"/>
    </xf>
    <xf numFmtId="0" fontId="15" fillId="8" borderId="5" xfId="0" applyFont="1" applyFill="1" applyBorder="1" applyAlignment="1" applyProtection="1">
      <alignment horizontal="center" vertical="center" wrapText="1"/>
      <protection locked="0"/>
    </xf>
    <xf numFmtId="0" fontId="15" fillId="8" borderId="30" xfId="0" applyFont="1" applyFill="1" applyBorder="1" applyAlignment="1" applyProtection="1">
      <alignment horizontal="center" vertical="center" wrapText="1"/>
      <protection locked="0"/>
    </xf>
    <xf numFmtId="0" fontId="15" fillId="8" borderId="21" xfId="0" applyFont="1" applyFill="1" applyBorder="1" applyAlignment="1" applyProtection="1">
      <alignment horizontal="center" vertical="center" wrapText="1"/>
      <protection locked="0"/>
    </xf>
    <xf numFmtId="0" fontId="15" fillId="8" borderId="3" xfId="0" applyFont="1" applyFill="1" applyBorder="1" applyAlignment="1" applyProtection="1">
      <alignment horizontal="center" vertical="center" wrapText="1"/>
      <protection locked="0"/>
    </xf>
    <xf numFmtId="0" fontId="15" fillId="8" borderId="17" xfId="0" applyFont="1" applyFill="1" applyBorder="1" applyAlignment="1" applyProtection="1">
      <alignment horizontal="center" vertical="center" wrapText="1"/>
      <protection locked="0"/>
    </xf>
    <xf numFmtId="0" fontId="15" fillId="8" borderId="24"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protection locked="0"/>
    </xf>
    <xf numFmtId="0" fontId="15" fillId="8" borderId="34" xfId="0" applyFont="1" applyFill="1" applyBorder="1" applyAlignment="1" applyProtection="1">
      <alignment horizontal="center" vertical="center" wrapText="1"/>
      <protection locked="0"/>
    </xf>
    <xf numFmtId="49" fontId="7" fillId="8" borderId="18" xfId="0" applyNumberFormat="1" applyFont="1" applyFill="1" applyBorder="1" applyAlignment="1" applyProtection="1">
      <alignment horizontal="center" vertical="center"/>
      <protection locked="0"/>
    </xf>
    <xf numFmtId="49" fontId="7" fillId="8" borderId="5" xfId="0" applyNumberFormat="1" applyFont="1" applyFill="1" applyBorder="1" applyAlignment="1" applyProtection="1">
      <alignment horizontal="center" vertical="center"/>
      <protection locked="0"/>
    </xf>
    <xf numFmtId="49" fontId="7" fillId="8" borderId="29" xfId="0" applyNumberFormat="1" applyFont="1" applyFill="1" applyBorder="1" applyAlignment="1" applyProtection="1">
      <alignment horizontal="center" vertical="center"/>
      <protection locked="0"/>
    </xf>
    <xf numFmtId="49" fontId="7" fillId="8" borderId="10" xfId="0" applyNumberFormat="1" applyFont="1" applyFill="1" applyBorder="1" applyAlignment="1" applyProtection="1">
      <alignment horizontal="center" vertical="center"/>
      <protection locked="0"/>
    </xf>
    <xf numFmtId="49" fontId="7" fillId="8" borderId="3" xfId="0" applyNumberFormat="1" applyFont="1" applyFill="1" applyBorder="1" applyAlignment="1" applyProtection="1">
      <alignment horizontal="center" vertical="center"/>
      <protection locked="0"/>
    </xf>
    <xf numFmtId="49" fontId="23" fillId="8" borderId="0" xfId="0" quotePrefix="1" applyNumberFormat="1" applyFont="1" applyFill="1" applyBorder="1" applyAlignment="1" applyProtection="1">
      <alignment vertical="center" wrapText="1"/>
      <protection locked="0"/>
    </xf>
    <xf numFmtId="49" fontId="23" fillId="8" borderId="0" xfId="0" applyNumberFormat="1" applyFont="1" applyFill="1" applyBorder="1" applyAlignment="1" applyProtection="1">
      <alignment vertical="center" wrapText="1"/>
      <protection locked="0"/>
    </xf>
    <xf numFmtId="49" fontId="23" fillId="8" borderId="4" xfId="0" applyNumberFormat="1" applyFont="1" applyFill="1" applyBorder="1" applyAlignment="1" applyProtection="1">
      <alignment vertical="center" wrapText="1"/>
      <protection locked="0"/>
    </xf>
    <xf numFmtId="49" fontId="23" fillId="8" borderId="3" xfId="0" applyNumberFormat="1" applyFont="1" applyFill="1" applyBorder="1" applyAlignment="1" applyProtection="1">
      <alignment vertical="center" wrapText="1"/>
      <protection locked="0"/>
    </xf>
    <xf numFmtId="49" fontId="23" fillId="8" borderId="22" xfId="0" applyNumberFormat="1" applyFont="1" applyFill="1" applyBorder="1" applyAlignment="1" applyProtection="1">
      <alignment vertical="center" wrapText="1"/>
      <protection locked="0"/>
    </xf>
    <xf numFmtId="0" fontId="7" fillId="8" borderId="18" xfId="0" applyFont="1" applyFill="1" applyBorder="1" applyAlignment="1" applyProtection="1">
      <alignment horizontal="center"/>
      <protection locked="0"/>
    </xf>
    <xf numFmtId="0" fontId="7" fillId="8" borderId="5" xfId="0" applyFont="1" applyFill="1" applyBorder="1" applyAlignment="1" applyProtection="1">
      <alignment horizontal="center"/>
      <protection locked="0"/>
    </xf>
    <xf numFmtId="49" fontId="15" fillId="8" borderId="30" xfId="0" applyNumberFormat="1" applyFont="1" applyFill="1" applyBorder="1" applyAlignment="1" applyProtection="1">
      <alignment horizontal="left" vertical="center" wrapText="1"/>
      <protection locked="0"/>
    </xf>
    <xf numFmtId="49" fontId="15" fillId="8" borderId="16" xfId="0" applyNumberFormat="1" applyFont="1" applyFill="1" applyBorder="1" applyAlignment="1" applyProtection="1">
      <alignment horizontal="left" vertical="center" wrapText="1"/>
      <protection locked="0"/>
    </xf>
    <xf numFmtId="49" fontId="15" fillId="8" borderId="3" xfId="0" applyNumberFormat="1" applyFont="1" applyFill="1" applyBorder="1" applyAlignment="1" applyProtection="1">
      <alignment horizontal="left" vertical="center" wrapText="1"/>
      <protection locked="0"/>
    </xf>
    <xf numFmtId="49" fontId="15" fillId="8" borderId="17" xfId="0" applyNumberFormat="1" applyFont="1" applyFill="1" applyBorder="1" applyAlignment="1" applyProtection="1">
      <alignment horizontal="left" vertical="center" wrapText="1"/>
      <protection locked="0"/>
    </xf>
    <xf numFmtId="49" fontId="23" fillId="8" borderId="18" xfId="0" applyNumberFormat="1" applyFont="1" applyFill="1" applyBorder="1" applyAlignment="1" applyProtection="1">
      <alignment horizontal="center" wrapText="1"/>
      <protection locked="0"/>
    </xf>
    <xf numFmtId="49" fontId="23" fillId="8" borderId="5" xfId="0" applyNumberFormat="1" applyFont="1" applyFill="1" applyBorder="1" applyAlignment="1" applyProtection="1">
      <alignment horizontal="center" wrapText="1"/>
      <protection locked="0"/>
    </xf>
    <xf numFmtId="49" fontId="6" fillId="8" borderId="0" xfId="0" applyNumberFormat="1" applyFont="1" applyFill="1" applyBorder="1" applyAlignment="1" applyProtection="1">
      <alignment horizontal="center" vertical="center"/>
      <protection locked="0"/>
    </xf>
    <xf numFmtId="49" fontId="6" fillId="8" borderId="3" xfId="0" applyNumberFormat="1" applyFont="1" applyFill="1" applyBorder="1" applyAlignment="1" applyProtection="1">
      <alignment horizontal="center" vertical="center"/>
      <protection locked="0"/>
    </xf>
    <xf numFmtId="49" fontId="23" fillId="8" borderId="5" xfId="0" applyNumberFormat="1" applyFont="1" applyFill="1" applyBorder="1" applyAlignment="1" applyProtection="1">
      <alignment horizontal="left" vertical="center" wrapText="1"/>
      <protection locked="0"/>
    </xf>
    <xf numFmtId="49" fontId="7" fillId="8" borderId="19" xfId="0" applyNumberFormat="1" applyFont="1" applyFill="1" applyBorder="1" applyAlignment="1" applyProtection="1">
      <alignment horizontal="left" vertical="center" wrapText="1"/>
      <protection locked="0"/>
    </xf>
    <xf numFmtId="49" fontId="7" fillId="8" borderId="5" xfId="0" applyNumberFormat="1" applyFont="1" applyFill="1" applyBorder="1" applyAlignment="1" applyProtection="1">
      <alignment horizontal="left" vertical="center" wrapText="1"/>
      <protection locked="0"/>
    </xf>
    <xf numFmtId="49" fontId="7" fillId="8" borderId="30" xfId="0" applyNumberFormat="1" applyFont="1" applyFill="1" applyBorder="1" applyAlignment="1" applyProtection="1">
      <alignment horizontal="left" vertical="center" wrapText="1"/>
      <protection locked="0"/>
    </xf>
    <xf numFmtId="49" fontId="7" fillId="8" borderId="21" xfId="0" applyNumberFormat="1" applyFont="1" applyFill="1" applyBorder="1" applyAlignment="1" applyProtection="1">
      <alignment horizontal="left" vertical="center" wrapText="1"/>
      <protection locked="0"/>
    </xf>
    <xf numFmtId="49" fontId="7" fillId="8" borderId="3" xfId="0" applyNumberFormat="1" applyFont="1" applyFill="1" applyBorder="1" applyAlignment="1" applyProtection="1">
      <alignment horizontal="left" vertical="center" wrapText="1"/>
      <protection locked="0"/>
    </xf>
    <xf numFmtId="49" fontId="7" fillId="8" borderId="17" xfId="0" applyNumberFormat="1" applyFont="1" applyFill="1" applyBorder="1" applyAlignment="1" applyProtection="1">
      <alignment horizontal="left" vertical="center" wrapText="1"/>
      <protection locked="0"/>
    </xf>
    <xf numFmtId="0" fontId="15" fillId="0" borderId="39" xfId="0" applyFont="1" applyBorder="1" applyAlignment="1">
      <alignment horizontal="center" vertical="center"/>
    </xf>
    <xf numFmtId="0" fontId="15" fillId="0" borderId="18" xfId="0" applyFont="1" applyBorder="1" applyAlignment="1">
      <alignment horizontal="center" vertical="center"/>
    </xf>
    <xf numFmtId="0" fontId="15" fillId="0" borderId="5" xfId="0" applyFont="1" applyBorder="1" applyAlignment="1">
      <alignment horizontal="center" vertical="center"/>
    </xf>
    <xf numFmtId="0" fontId="15" fillId="0" borderId="20" xfId="0" applyFont="1" applyBorder="1" applyAlignment="1">
      <alignment horizontal="center" vertical="center"/>
    </xf>
    <xf numFmtId="0" fontId="15" fillId="0" borderId="16" xfId="0" applyFont="1" applyBorder="1" applyAlignment="1">
      <alignment horizontal="center" vertical="center"/>
    </xf>
    <xf numFmtId="0" fontId="15" fillId="0" borderId="3" xfId="0" applyFont="1" applyBorder="1" applyAlignment="1">
      <alignment horizontal="center" vertical="center"/>
    </xf>
    <xf numFmtId="0" fontId="15" fillId="0" borderId="22" xfId="0" applyFont="1" applyBorder="1" applyAlignment="1">
      <alignment horizontal="center" vertical="center"/>
    </xf>
    <xf numFmtId="49" fontId="23" fillId="8" borderId="39" xfId="0" applyNumberFormat="1" applyFont="1" applyFill="1" applyBorder="1" applyAlignment="1" applyProtection="1">
      <alignment horizontal="left" vertical="center" wrapText="1"/>
      <protection locked="0"/>
    </xf>
    <xf numFmtId="0" fontId="7" fillId="8" borderId="0" xfId="0"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13" fillId="0" borderId="3" xfId="0" applyNumberFormat="1" applyFont="1" applyFill="1" applyBorder="1" applyAlignment="1" applyProtection="1">
      <alignment horizontal="center"/>
    </xf>
    <xf numFmtId="49" fontId="7" fillId="8" borderId="18" xfId="0" applyNumberFormat="1" applyFont="1" applyFill="1" applyBorder="1" applyAlignment="1" applyProtection="1">
      <alignment horizontal="center" wrapText="1"/>
      <protection locked="0"/>
    </xf>
    <xf numFmtId="49" fontId="7" fillId="8" borderId="5" xfId="0" applyNumberFormat="1" applyFont="1" applyFill="1" applyBorder="1" applyAlignment="1" applyProtection="1">
      <alignment horizontal="center" wrapText="1"/>
      <protection locked="0"/>
    </xf>
    <xf numFmtId="0" fontId="5" fillId="0" borderId="16" xfId="0" applyFont="1" applyBorder="1" applyAlignment="1">
      <alignment horizontal="center"/>
    </xf>
    <xf numFmtId="0" fontId="7" fillId="8" borderId="18" xfId="0" applyFont="1" applyFill="1" applyBorder="1" applyAlignment="1" applyProtection="1">
      <alignment horizontal="left" vertical="center" wrapText="1"/>
      <protection locked="0"/>
    </xf>
    <xf numFmtId="0" fontId="7" fillId="8" borderId="5" xfId="0" applyFont="1" applyFill="1" applyBorder="1" applyAlignment="1" applyProtection="1">
      <alignment horizontal="left" vertical="center" wrapText="1"/>
      <protection locked="0"/>
    </xf>
    <xf numFmtId="0" fontId="7" fillId="8" borderId="16" xfId="0" applyFont="1" applyFill="1" applyBorder="1" applyAlignment="1" applyProtection="1">
      <alignment horizontal="left" vertical="center" wrapText="1"/>
      <protection locked="0"/>
    </xf>
    <xf numFmtId="0" fontId="7" fillId="8" borderId="3" xfId="0" applyFont="1" applyFill="1" applyBorder="1" applyAlignment="1" applyProtection="1">
      <alignment horizontal="left" vertical="center" wrapText="1"/>
      <protection locked="0"/>
    </xf>
    <xf numFmtId="0" fontId="6" fillId="8" borderId="5" xfId="0" applyFont="1" applyFill="1" applyBorder="1" applyAlignment="1" applyProtection="1">
      <alignment horizontal="center" vertical="center"/>
      <protection locked="0"/>
    </xf>
    <xf numFmtId="0" fontId="6" fillId="8" borderId="3" xfId="0" applyFont="1" applyFill="1" applyBorder="1" applyAlignment="1" applyProtection="1">
      <alignment horizontal="center" vertical="center"/>
      <protection locked="0"/>
    </xf>
    <xf numFmtId="49" fontId="6" fillId="8" borderId="37" xfId="1" applyNumberFormat="1" applyFont="1" applyFill="1" applyBorder="1" applyAlignment="1" applyProtection="1">
      <alignment horizontal="left" vertical="center"/>
      <protection locked="0"/>
    </xf>
    <xf numFmtId="0" fontId="6" fillId="8" borderId="5" xfId="0" applyFont="1" applyFill="1" applyBorder="1" applyAlignment="1" applyProtection="1">
      <alignment horizontal="center" vertical="center" shrinkToFit="1"/>
      <protection locked="0"/>
    </xf>
    <xf numFmtId="0" fontId="6" fillId="8" borderId="30" xfId="0" applyFont="1" applyFill="1" applyBorder="1" applyAlignment="1" applyProtection="1">
      <alignment horizontal="center" vertical="center" shrinkToFit="1"/>
      <protection locked="0"/>
    </xf>
    <xf numFmtId="0" fontId="6" fillId="8" borderId="3" xfId="0" applyFont="1" applyFill="1" applyBorder="1" applyAlignment="1" applyProtection="1">
      <alignment horizontal="center" vertical="center" shrinkToFit="1"/>
      <protection locked="0"/>
    </xf>
    <xf numFmtId="0" fontId="6" fillId="8" borderId="17" xfId="0" applyFont="1" applyFill="1" applyBorder="1" applyAlignment="1" applyProtection="1">
      <alignment horizontal="center" vertical="center" shrinkToFit="1"/>
      <protection locked="0"/>
    </xf>
    <xf numFmtId="0" fontId="7" fillId="8" borderId="18" xfId="0" applyFont="1" applyFill="1" applyBorder="1" applyAlignment="1" applyProtection="1">
      <alignment horizontal="center" vertical="center" wrapText="1"/>
      <protection locked="0"/>
    </xf>
    <xf numFmtId="0" fontId="7" fillId="8" borderId="5" xfId="0" applyFont="1" applyFill="1" applyBorder="1" applyAlignment="1" applyProtection="1">
      <alignment horizontal="center" vertical="center" wrapText="1"/>
      <protection locked="0"/>
    </xf>
    <xf numFmtId="0" fontId="7" fillId="8" borderId="30" xfId="0" applyFont="1" applyFill="1" applyBorder="1" applyAlignment="1" applyProtection="1">
      <alignment horizontal="center" vertical="center" wrapText="1"/>
      <protection locked="0"/>
    </xf>
    <xf numFmtId="0" fontId="7" fillId="8" borderId="16" xfId="0" applyFont="1" applyFill="1" applyBorder="1" applyAlignment="1" applyProtection="1">
      <alignment horizontal="center" vertical="center" wrapText="1"/>
      <protection locked="0"/>
    </xf>
    <xf numFmtId="0" fontId="7" fillId="8" borderId="3" xfId="0" applyFont="1" applyFill="1" applyBorder="1" applyAlignment="1" applyProtection="1">
      <alignment horizontal="center" vertical="center" wrapText="1"/>
      <protection locked="0"/>
    </xf>
    <xf numFmtId="0" fontId="7" fillId="8" borderId="17" xfId="0" applyFont="1" applyFill="1" applyBorder="1" applyAlignment="1" applyProtection="1">
      <alignment horizontal="center" vertical="center" wrapText="1"/>
      <protection locked="0"/>
    </xf>
    <xf numFmtId="0" fontId="12" fillId="0" borderId="66" xfId="0" applyFont="1" applyBorder="1" applyAlignment="1">
      <alignment horizontal="left" vertical="center" wrapText="1"/>
    </xf>
    <xf numFmtId="0" fontId="12" fillId="0" borderId="37" xfId="0" applyFont="1" applyBorder="1" applyAlignment="1">
      <alignment horizontal="left" vertical="center" wrapText="1"/>
    </xf>
    <xf numFmtId="49" fontId="7" fillId="8" borderId="16" xfId="0" applyNumberFormat="1" applyFont="1" applyFill="1" applyBorder="1" applyAlignment="1" applyProtection="1">
      <alignment horizontal="center" vertical="center"/>
      <protection locked="0"/>
    </xf>
    <xf numFmtId="0" fontId="7" fillId="8" borderId="0" xfId="0" applyFont="1" applyFill="1" applyBorder="1" applyAlignment="1" applyProtection="1">
      <alignment horizontal="center" vertical="center"/>
      <protection locked="0"/>
    </xf>
    <xf numFmtId="0" fontId="7" fillId="8" borderId="3" xfId="0" applyFont="1" applyFill="1" applyBorder="1" applyAlignment="1" applyProtection="1">
      <alignment horizontal="center" vertical="center"/>
      <protection locked="0"/>
    </xf>
    <xf numFmtId="0" fontId="15" fillId="8" borderId="9" xfId="0" applyFont="1" applyFill="1" applyBorder="1" applyAlignment="1" applyProtection="1">
      <alignment horizontal="center" vertical="center"/>
      <protection locked="0"/>
    </xf>
    <xf numFmtId="0" fontId="15" fillId="8" borderId="0" xfId="0" applyFont="1" applyFill="1" applyBorder="1" applyAlignment="1" applyProtection="1">
      <alignment horizontal="center" vertical="center"/>
      <protection locked="0"/>
    </xf>
    <xf numFmtId="0" fontId="15" fillId="8" borderId="15" xfId="0" applyFont="1" applyFill="1" applyBorder="1" applyAlignment="1" applyProtection="1">
      <alignment horizontal="center" vertical="center"/>
      <protection locked="0"/>
    </xf>
    <xf numFmtId="0" fontId="15" fillId="8" borderId="21" xfId="0" applyFont="1" applyFill="1" applyBorder="1" applyAlignment="1" applyProtection="1">
      <alignment horizontal="center" vertical="center"/>
      <protection locked="0"/>
    </xf>
    <xf numFmtId="0" fontId="15" fillId="8" borderId="17" xfId="0" applyFont="1" applyFill="1" applyBorder="1" applyAlignment="1" applyProtection="1">
      <alignment horizontal="center" vertical="center"/>
      <protection locked="0"/>
    </xf>
    <xf numFmtId="0" fontId="15" fillId="8" borderId="29" xfId="0" applyFont="1" applyFill="1" applyBorder="1" applyAlignment="1" applyProtection="1">
      <alignment horizontal="center" vertical="center"/>
      <protection locked="0"/>
    </xf>
    <xf numFmtId="0" fontId="15" fillId="8" borderId="10" xfId="0" applyFont="1" applyFill="1" applyBorder="1" applyAlignment="1" applyProtection="1">
      <alignment horizontal="center" vertical="center"/>
      <protection locked="0"/>
    </xf>
    <xf numFmtId="0" fontId="15" fillId="8" borderId="36" xfId="0" applyFont="1" applyFill="1" applyBorder="1" applyAlignment="1" applyProtection="1">
      <alignment horizontal="center" vertical="center"/>
      <protection locked="0"/>
    </xf>
    <xf numFmtId="49" fontId="15" fillId="8" borderId="16" xfId="0" applyNumberFormat="1" applyFont="1" applyFill="1" applyBorder="1" applyAlignment="1" applyProtection="1">
      <alignment horizontal="center" vertical="center"/>
      <protection locked="0"/>
    </xf>
    <xf numFmtId="49" fontId="15" fillId="8" borderId="3" xfId="0" applyNumberFormat="1" applyFont="1" applyFill="1" applyBorder="1" applyAlignment="1" applyProtection="1">
      <alignment horizontal="center" vertical="center"/>
      <protection locked="0"/>
    </xf>
    <xf numFmtId="49" fontId="15" fillId="8" borderId="22" xfId="0" applyNumberFormat="1"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7" fillId="8" borderId="10"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6" xfId="0" applyFont="1" applyFill="1" applyBorder="1" applyAlignment="1" applyProtection="1">
      <alignment horizontal="center" vertical="center"/>
      <protection locked="0"/>
    </xf>
    <xf numFmtId="49" fontId="15" fillId="8" borderId="17" xfId="0" applyNumberFormat="1" applyFont="1" applyFill="1" applyBorder="1" applyAlignment="1" applyProtection="1">
      <alignment horizontal="center" vertical="center"/>
      <protection locked="0"/>
    </xf>
    <xf numFmtId="49" fontId="7" fillId="8" borderId="18" xfId="0" applyNumberFormat="1" applyFont="1" applyFill="1" applyBorder="1" applyAlignment="1" applyProtection="1">
      <alignment horizontal="center" vertical="center" wrapText="1"/>
      <protection locked="0"/>
    </xf>
    <xf numFmtId="49" fontId="7" fillId="8" borderId="5" xfId="0" applyNumberFormat="1" applyFont="1" applyFill="1" applyBorder="1" applyAlignment="1" applyProtection="1">
      <alignment horizontal="center" vertical="center" wrapText="1"/>
      <protection locked="0"/>
    </xf>
    <xf numFmtId="49" fontId="7" fillId="8" borderId="30" xfId="0" applyNumberFormat="1" applyFont="1" applyFill="1" applyBorder="1" applyAlignment="1" applyProtection="1">
      <alignment horizontal="center" vertical="center" wrapText="1"/>
      <protection locked="0"/>
    </xf>
    <xf numFmtId="49" fontId="7" fillId="8" borderId="29" xfId="0" applyNumberFormat="1" applyFont="1" applyFill="1" applyBorder="1" applyAlignment="1" applyProtection="1">
      <alignment horizontal="center" vertical="center" wrapText="1"/>
      <protection locked="0"/>
    </xf>
    <xf numFmtId="49" fontId="7" fillId="8" borderId="10" xfId="0" applyNumberFormat="1" applyFont="1" applyFill="1" applyBorder="1" applyAlignment="1" applyProtection="1">
      <alignment horizontal="center" vertical="center" wrapText="1"/>
      <protection locked="0"/>
    </xf>
    <xf numFmtId="49" fontId="7" fillId="8" borderId="34" xfId="0" applyNumberFormat="1" applyFont="1" applyFill="1" applyBorder="1" applyAlignment="1" applyProtection="1">
      <alignment horizontal="center" vertical="center" wrapText="1"/>
      <protection locked="0"/>
    </xf>
    <xf numFmtId="49" fontId="15" fillId="8" borderId="6" xfId="0" applyNumberFormat="1" applyFont="1" applyFill="1" applyBorder="1" applyAlignment="1" applyProtection="1">
      <alignment horizontal="center" vertical="center"/>
      <protection locked="0"/>
    </xf>
    <xf numFmtId="49" fontId="23" fillId="8" borderId="10" xfId="0" applyNumberFormat="1" applyFont="1" applyFill="1" applyBorder="1" applyAlignment="1" applyProtection="1">
      <alignment horizontal="left" vertical="center" wrapText="1"/>
      <protection locked="0"/>
    </xf>
    <xf numFmtId="49" fontId="23" fillId="8" borderId="20" xfId="0" applyNumberFormat="1" applyFont="1" applyFill="1" applyBorder="1" applyAlignment="1" applyProtection="1">
      <alignment horizontal="left" vertical="center" wrapText="1"/>
      <protection locked="0"/>
    </xf>
    <xf numFmtId="49" fontId="23" fillId="8" borderId="22" xfId="0" applyNumberFormat="1" applyFont="1" applyFill="1" applyBorder="1" applyAlignment="1" applyProtection="1">
      <alignment horizontal="left" vertical="center" wrapText="1"/>
      <protection locked="0"/>
    </xf>
    <xf numFmtId="49" fontId="23" fillId="8" borderId="6" xfId="0" applyNumberFormat="1" applyFont="1" applyFill="1" applyBorder="1" applyAlignment="1" applyProtection="1">
      <alignment horizontal="center" vertical="center" wrapText="1"/>
      <protection locked="0"/>
    </xf>
    <xf numFmtId="49" fontId="15" fillId="0" borderId="31" xfId="0" applyNumberFormat="1" applyFont="1" applyBorder="1" applyAlignment="1">
      <alignment horizontal="left"/>
    </xf>
    <xf numFmtId="49" fontId="15" fillId="0" borderId="6" xfId="0" applyNumberFormat="1" applyFont="1" applyBorder="1" applyAlignment="1">
      <alignment horizontal="left"/>
    </xf>
    <xf numFmtId="49" fontId="24" fillId="8" borderId="29" xfId="0" applyNumberFormat="1" applyFont="1" applyFill="1" applyBorder="1" applyAlignment="1" applyProtection="1">
      <alignment horizontal="left" vertical="center" wrapText="1"/>
      <protection locked="0"/>
    </xf>
    <xf numFmtId="49" fontId="24" fillId="8" borderId="10" xfId="0" applyNumberFormat="1" applyFont="1" applyFill="1" applyBorder="1" applyAlignment="1" applyProtection="1">
      <alignment horizontal="left" vertical="center" wrapText="1"/>
      <protection locked="0"/>
    </xf>
    <xf numFmtId="49" fontId="24" fillId="8" borderId="34" xfId="0" applyNumberFormat="1" applyFont="1" applyFill="1" applyBorder="1" applyAlignment="1" applyProtection="1">
      <alignment horizontal="left" vertical="center" wrapText="1"/>
      <protection locked="0"/>
    </xf>
    <xf numFmtId="49" fontId="7" fillId="8" borderId="5" xfId="0" applyNumberFormat="1" applyFont="1" applyFill="1" applyBorder="1" applyProtection="1">
      <alignment vertical="center"/>
      <protection locked="0"/>
    </xf>
    <xf numFmtId="0" fontId="7" fillId="8" borderId="14" xfId="0" applyFont="1" applyFill="1" applyBorder="1" applyAlignment="1" applyProtection="1">
      <alignment horizontal="center"/>
      <protection locked="0"/>
    </xf>
    <xf numFmtId="49" fontId="23" fillId="8" borderId="5" xfId="0" applyNumberFormat="1" applyFont="1" applyFill="1" applyBorder="1" applyAlignment="1" applyProtection="1">
      <alignment vertical="center" wrapText="1"/>
      <protection locked="0"/>
    </xf>
    <xf numFmtId="49" fontId="23" fillId="8" borderId="20" xfId="0" applyNumberFormat="1" applyFont="1" applyFill="1" applyBorder="1" applyAlignment="1" applyProtection="1">
      <alignment vertical="center" wrapText="1"/>
      <protection locked="0"/>
    </xf>
    <xf numFmtId="49" fontId="23" fillId="8" borderId="36" xfId="0" applyNumberFormat="1" applyFont="1" applyFill="1" applyBorder="1" applyAlignment="1" applyProtection="1">
      <alignment horizontal="left" vertical="center" wrapText="1"/>
      <protection locked="0"/>
    </xf>
    <xf numFmtId="49" fontId="69" fillId="8" borderId="5" xfId="0" applyNumberFormat="1" applyFont="1" applyFill="1" applyBorder="1" applyAlignment="1" applyProtection="1">
      <alignment horizontal="center"/>
      <protection locked="0"/>
    </xf>
    <xf numFmtId="49" fontId="68" fillId="8" borderId="5" xfId="0" applyNumberFormat="1" applyFont="1" applyFill="1" applyBorder="1" applyAlignment="1" applyProtection="1">
      <alignment horizontal="center"/>
      <protection locked="0"/>
    </xf>
    <xf numFmtId="49" fontId="15" fillId="8" borderId="22" xfId="0" applyNumberFormat="1" applyFont="1" applyFill="1" applyBorder="1" applyAlignment="1" applyProtection="1">
      <alignment horizontal="left" vertical="center" wrapText="1"/>
      <protection locked="0"/>
    </xf>
    <xf numFmtId="49" fontId="69" fillId="8" borderId="18" xfId="0" applyNumberFormat="1" applyFont="1" applyFill="1" applyBorder="1" applyAlignment="1" applyProtection="1">
      <alignment horizontal="center" wrapText="1"/>
      <protection locked="0"/>
    </xf>
    <xf numFmtId="49" fontId="7" fillId="8" borderId="6" xfId="0" applyNumberFormat="1" applyFont="1" applyFill="1" applyBorder="1" applyAlignment="1" applyProtection="1">
      <alignment horizontal="center" vertical="center"/>
      <protection locked="0"/>
    </xf>
    <xf numFmtId="0" fontId="7" fillId="8" borderId="29" xfId="0" applyFont="1" applyFill="1" applyBorder="1" applyAlignment="1" applyProtection="1">
      <alignment horizontal="left" vertical="center" wrapText="1"/>
      <protection locked="0"/>
    </xf>
    <xf numFmtId="0" fontId="7" fillId="8" borderId="10" xfId="0" applyFont="1" applyFill="1" applyBorder="1" applyAlignment="1" applyProtection="1">
      <alignment horizontal="left" vertical="center" wrapText="1"/>
      <protection locked="0"/>
    </xf>
    <xf numFmtId="0" fontId="7" fillId="8" borderId="14" xfId="0" applyFont="1" applyFill="1" applyBorder="1" applyAlignment="1" applyProtection="1">
      <alignment horizontal="center" vertical="center"/>
      <protection locked="0"/>
    </xf>
    <xf numFmtId="0" fontId="15" fillId="0" borderId="16" xfId="0" applyFont="1" applyBorder="1" applyAlignment="1">
      <alignment horizontal="center" wrapText="1"/>
    </xf>
    <xf numFmtId="0" fontId="15" fillId="8" borderId="30" xfId="0" applyFont="1" applyFill="1" applyBorder="1" applyAlignment="1" applyProtection="1">
      <alignment horizontal="center" vertical="center"/>
      <protection locked="0"/>
    </xf>
    <xf numFmtId="0" fontId="15" fillId="8" borderId="34" xfId="0" applyFont="1" applyFill="1" applyBorder="1" applyAlignment="1" applyProtection="1">
      <alignment horizontal="center" vertical="center"/>
      <protection locked="0"/>
    </xf>
    <xf numFmtId="0" fontId="15" fillId="8" borderId="19" xfId="0" applyFont="1" applyFill="1" applyBorder="1" applyAlignment="1" applyProtection="1">
      <alignment horizontal="center" vertical="center"/>
      <protection locked="0"/>
    </xf>
    <xf numFmtId="0" fontId="15" fillId="8" borderId="24" xfId="0" applyFont="1" applyFill="1" applyBorder="1" applyAlignment="1" applyProtection="1">
      <alignment horizontal="center" vertical="center"/>
      <protection locked="0"/>
    </xf>
    <xf numFmtId="0" fontId="7" fillId="8" borderId="29" xfId="0" applyFont="1" applyFill="1" applyBorder="1" applyAlignment="1" applyProtection="1">
      <alignment horizontal="center" vertical="center"/>
      <protection locked="0"/>
    </xf>
    <xf numFmtId="49" fontId="7" fillId="8" borderId="14" xfId="0" applyNumberFormat="1" applyFont="1" applyFill="1" applyBorder="1" applyAlignment="1" applyProtection="1">
      <alignment horizontal="center" vertical="center" wrapText="1"/>
      <protection locked="0"/>
    </xf>
    <xf numFmtId="49" fontId="7" fillId="8" borderId="0" xfId="0" applyNumberFormat="1"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16" xfId="0" applyNumberFormat="1" applyFont="1" applyFill="1" applyBorder="1" applyAlignment="1" applyProtection="1">
      <alignment horizontal="center" vertical="center" wrapText="1"/>
      <protection locked="0"/>
    </xf>
    <xf numFmtId="49" fontId="7" fillId="8" borderId="3" xfId="0" applyNumberFormat="1" applyFont="1" applyFill="1" applyBorder="1" applyAlignment="1" applyProtection="1">
      <alignment horizontal="center" vertical="center" wrapText="1"/>
      <protection locked="0"/>
    </xf>
    <xf numFmtId="49" fontId="7" fillId="8" borderId="17" xfId="0" applyNumberFormat="1" applyFont="1" applyFill="1" applyBorder="1" applyAlignment="1" applyProtection="1">
      <alignment horizontal="center" vertical="center" wrapText="1"/>
      <protection locked="0"/>
    </xf>
    <xf numFmtId="0" fontId="7" fillId="8" borderId="29" xfId="0" applyFont="1" applyFill="1" applyBorder="1" applyAlignment="1" applyProtection="1">
      <alignment horizontal="center" vertical="center" wrapText="1"/>
      <protection locked="0"/>
    </xf>
    <xf numFmtId="0" fontId="7" fillId="8" borderId="10" xfId="0" applyFont="1" applyFill="1" applyBorder="1" applyAlignment="1" applyProtection="1">
      <alignment horizontal="center" vertical="center" wrapText="1"/>
      <protection locked="0"/>
    </xf>
    <xf numFmtId="0" fontId="7" fillId="8" borderId="34" xfId="0" applyFont="1" applyFill="1" applyBorder="1" applyAlignment="1" applyProtection="1">
      <alignment horizontal="center" vertical="center" wrapText="1"/>
      <protection locked="0"/>
    </xf>
    <xf numFmtId="0" fontId="15" fillId="0" borderId="18" xfId="0" applyFont="1" applyBorder="1" applyAlignment="1">
      <alignment horizontal="center" wrapText="1"/>
    </xf>
    <xf numFmtId="0" fontId="76" fillId="8" borderId="0" xfId="0" applyFont="1" applyFill="1" applyBorder="1" applyAlignment="1" applyProtection="1">
      <alignment horizontal="center" vertical="center" shrinkToFit="1"/>
      <protection locked="0"/>
    </xf>
    <xf numFmtId="0" fontId="76" fillId="8" borderId="0" xfId="0" applyFont="1" applyFill="1" applyBorder="1" applyProtection="1">
      <alignment vertical="center"/>
      <protection locked="0"/>
    </xf>
    <xf numFmtId="0" fontId="7" fillId="8" borderId="0" xfId="0" applyFont="1" applyFill="1" applyBorder="1" applyAlignment="1" applyProtection="1">
      <alignment horizontal="center" vertical="center" shrinkToFit="1"/>
      <protection locked="0"/>
    </xf>
    <xf numFmtId="49" fontId="0" fillId="8" borderId="5" xfId="0" applyNumberFormat="1" applyFill="1" applyBorder="1" applyAlignment="1" applyProtection="1">
      <alignment horizontal="center" vertical="center"/>
      <protection locked="0"/>
    </xf>
    <xf numFmtId="49" fontId="0" fillId="8" borderId="5" xfId="0" applyNumberFormat="1" applyFont="1" applyFill="1" applyBorder="1" applyAlignment="1" applyProtection="1">
      <alignment horizontal="center" vertical="center"/>
      <protection locked="0"/>
    </xf>
    <xf numFmtId="49" fontId="0" fillId="8" borderId="3" xfId="0" applyNumberFormat="1" applyFont="1" applyFill="1" applyBorder="1" applyAlignment="1" applyProtection="1">
      <alignment horizontal="center" vertical="center"/>
      <protection locked="0"/>
    </xf>
    <xf numFmtId="0" fontId="15" fillId="0" borderId="33" xfId="0" applyFont="1" applyBorder="1" applyAlignment="1">
      <alignment horizontal="center"/>
    </xf>
    <xf numFmtId="0" fontId="7" fillId="0" borderId="39" xfId="0" applyFont="1" applyBorder="1" applyAlignment="1">
      <alignment horizontal="center"/>
    </xf>
    <xf numFmtId="0" fontId="7" fillId="0" borderId="67" xfId="0" applyFont="1" applyBorder="1" applyAlignment="1">
      <alignment horizontal="center"/>
    </xf>
    <xf numFmtId="0" fontId="7" fillId="0" borderId="62" xfId="0" applyFont="1" applyBorder="1" applyAlignment="1">
      <alignment horizontal="center"/>
    </xf>
    <xf numFmtId="0" fontId="7" fillId="0" borderId="68" xfId="0" applyFont="1" applyBorder="1" applyAlignment="1">
      <alignment horizontal="center"/>
    </xf>
    <xf numFmtId="49" fontId="6" fillId="8" borderId="5" xfId="0" applyNumberFormat="1" applyFont="1" applyFill="1" applyBorder="1" applyAlignment="1" applyProtection="1">
      <alignment horizontal="left" vertical="center" wrapText="1"/>
      <protection locked="0"/>
    </xf>
    <xf numFmtId="49" fontId="6" fillId="8" borderId="3" xfId="0" applyNumberFormat="1" applyFont="1" applyFill="1" applyBorder="1" applyAlignment="1" applyProtection="1">
      <alignment horizontal="left" vertical="center" wrapText="1"/>
      <protection locked="0"/>
    </xf>
    <xf numFmtId="0" fontId="12" fillId="0" borderId="37" xfId="0" applyFont="1" applyBorder="1" applyAlignment="1">
      <alignment horizontal="center" vertical="center" wrapText="1"/>
    </xf>
    <xf numFmtId="0" fontId="15" fillId="0" borderId="0" xfId="0" applyFont="1" applyAlignment="1">
      <alignment horizontal="center" vertical="center" wrapText="1"/>
    </xf>
    <xf numFmtId="0" fontId="15" fillId="0" borderId="0" xfId="0" applyFont="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7" fillId="0" borderId="0" xfId="0" applyFont="1" applyAlignment="1">
      <alignment horizontal="center" vertical="center"/>
    </xf>
    <xf numFmtId="0" fontId="14" fillId="0" borderId="0" xfId="0" applyFont="1" applyAlignment="1">
      <alignment horizontal="center" vertical="center"/>
    </xf>
    <xf numFmtId="0" fontId="16" fillId="0" borderId="0" xfId="0" applyFont="1" applyBorder="1" applyAlignment="1">
      <alignment horizontal="center" vertical="center"/>
    </xf>
    <xf numFmtId="0" fontId="18" fillId="0" borderId="0" xfId="0" applyFont="1" applyAlignment="1">
      <alignment horizontal="right" vertical="center"/>
    </xf>
    <xf numFmtId="0" fontId="9" fillId="0" borderId="0" xfId="0" applyFont="1" applyBorder="1" applyAlignment="1">
      <alignment horizontal="right" vertical="center"/>
    </xf>
    <xf numFmtId="0" fontId="15" fillId="8" borderId="19" xfId="0" applyFont="1" applyFill="1" applyBorder="1" applyAlignment="1" applyProtection="1">
      <alignment horizontal="center" wrapText="1"/>
      <protection locked="0"/>
    </xf>
    <xf numFmtId="0" fontId="15" fillId="8" borderId="5" xfId="0" applyFont="1" applyFill="1" applyBorder="1" applyAlignment="1" applyProtection="1">
      <alignment horizontal="center" wrapText="1"/>
      <protection locked="0"/>
    </xf>
    <xf numFmtId="0" fontId="15" fillId="8" borderId="30" xfId="0" applyFont="1" applyFill="1" applyBorder="1" applyAlignment="1" applyProtection="1">
      <alignment horizontal="center" wrapText="1"/>
      <protection locked="0"/>
    </xf>
    <xf numFmtId="0" fontId="15" fillId="8" borderId="21" xfId="0" applyFont="1" applyFill="1" applyBorder="1" applyAlignment="1" applyProtection="1">
      <alignment horizontal="center" wrapText="1"/>
      <protection locked="0"/>
    </xf>
    <xf numFmtId="0" fontId="15" fillId="8" borderId="3" xfId="0" applyFont="1" applyFill="1" applyBorder="1" applyAlignment="1" applyProtection="1">
      <alignment horizontal="center" wrapText="1"/>
      <protection locked="0"/>
    </xf>
    <xf numFmtId="0" fontId="15" fillId="8" borderId="17" xfId="0" applyFont="1" applyFill="1" applyBorder="1" applyAlignment="1" applyProtection="1">
      <alignment horizontal="center" wrapText="1"/>
      <protection locked="0"/>
    </xf>
    <xf numFmtId="0" fontId="4" fillId="3" borderId="0" xfId="0" applyFont="1" applyFill="1" applyBorder="1" applyAlignment="1">
      <alignment horizontal="center" vertical="center"/>
    </xf>
    <xf numFmtId="0" fontId="59" fillId="8" borderId="31" xfId="0" applyNumberFormat="1" applyFont="1" applyFill="1" applyBorder="1" applyAlignment="1" applyProtection="1">
      <alignment horizontal="left" vertical="center" wrapText="1"/>
      <protection locked="0"/>
    </xf>
    <xf numFmtId="0" fontId="59" fillId="8" borderId="6" xfId="0" applyNumberFormat="1" applyFont="1" applyFill="1" applyBorder="1" applyAlignment="1" applyProtection="1">
      <alignment horizontal="left" vertical="center" wrapText="1"/>
      <protection locked="0"/>
    </xf>
    <xf numFmtId="0" fontId="59" fillId="8" borderId="33" xfId="0" applyNumberFormat="1" applyFont="1" applyFill="1" applyBorder="1" applyAlignment="1" applyProtection="1">
      <alignment horizontal="left" vertical="center" wrapText="1"/>
      <protection locked="0"/>
    </xf>
    <xf numFmtId="0" fontId="59" fillId="8" borderId="9" xfId="0" applyNumberFormat="1" applyFont="1" applyFill="1" applyBorder="1" applyAlignment="1" applyProtection="1">
      <alignment horizontal="left" vertical="center" wrapText="1"/>
      <protection locked="0"/>
    </xf>
    <xf numFmtId="0" fontId="59" fillId="8" borderId="0" xfId="0" applyNumberFormat="1" applyFont="1" applyFill="1" applyBorder="1" applyAlignment="1" applyProtection="1">
      <alignment horizontal="left" vertical="center" wrapText="1"/>
      <protection locked="0"/>
    </xf>
    <xf numFmtId="0" fontId="59" fillId="8" borderId="4" xfId="0" applyNumberFormat="1" applyFont="1" applyFill="1" applyBorder="1" applyAlignment="1" applyProtection="1">
      <alignment horizontal="left" vertical="center" wrapText="1"/>
      <protection locked="0"/>
    </xf>
    <xf numFmtId="0" fontId="59" fillId="8" borderId="24" xfId="0" applyNumberFormat="1" applyFont="1" applyFill="1" applyBorder="1" applyAlignment="1" applyProtection="1">
      <alignment horizontal="left" vertical="center" wrapText="1"/>
      <protection locked="0"/>
    </xf>
    <xf numFmtId="0" fontId="59" fillId="8" borderId="10" xfId="0" applyNumberFormat="1" applyFont="1" applyFill="1" applyBorder="1" applyAlignment="1" applyProtection="1">
      <alignment horizontal="left" vertical="center" wrapText="1"/>
      <protection locked="0"/>
    </xf>
    <xf numFmtId="0" fontId="59" fillId="8" borderId="36" xfId="0" applyNumberFormat="1" applyFont="1" applyFill="1" applyBorder="1" applyAlignment="1" applyProtection="1">
      <alignment horizontal="left" vertical="center" wrapText="1"/>
      <protection locked="0"/>
    </xf>
    <xf numFmtId="0" fontId="59" fillId="3" borderId="31" xfId="0" applyFont="1" applyFill="1" applyBorder="1" applyAlignment="1" applyProtection="1">
      <alignment horizontal="center" vertical="center"/>
      <protection locked="0"/>
    </xf>
    <xf numFmtId="0" fontId="59" fillId="3" borderId="6" xfId="0" applyFont="1" applyFill="1" applyBorder="1" applyAlignment="1" applyProtection="1">
      <alignment horizontal="center" vertical="center"/>
      <protection locked="0"/>
    </xf>
    <xf numFmtId="0" fontId="59" fillId="3" borderId="33" xfId="0" applyFont="1" applyFill="1" applyBorder="1" applyAlignment="1" applyProtection="1">
      <alignment horizontal="center" vertical="center"/>
      <protection locked="0"/>
    </xf>
    <xf numFmtId="0" fontId="59" fillId="3" borderId="9" xfId="0" applyFont="1" applyFill="1" applyBorder="1" applyAlignment="1" applyProtection="1">
      <alignment horizontal="center" vertical="center"/>
      <protection locked="0"/>
    </xf>
    <xf numFmtId="0" fontId="59" fillId="3" borderId="0" xfId="0" applyFont="1" applyFill="1" applyBorder="1" applyAlignment="1" applyProtection="1">
      <alignment horizontal="center" vertical="center"/>
      <protection locked="0"/>
    </xf>
    <xf numFmtId="0" fontId="59" fillId="3" borderId="4" xfId="0" applyFont="1" applyFill="1" applyBorder="1" applyAlignment="1" applyProtection="1">
      <alignment horizontal="center" vertical="center"/>
      <protection locked="0"/>
    </xf>
    <xf numFmtId="0" fontId="59" fillId="3" borderId="24" xfId="0" applyFont="1" applyFill="1" applyBorder="1" applyAlignment="1" applyProtection="1">
      <alignment horizontal="center" vertical="center"/>
      <protection locked="0"/>
    </xf>
    <xf numFmtId="0" fontId="59" fillId="3" borderId="10" xfId="0" applyFont="1" applyFill="1" applyBorder="1" applyAlignment="1" applyProtection="1">
      <alignment horizontal="center" vertical="center"/>
      <protection locked="0"/>
    </xf>
    <xf numFmtId="0" fontId="59" fillId="3" borderId="36" xfId="0" applyFont="1" applyFill="1" applyBorder="1" applyAlignment="1" applyProtection="1">
      <alignment horizontal="center" vertical="center"/>
      <protection locked="0"/>
    </xf>
    <xf numFmtId="0" fontId="15" fillId="0" borderId="0" xfId="0" applyNumberFormat="1" applyFont="1" applyBorder="1" applyAlignment="1">
      <alignment horizontal="center"/>
    </xf>
    <xf numFmtId="0" fontId="15" fillId="0" borderId="0" xfId="0" applyNumberFormat="1" applyFont="1" applyBorder="1" applyAlignment="1">
      <alignment horizontal="center" vertical="center" wrapText="1"/>
    </xf>
    <xf numFmtId="0" fontId="16" fillId="3" borderId="11" xfId="0" applyFont="1" applyFill="1" applyBorder="1" applyAlignment="1">
      <alignment horizontal="center" vertical="center"/>
    </xf>
    <xf numFmtId="0" fontId="16" fillId="3" borderId="12" xfId="0" applyFont="1" applyFill="1" applyBorder="1" applyAlignment="1">
      <alignment horizontal="center" vertical="center"/>
    </xf>
    <xf numFmtId="0" fontId="50" fillId="3" borderId="12" xfId="0" applyFont="1" applyFill="1" applyBorder="1" applyAlignment="1">
      <alignment horizontal="center" vertical="center" shrinkToFit="1"/>
    </xf>
    <xf numFmtId="0" fontId="50" fillId="3" borderId="13" xfId="0" applyFont="1" applyFill="1" applyBorder="1" applyAlignment="1">
      <alignment horizontal="center" vertical="center" shrinkToFit="1"/>
    </xf>
    <xf numFmtId="0" fontId="59" fillId="3" borderId="31" xfId="0" applyNumberFormat="1" applyFont="1" applyFill="1" applyBorder="1" applyAlignment="1" applyProtection="1">
      <alignment horizontal="left" vertical="center" wrapText="1"/>
      <protection locked="0"/>
    </xf>
    <xf numFmtId="0" fontId="59" fillId="3" borderId="6" xfId="0" applyNumberFormat="1" applyFont="1" applyFill="1" applyBorder="1" applyAlignment="1" applyProtection="1">
      <alignment horizontal="left" vertical="center" wrapText="1"/>
      <protection locked="0"/>
    </xf>
    <xf numFmtId="0" fontId="59" fillId="3" borderId="33" xfId="0" applyNumberFormat="1" applyFont="1" applyFill="1" applyBorder="1" applyAlignment="1" applyProtection="1">
      <alignment horizontal="left" vertical="center" wrapText="1"/>
      <protection locked="0"/>
    </xf>
    <xf numFmtId="0" fontId="59" fillId="3" borderId="9" xfId="0" applyNumberFormat="1" applyFont="1" applyFill="1" applyBorder="1" applyAlignment="1" applyProtection="1">
      <alignment horizontal="left" vertical="center" wrapText="1"/>
      <protection locked="0"/>
    </xf>
    <xf numFmtId="0" fontId="59" fillId="3" borderId="0" xfId="0" applyNumberFormat="1" applyFont="1" applyFill="1" applyBorder="1" applyAlignment="1" applyProtection="1">
      <alignment horizontal="left" vertical="center" wrapText="1"/>
      <protection locked="0"/>
    </xf>
    <xf numFmtId="0" fontId="59" fillId="3" borderId="4" xfId="0" applyNumberFormat="1" applyFont="1" applyFill="1" applyBorder="1" applyAlignment="1" applyProtection="1">
      <alignment horizontal="left" vertical="center" wrapText="1"/>
      <protection locked="0"/>
    </xf>
    <xf numFmtId="0" fontId="59" fillId="3" borderId="24" xfId="0" applyNumberFormat="1" applyFont="1" applyFill="1" applyBorder="1" applyAlignment="1" applyProtection="1">
      <alignment horizontal="left" vertical="center" wrapText="1"/>
      <protection locked="0"/>
    </xf>
    <xf numFmtId="0" fontId="59" fillId="3" borderId="10" xfId="0" applyNumberFormat="1" applyFont="1" applyFill="1" applyBorder="1" applyAlignment="1" applyProtection="1">
      <alignment horizontal="left" vertical="center" wrapText="1"/>
      <protection locked="0"/>
    </xf>
    <xf numFmtId="0" fontId="59" fillId="3" borderId="36" xfId="0" applyNumberFormat="1" applyFont="1" applyFill="1" applyBorder="1" applyAlignment="1" applyProtection="1">
      <alignment horizontal="left" vertical="center" wrapText="1"/>
      <protection locked="0"/>
    </xf>
    <xf numFmtId="0" fontId="0" fillId="0" borderId="31" xfId="0" applyNumberFormat="1" applyFont="1" applyBorder="1" applyAlignment="1">
      <alignment horizontal="left" vertical="top" wrapText="1"/>
    </xf>
    <xf numFmtId="0" fontId="0" fillId="0" borderId="6" xfId="0" applyNumberFormat="1" applyFont="1" applyBorder="1" applyAlignment="1">
      <alignment horizontal="left" vertical="top" wrapText="1"/>
    </xf>
    <xf numFmtId="0" fontId="0" fillId="0" borderId="33" xfId="0" applyNumberFormat="1" applyFont="1" applyBorder="1" applyAlignment="1">
      <alignment horizontal="left" vertical="top" wrapText="1"/>
    </xf>
    <xf numFmtId="0" fontId="0" fillId="0" borderId="9" xfId="0" applyNumberFormat="1" applyFont="1" applyBorder="1" applyAlignment="1">
      <alignment horizontal="left" vertical="top" wrapText="1"/>
    </xf>
    <xf numFmtId="0" fontId="0" fillId="0" borderId="0" xfId="0" applyNumberFormat="1" applyFont="1" applyBorder="1" applyAlignment="1">
      <alignment horizontal="left" vertical="top" wrapText="1"/>
    </xf>
    <xf numFmtId="0" fontId="0" fillId="0" borderId="4" xfId="0" applyNumberFormat="1" applyFont="1" applyBorder="1" applyAlignment="1">
      <alignment horizontal="left" vertical="top" wrapText="1"/>
    </xf>
    <xf numFmtId="0" fontId="0" fillId="0" borderId="24" xfId="0" applyNumberFormat="1" applyFont="1" applyBorder="1" applyAlignment="1">
      <alignment horizontal="left" vertical="top" wrapText="1"/>
    </xf>
    <xf numFmtId="0" fontId="0" fillId="0" borderId="10" xfId="0" applyNumberFormat="1" applyFont="1" applyBorder="1" applyAlignment="1">
      <alignment horizontal="left" vertical="top" wrapText="1"/>
    </xf>
    <xf numFmtId="0" fontId="0" fillId="0" borderId="36" xfId="0" applyNumberFormat="1" applyFont="1" applyBorder="1" applyAlignment="1">
      <alignment horizontal="left" vertical="top" wrapText="1"/>
    </xf>
    <xf numFmtId="0" fontId="0" fillId="0" borderId="31" xfId="0" applyNumberFormat="1" applyBorder="1" applyAlignment="1">
      <alignment horizontal="left" vertical="top" wrapText="1"/>
    </xf>
    <xf numFmtId="0" fontId="17" fillId="0" borderId="0" xfId="0" applyFont="1" applyAlignment="1" applyProtection="1">
      <alignment horizontal="center"/>
    </xf>
    <xf numFmtId="0" fontId="3" fillId="0" borderId="0" xfId="0" applyFont="1" applyAlignment="1" applyProtection="1">
      <alignment horizontal="center"/>
    </xf>
    <xf numFmtId="0" fontId="59" fillId="0" borderId="0" xfId="0" applyFont="1" applyBorder="1" applyAlignment="1" applyProtection="1">
      <alignment horizontal="center" vertical="center" shrinkToFit="1"/>
    </xf>
    <xf numFmtId="0" fontId="59" fillId="0" borderId="3" xfId="0" applyFont="1" applyBorder="1" applyAlignment="1" applyProtection="1">
      <alignment horizontal="center" vertical="center" shrinkToFit="1"/>
    </xf>
    <xf numFmtId="0" fontId="7" fillId="0" borderId="16" xfId="0" applyFont="1" applyBorder="1" applyAlignment="1" applyProtection="1">
      <alignment horizontal="left"/>
    </xf>
    <xf numFmtId="0" fontId="7" fillId="0" borderId="3" xfId="0" applyFont="1" applyBorder="1" applyAlignment="1" applyProtection="1">
      <alignment horizontal="left"/>
    </xf>
    <xf numFmtId="0" fontId="7" fillId="0" borderId="21" xfId="0" applyFont="1" applyBorder="1" applyAlignment="1" applyProtection="1">
      <alignment horizontal="left" shrinkToFit="1"/>
    </xf>
    <xf numFmtId="0" fontId="7" fillId="0" borderId="3" xfId="0" applyFont="1" applyBorder="1" applyAlignment="1" applyProtection="1">
      <alignment horizontal="left" shrinkToFit="1"/>
    </xf>
    <xf numFmtId="0" fontId="59" fillId="0" borderId="15" xfId="0" applyFont="1" applyBorder="1" applyAlignment="1" applyProtection="1">
      <alignment horizontal="center" vertical="center" shrinkToFit="1"/>
    </xf>
    <xf numFmtId="0" fontId="59" fillId="0" borderId="17" xfId="0" applyFont="1" applyBorder="1" applyAlignment="1" applyProtection="1">
      <alignment horizontal="center" vertical="center" shrinkToFit="1"/>
    </xf>
    <xf numFmtId="0" fontId="59" fillId="0" borderId="5" xfId="0" applyFont="1" applyBorder="1" applyAlignment="1" applyProtection="1">
      <alignment horizontal="center" vertical="center" shrinkToFit="1"/>
    </xf>
    <xf numFmtId="0" fontId="59" fillId="0" borderId="20" xfId="0" applyFont="1" applyBorder="1" applyAlignment="1" applyProtection="1">
      <alignment horizontal="center" vertical="center" shrinkToFit="1"/>
    </xf>
    <xf numFmtId="0" fontId="59" fillId="0" borderId="22" xfId="0" applyFont="1" applyBorder="1" applyAlignment="1" applyProtection="1">
      <alignment horizontal="center" vertical="center" shrinkToFit="1"/>
    </xf>
    <xf numFmtId="0" fontId="7" fillId="0" borderId="19" xfId="0" applyFont="1" applyBorder="1" applyAlignment="1" applyProtection="1">
      <alignment horizontal="left"/>
    </xf>
    <xf numFmtId="0" fontId="7" fillId="0" borderId="5" xfId="0" applyFont="1" applyBorder="1" applyAlignment="1" applyProtection="1">
      <alignment horizontal="left"/>
    </xf>
    <xf numFmtId="0" fontId="7" fillId="0" borderId="21" xfId="0" applyFont="1" applyBorder="1" applyAlignment="1" applyProtection="1">
      <alignment horizontal="left"/>
    </xf>
    <xf numFmtId="0" fontId="7" fillId="0" borderId="18" xfId="0" applyFont="1" applyBorder="1" applyAlignment="1" applyProtection="1">
      <alignment horizontal="left"/>
    </xf>
    <xf numFmtId="0" fontId="19" fillId="0" borderId="0" xfId="5" applyFont="1" applyBorder="1" applyAlignment="1" applyProtection="1">
      <alignment horizontal="center" vertical="center"/>
      <protection locked="0"/>
    </xf>
    <xf numFmtId="0" fontId="19" fillId="0" borderId="3" xfId="5" applyFont="1" applyBorder="1" applyAlignment="1" applyProtection="1">
      <alignment horizontal="center" vertical="center"/>
      <protection locked="0"/>
    </xf>
    <xf numFmtId="0" fontId="27" fillId="0" borderId="0" xfId="5" applyNumberFormat="1" applyFont="1" applyBorder="1" applyAlignment="1" applyProtection="1">
      <alignment horizontal="center" vertical="center"/>
    </xf>
    <xf numFmtId="0" fontId="10" fillId="0" borderId="0" xfId="5" applyFont="1" applyBorder="1" applyAlignment="1" applyProtection="1">
      <alignment horizontal="left" vertical="top" wrapText="1"/>
    </xf>
    <xf numFmtId="0" fontId="10" fillId="0" borderId="0" xfId="5" applyFont="1" applyBorder="1" applyAlignment="1" applyProtection="1">
      <alignment horizontal="center" vertical="center"/>
    </xf>
    <xf numFmtId="0" fontId="60" fillId="0" borderId="0" xfId="5" applyFont="1" applyBorder="1" applyAlignment="1" applyProtection="1">
      <alignment horizontal="center" vertical="center"/>
    </xf>
    <xf numFmtId="0" fontId="32" fillId="0" borderId="3" xfId="5" applyFont="1" applyBorder="1" applyAlignment="1" applyProtection="1">
      <alignment horizontal="center" vertical="center"/>
    </xf>
    <xf numFmtId="0" fontId="28" fillId="0" borderId="0" xfId="5" applyFont="1" applyBorder="1" applyAlignment="1" applyProtection="1">
      <alignment horizontal="center" vertical="center"/>
    </xf>
    <xf numFmtId="0" fontId="28" fillId="0" borderId="3" xfId="5" applyFont="1" applyBorder="1" applyAlignment="1" applyProtection="1">
      <alignment horizontal="center" vertical="center"/>
    </xf>
    <xf numFmtId="0" fontId="19" fillId="0" borderId="0" xfId="5" applyFont="1" applyBorder="1" applyAlignment="1" applyProtection="1">
      <alignment horizontal="left" vertical="center" wrapText="1"/>
      <protection locked="0"/>
    </xf>
    <xf numFmtId="0" fontId="19" fillId="0" borderId="3" xfId="5" applyFont="1" applyBorder="1" applyAlignment="1" applyProtection="1">
      <alignment horizontal="left" vertical="center" wrapText="1"/>
      <protection locked="0"/>
    </xf>
    <xf numFmtId="0" fontId="19" fillId="0" borderId="0" xfId="5" applyFont="1" applyBorder="1" applyAlignment="1" applyProtection="1">
      <alignment horizontal="center" vertical="center" wrapText="1"/>
      <protection locked="0"/>
    </xf>
    <xf numFmtId="0" fontId="19" fillId="0" borderId="0" xfId="5" applyFont="1" applyBorder="1" applyAlignment="1" applyProtection="1">
      <alignment horizontal="center" vertical="center"/>
    </xf>
    <xf numFmtId="0" fontId="2" fillId="0" borderId="0" xfId="6" applyAlignment="1">
      <alignment horizontal="center" vertical="center"/>
    </xf>
    <xf numFmtId="0" fontId="2" fillId="0" borderId="10" xfId="6" applyBorder="1" applyAlignment="1">
      <alignment horizontal="center" vertical="center"/>
    </xf>
    <xf numFmtId="0" fontId="19" fillId="8" borderId="0" xfId="5" applyFont="1" applyFill="1" applyBorder="1" applyAlignment="1" applyProtection="1">
      <alignment horizontal="distributed" vertical="center"/>
    </xf>
    <xf numFmtId="0" fontId="32" fillId="0" borderId="0" xfId="5" applyFont="1" applyBorder="1" applyAlignment="1" applyProtection="1">
      <alignment horizontal="center" vertical="center"/>
    </xf>
    <xf numFmtId="0" fontId="31" fillId="0" borderId="0" xfId="5" applyFont="1" applyBorder="1" applyAlignment="1" applyProtection="1">
      <alignment horizontal="left" vertical="center" wrapText="1"/>
    </xf>
    <xf numFmtId="0" fontId="2" fillId="0" borderId="0" xfId="6" applyBorder="1" applyAlignment="1">
      <alignment horizontal="center" vertical="center"/>
    </xf>
    <xf numFmtId="0" fontId="2" fillId="0" borderId="3" xfId="6" applyBorder="1" applyAlignment="1">
      <alignment horizontal="center" vertical="center"/>
    </xf>
    <xf numFmtId="0" fontId="19" fillId="0" borderId="0" xfId="5" applyFont="1" applyBorder="1" applyAlignment="1" applyProtection="1">
      <alignment horizontal="right" vertical="center"/>
      <protection locked="0"/>
    </xf>
    <xf numFmtId="0" fontId="19" fillId="0" borderId="3" xfId="5" applyFont="1" applyBorder="1" applyAlignment="1" applyProtection="1">
      <alignment horizontal="right" vertical="center"/>
      <protection locked="0"/>
    </xf>
    <xf numFmtId="0" fontId="19" fillId="0" borderId="0" xfId="5" applyFont="1" applyBorder="1" applyAlignment="1" applyProtection="1">
      <alignment horizontal="distributed" vertical="center"/>
    </xf>
    <xf numFmtId="0" fontId="19" fillId="8" borderId="0" xfId="5" applyFont="1" applyFill="1" applyBorder="1" applyAlignment="1" applyProtection="1">
      <alignment horizontal="center" vertical="center"/>
      <protection locked="0"/>
    </xf>
    <xf numFmtId="0" fontId="19" fillId="8" borderId="3" xfId="5" applyFont="1" applyFill="1" applyBorder="1" applyAlignment="1" applyProtection="1">
      <alignment horizontal="center" vertical="center"/>
      <protection locked="0"/>
    </xf>
    <xf numFmtId="14" fontId="19" fillId="0" borderId="0" xfId="5" quotePrefix="1" applyNumberFormat="1" applyFont="1" applyBorder="1" applyAlignment="1" applyProtection="1">
      <alignment horizontal="center" vertical="center"/>
      <protection locked="0"/>
    </xf>
    <xf numFmtId="0" fontId="32" fillId="0" borderId="0" xfId="5" applyFont="1" applyBorder="1" applyAlignment="1" applyProtection="1">
      <alignment horizontal="right" vertical="center" shrinkToFit="1"/>
    </xf>
    <xf numFmtId="0" fontId="19" fillId="0" borderId="0" xfId="5" applyFont="1" applyBorder="1" applyAlignment="1" applyProtection="1">
      <alignment horizontal="center" vertical="center" shrinkToFit="1"/>
      <protection locked="0"/>
    </xf>
    <xf numFmtId="0" fontId="19" fillId="0" borderId="3" xfId="5" applyFont="1" applyBorder="1" applyAlignment="1" applyProtection="1">
      <alignment horizontal="center" vertical="center" shrinkToFit="1"/>
      <protection locked="0"/>
    </xf>
    <xf numFmtId="0" fontId="32" fillId="0" borderId="0" xfId="5" applyFont="1" applyBorder="1" applyAlignment="1" applyProtection="1">
      <alignment horizontal="left" vertical="center" shrinkToFit="1"/>
    </xf>
    <xf numFmtId="0" fontId="3" fillId="0" borderId="0" xfId="5" applyBorder="1" applyAlignment="1" applyProtection="1">
      <alignment horizontal="distributed" vertical="center"/>
    </xf>
    <xf numFmtId="0" fontId="32" fillId="0" borderId="0" xfId="5" applyFont="1" applyBorder="1" applyAlignment="1" applyProtection="1">
      <alignment horizontal="distributed" vertical="center"/>
    </xf>
    <xf numFmtId="0" fontId="16" fillId="0" borderId="18" xfId="5" applyFont="1" applyBorder="1" applyAlignment="1" applyProtection="1">
      <alignment horizontal="center" vertical="center" wrapText="1"/>
    </xf>
    <xf numFmtId="0" fontId="16" fillId="0" borderId="5" xfId="5" applyFont="1" applyBorder="1" applyAlignment="1" applyProtection="1">
      <alignment horizontal="center" vertical="center" wrapText="1"/>
    </xf>
    <xf numFmtId="0" fontId="16" fillId="0" borderId="30" xfId="5" applyFont="1" applyBorder="1" applyAlignment="1" applyProtection="1">
      <alignment horizontal="center" vertical="center" wrapText="1"/>
    </xf>
    <xf numFmtId="0" fontId="27" fillId="0" borderId="16" xfId="5" applyFont="1" applyBorder="1" applyAlignment="1" applyProtection="1">
      <alignment horizontal="center" vertical="center"/>
    </xf>
    <xf numFmtId="0" fontId="27" fillId="0" borderId="3" xfId="5" applyFont="1" applyBorder="1" applyAlignment="1" applyProtection="1">
      <alignment horizontal="center" vertical="center"/>
    </xf>
    <xf numFmtId="0" fontId="27" fillId="0" borderId="17" xfId="5" applyFont="1" applyBorder="1" applyAlignment="1" applyProtection="1">
      <alignment horizontal="center" vertical="center"/>
    </xf>
    <xf numFmtId="0" fontId="38" fillId="0" borderId="16" xfId="5" applyFont="1" applyBorder="1" applyAlignment="1" applyProtection="1">
      <alignment horizontal="center" vertical="center" wrapText="1"/>
    </xf>
    <xf numFmtId="0" fontId="38" fillId="0" borderId="3" xfId="5" applyFont="1" applyBorder="1" applyAlignment="1" applyProtection="1">
      <alignment horizontal="center" vertical="center" wrapText="1"/>
    </xf>
    <xf numFmtId="0" fontId="38" fillId="0" borderId="17" xfId="5" applyFont="1" applyBorder="1" applyAlignment="1" applyProtection="1">
      <alignment horizontal="center" vertical="center" wrapText="1"/>
    </xf>
    <xf numFmtId="0" fontId="39" fillId="0" borderId="16" xfId="5" applyFont="1" applyBorder="1" applyAlignment="1" applyProtection="1">
      <alignment horizontal="center" vertical="center" wrapText="1"/>
    </xf>
    <xf numFmtId="0" fontId="39" fillId="0" borderId="3" xfId="5" applyFont="1" applyBorder="1" applyAlignment="1" applyProtection="1">
      <alignment horizontal="center" vertical="center" wrapText="1"/>
    </xf>
    <xf numFmtId="0" fontId="39" fillId="0" borderId="17" xfId="5" applyFont="1" applyBorder="1" applyAlignment="1" applyProtection="1">
      <alignment horizontal="center" vertical="center" wrapText="1"/>
    </xf>
    <xf numFmtId="0" fontId="19" fillId="0" borderId="18" xfId="5" applyFont="1" applyBorder="1" applyAlignment="1" applyProtection="1">
      <alignment horizontal="center" vertical="center"/>
    </xf>
    <xf numFmtId="0" fontId="19" fillId="0" borderId="5" xfId="5" applyFont="1" applyBorder="1" applyAlignment="1" applyProtection="1">
      <alignment horizontal="center" vertical="center"/>
    </xf>
    <xf numFmtId="0" fontId="19" fillId="0" borderId="30" xfId="5" applyFont="1" applyBorder="1" applyAlignment="1" applyProtection="1">
      <alignment horizontal="center" vertical="center"/>
    </xf>
    <xf numFmtId="0" fontId="10" fillId="0" borderId="18" xfId="5" applyFont="1" applyBorder="1" applyAlignment="1" applyProtection="1">
      <alignment horizontal="center" vertical="center"/>
    </xf>
    <xf numFmtId="0" fontId="10" fillId="0" borderId="5" xfId="5" applyFont="1" applyBorder="1" applyAlignment="1" applyProtection="1">
      <alignment horizontal="center" vertical="center"/>
    </xf>
    <xf numFmtId="0" fontId="10" fillId="0" borderId="30" xfId="5" applyFont="1" applyBorder="1" applyAlignment="1" applyProtection="1">
      <alignment horizontal="center" vertical="center"/>
    </xf>
    <xf numFmtId="0" fontId="19" fillId="0" borderId="18" xfId="5" applyFont="1" applyBorder="1" applyAlignment="1" applyProtection="1">
      <alignment horizontal="center" vertical="center"/>
      <protection locked="0"/>
    </xf>
    <xf numFmtId="0" fontId="19" fillId="0" borderId="5" xfId="5" applyFont="1" applyBorder="1" applyAlignment="1" applyProtection="1">
      <alignment horizontal="center" vertical="center"/>
      <protection locked="0"/>
    </xf>
    <xf numFmtId="0" fontId="19" fillId="0" borderId="30" xfId="5" applyFont="1" applyBorder="1" applyAlignment="1" applyProtection="1">
      <alignment horizontal="center" vertical="center"/>
      <protection locked="0"/>
    </xf>
    <xf numFmtId="0" fontId="19" fillId="0" borderId="45" xfId="5" applyFont="1" applyBorder="1" applyAlignment="1" applyProtection="1">
      <alignment horizontal="center" vertical="center"/>
      <protection locked="0"/>
    </xf>
    <xf numFmtId="0" fontId="19" fillId="0" borderId="46" xfId="5" applyFont="1" applyBorder="1" applyAlignment="1" applyProtection="1">
      <alignment horizontal="center" vertical="center"/>
      <protection locked="0"/>
    </xf>
    <xf numFmtId="0" fontId="19" fillId="0" borderId="47" xfId="5" applyFont="1" applyBorder="1" applyAlignment="1" applyProtection="1">
      <alignment horizontal="center" vertical="center"/>
      <protection locked="0"/>
    </xf>
    <xf numFmtId="0" fontId="31" fillId="8" borderId="45" xfId="5" applyFont="1" applyFill="1" applyBorder="1" applyAlignment="1" applyProtection="1">
      <alignment horizontal="center" vertical="center" shrinkToFit="1"/>
    </xf>
    <xf numFmtId="0" fontId="31" fillId="8" borderId="46" xfId="5" applyFont="1" applyFill="1" applyBorder="1" applyAlignment="1" applyProtection="1">
      <alignment horizontal="center" vertical="center" shrinkToFit="1"/>
    </xf>
    <xf numFmtId="0" fontId="31" fillId="8" borderId="47" xfId="5" applyFont="1" applyFill="1" applyBorder="1" applyAlignment="1" applyProtection="1">
      <alignment horizontal="center" vertical="center" shrinkToFit="1"/>
    </xf>
    <xf numFmtId="0" fontId="19" fillId="0" borderId="52" xfId="5" applyFont="1" applyBorder="1" applyAlignment="1" applyProtection="1">
      <alignment horizontal="center" vertical="center"/>
      <protection locked="0"/>
    </xf>
    <xf numFmtId="0" fontId="19" fillId="0" borderId="53" xfId="5" applyFont="1" applyBorder="1" applyAlignment="1" applyProtection="1">
      <alignment horizontal="center" vertical="center"/>
      <protection locked="0"/>
    </xf>
    <xf numFmtId="0" fontId="19" fillId="0" borderId="54" xfId="5" applyFont="1" applyBorder="1" applyAlignment="1" applyProtection="1">
      <alignment horizontal="center" vertical="center"/>
      <protection locked="0"/>
    </xf>
    <xf numFmtId="0" fontId="19" fillId="0" borderId="14" xfId="5" applyFont="1" applyBorder="1" applyAlignment="1" applyProtection="1">
      <alignment horizontal="center" vertical="center"/>
      <protection locked="0"/>
    </xf>
    <xf numFmtId="0" fontId="19" fillId="0" borderId="15" xfId="5" applyFont="1" applyBorder="1" applyAlignment="1" applyProtection="1">
      <alignment horizontal="center" vertical="center"/>
      <protection locked="0"/>
    </xf>
    <xf numFmtId="0" fontId="10" fillId="8" borderId="14" xfId="5" applyFont="1" applyFill="1" applyBorder="1" applyAlignment="1" applyProtection="1">
      <alignment horizontal="center" vertical="center" shrinkToFit="1"/>
    </xf>
    <xf numFmtId="0" fontId="10" fillId="8" borderId="0" xfId="5" applyFont="1" applyFill="1" applyBorder="1" applyAlignment="1" applyProtection="1">
      <alignment horizontal="center" vertical="center" shrinkToFit="1"/>
    </xf>
    <xf numFmtId="0" fontId="10" fillId="8" borderId="15" xfId="5" applyFont="1" applyFill="1" applyBorder="1" applyAlignment="1" applyProtection="1">
      <alignment horizontal="center" vertical="center" shrinkToFit="1"/>
    </xf>
    <xf numFmtId="0" fontId="10" fillId="8" borderId="18" xfId="5" applyFont="1" applyFill="1" applyBorder="1" applyAlignment="1" applyProtection="1">
      <alignment horizontal="center" vertical="center" shrinkToFit="1"/>
    </xf>
    <xf numFmtId="0" fontId="10" fillId="8" borderId="5" xfId="5" applyFont="1" applyFill="1" applyBorder="1" applyAlignment="1" applyProtection="1">
      <alignment horizontal="center" vertical="center" shrinkToFit="1"/>
    </xf>
    <xf numFmtId="0" fontId="10" fillId="8" borderId="30" xfId="5" applyFont="1" applyFill="1" applyBorder="1" applyAlignment="1" applyProtection="1">
      <alignment horizontal="center" vertical="center" shrinkToFit="1"/>
    </xf>
    <xf numFmtId="0" fontId="34" fillId="0" borderId="48" xfId="5" applyFont="1" applyBorder="1" applyAlignment="1" applyProtection="1">
      <alignment horizontal="left" vertical="center" wrapText="1"/>
      <protection locked="0"/>
    </xf>
    <xf numFmtId="0" fontId="34" fillId="0" borderId="2" xfId="5" applyFont="1" applyBorder="1" applyAlignment="1" applyProtection="1">
      <alignment horizontal="left" vertical="center"/>
      <protection locked="0"/>
    </xf>
    <xf numFmtId="0" fontId="34" fillId="0" borderId="49" xfId="5" applyFont="1" applyBorder="1" applyAlignment="1" applyProtection="1">
      <alignment horizontal="left" vertical="center"/>
      <protection locked="0"/>
    </xf>
    <xf numFmtId="0" fontId="19" fillId="0" borderId="16" xfId="5" applyFont="1" applyBorder="1" applyAlignment="1" applyProtection="1">
      <alignment horizontal="center" vertical="center"/>
      <protection locked="0"/>
    </xf>
    <xf numFmtId="0" fontId="19" fillId="0" borderId="17" xfId="5" applyFont="1" applyBorder="1" applyAlignment="1" applyProtection="1">
      <alignment horizontal="center" vertical="center"/>
      <protection locked="0"/>
    </xf>
    <xf numFmtId="0" fontId="31" fillId="8" borderId="16" xfId="5" applyFont="1" applyFill="1" applyBorder="1" applyAlignment="1" applyProtection="1">
      <alignment horizontal="center" vertical="center" shrinkToFit="1"/>
    </xf>
    <xf numFmtId="0" fontId="31" fillId="8" borderId="3" xfId="5" applyFont="1" applyFill="1" applyBorder="1" applyAlignment="1" applyProtection="1">
      <alignment horizontal="center" vertical="center" shrinkToFit="1"/>
    </xf>
    <xf numFmtId="0" fontId="31" fillId="8" borderId="17" xfId="5" applyFont="1" applyFill="1" applyBorder="1" applyAlignment="1" applyProtection="1">
      <alignment horizontal="center" vertical="center" shrinkToFit="1"/>
    </xf>
    <xf numFmtId="0" fontId="41" fillId="0" borderId="0" xfId="6" applyFont="1" applyBorder="1" applyAlignment="1">
      <alignment horizontal="center" vertical="center"/>
    </xf>
    <xf numFmtId="0" fontId="40" fillId="0" borderId="5" xfId="6" applyFont="1" applyFill="1" applyBorder="1" applyAlignment="1">
      <alignment horizontal="center" vertical="center"/>
    </xf>
    <xf numFmtId="0" fontId="40" fillId="0" borderId="0" xfId="6" applyFont="1" applyFill="1" applyBorder="1" applyAlignment="1">
      <alignment horizontal="center" vertical="center"/>
    </xf>
    <xf numFmtId="0" fontId="40" fillId="0" borderId="0" xfId="6" applyFont="1" applyFill="1" applyBorder="1" applyAlignment="1">
      <alignment horizontal="left" vertical="center"/>
    </xf>
    <xf numFmtId="0" fontId="47" fillId="0" borderId="0" xfId="6" applyFont="1" applyFill="1" applyBorder="1" applyAlignment="1">
      <alignment horizontal="left" vertical="center" shrinkToFit="1"/>
    </xf>
    <xf numFmtId="0" fontId="40" fillId="0" borderId="0" xfId="6" applyFont="1" applyBorder="1" applyAlignment="1">
      <alignment horizontal="center" vertical="center"/>
    </xf>
    <xf numFmtId="0" fontId="40" fillId="0" borderId="3" xfId="6" applyFont="1" applyBorder="1" applyAlignment="1">
      <alignment horizontal="center" vertical="center"/>
    </xf>
    <xf numFmtId="0" fontId="40" fillId="0" borderId="0" xfId="6" applyFont="1" applyFill="1" applyBorder="1" applyAlignment="1" applyProtection="1">
      <alignment horizontal="center" shrinkToFit="1"/>
      <protection locked="0"/>
    </xf>
    <xf numFmtId="0" fontId="40" fillId="0" borderId="3" xfId="6" applyFont="1" applyFill="1" applyBorder="1" applyAlignment="1" applyProtection="1">
      <alignment horizontal="center" shrinkToFit="1"/>
      <protection locked="0"/>
    </xf>
    <xf numFmtId="0" fontId="40" fillId="0" borderId="5" xfId="6" applyFont="1" applyFill="1" applyBorder="1" applyAlignment="1" applyProtection="1">
      <alignment horizontal="center" vertical="center" shrinkToFit="1"/>
      <protection locked="0"/>
    </xf>
    <xf numFmtId="0" fontId="40" fillId="0" borderId="3" xfId="6" applyFont="1" applyFill="1" applyBorder="1" applyAlignment="1" applyProtection="1">
      <alignment horizontal="center" vertical="center" shrinkToFit="1"/>
      <protection locked="0"/>
    </xf>
    <xf numFmtId="0" fontId="40" fillId="0" borderId="0" xfId="6" applyFont="1" applyFill="1" applyBorder="1" applyAlignment="1" applyProtection="1">
      <alignment horizontal="center" vertical="center" shrinkToFit="1"/>
      <protection locked="0"/>
    </xf>
    <xf numFmtId="0" fontId="40" fillId="0" borderId="5" xfId="6" applyFont="1" applyBorder="1" applyAlignment="1" applyProtection="1">
      <alignment horizontal="center" shrinkToFit="1"/>
      <protection locked="0"/>
    </xf>
    <xf numFmtId="0" fontId="40" fillId="0" borderId="3" xfId="6" applyFont="1" applyBorder="1" applyAlignment="1" applyProtection="1">
      <alignment horizontal="center" shrinkToFit="1"/>
      <protection locked="0"/>
    </xf>
    <xf numFmtId="0" fontId="40" fillId="0" borderId="0" xfId="6" applyFont="1" applyFill="1" applyBorder="1" applyAlignment="1" applyProtection="1">
      <alignment horizontal="center" vertical="center"/>
      <protection locked="0"/>
    </xf>
    <xf numFmtId="0" fontId="40" fillId="0" borderId="3" xfId="6" applyFont="1" applyFill="1" applyBorder="1" applyAlignment="1" applyProtection="1">
      <alignment horizontal="center" vertical="center"/>
      <protection locked="0"/>
    </xf>
    <xf numFmtId="0" fontId="40" fillId="0" borderId="5" xfId="6" applyFont="1" applyFill="1" applyBorder="1" applyAlignment="1" applyProtection="1">
      <alignment horizontal="center" vertical="center"/>
      <protection locked="0"/>
    </xf>
    <xf numFmtId="0" fontId="19" fillId="0" borderId="0" xfId="6" applyFont="1" applyBorder="1" applyAlignment="1" applyProtection="1">
      <alignment horizontal="center" vertical="center"/>
      <protection locked="0"/>
    </xf>
    <xf numFmtId="0" fontId="16" fillId="0" borderId="3" xfId="6" applyFont="1" applyBorder="1" applyAlignment="1" applyProtection="1">
      <alignment horizontal="center" vertical="center"/>
      <protection locked="0"/>
    </xf>
    <xf numFmtId="0" fontId="40" fillId="9" borderId="0" xfId="6" applyFont="1" applyFill="1" applyBorder="1" applyAlignment="1" applyProtection="1">
      <alignment horizontal="center" vertical="center"/>
      <protection locked="0"/>
    </xf>
    <xf numFmtId="0" fontId="43" fillId="9" borderId="3" xfId="6" applyFont="1" applyFill="1" applyBorder="1" applyAlignment="1" applyProtection="1">
      <alignment horizontal="center" vertical="center"/>
      <protection locked="0"/>
    </xf>
    <xf numFmtId="0" fontId="45" fillId="0" borderId="0" xfId="6" applyFont="1" applyFill="1" applyBorder="1" applyAlignment="1" applyProtection="1">
      <alignment horizontal="center" vertical="center"/>
      <protection locked="0"/>
    </xf>
    <xf numFmtId="0" fontId="45" fillId="0" borderId="3" xfId="6" applyFont="1" applyFill="1" applyBorder="1" applyAlignment="1" applyProtection="1">
      <alignment horizontal="center" vertical="center"/>
      <protection locked="0"/>
    </xf>
    <xf numFmtId="0" fontId="19" fillId="8" borderId="0" xfId="6" applyFont="1" applyFill="1" applyBorder="1" applyAlignment="1" applyProtection="1">
      <alignment horizontal="center" vertical="center"/>
      <protection locked="0"/>
    </xf>
    <xf numFmtId="0" fontId="19" fillId="8" borderId="3" xfId="6" applyFont="1" applyFill="1" applyBorder="1" applyAlignment="1" applyProtection="1">
      <alignment horizontal="center" vertical="center"/>
      <protection locked="0"/>
    </xf>
    <xf numFmtId="0" fontId="39" fillId="0" borderId="0" xfId="6" applyFont="1" applyBorder="1" applyAlignment="1">
      <alignment horizontal="left" vertical="center" shrinkToFit="1"/>
    </xf>
    <xf numFmtId="0" fontId="41" fillId="8" borderId="0" xfId="6" applyFont="1" applyFill="1" applyBorder="1" applyAlignment="1" applyProtection="1">
      <alignment horizontal="center" vertical="center" wrapText="1"/>
      <protection locked="0"/>
    </xf>
    <xf numFmtId="0" fontId="41" fillId="8" borderId="3" xfId="6" applyFont="1" applyFill="1" applyBorder="1" applyAlignment="1" applyProtection="1">
      <alignment horizontal="center" vertical="center" wrapText="1"/>
      <protection locked="0"/>
    </xf>
    <xf numFmtId="0" fontId="40" fillId="8" borderId="0" xfId="6" applyFont="1" applyFill="1" applyBorder="1" applyAlignment="1" applyProtection="1">
      <alignment horizontal="center" vertical="center" wrapText="1"/>
      <protection locked="0"/>
    </xf>
    <xf numFmtId="0" fontId="40" fillId="8" borderId="3" xfId="6" applyFont="1" applyFill="1" applyBorder="1" applyAlignment="1" applyProtection="1">
      <alignment horizontal="center" vertical="center" wrapText="1"/>
      <protection locked="0"/>
    </xf>
    <xf numFmtId="38" fontId="40" fillId="0" borderId="0" xfId="2" applyFont="1" applyBorder="1" applyAlignment="1">
      <alignment horizontal="center" vertical="center"/>
    </xf>
    <xf numFmtId="38" fontId="40" fillId="0" borderId="3" xfId="2" applyFont="1" applyBorder="1" applyAlignment="1">
      <alignment horizontal="center" vertical="center"/>
    </xf>
    <xf numFmtId="38" fontId="40" fillId="0" borderId="0" xfId="2" applyFont="1" applyFill="1" applyBorder="1" applyAlignment="1">
      <alignment horizontal="center" vertical="center"/>
    </xf>
    <xf numFmtId="38" fontId="40" fillId="0" borderId="3" xfId="2" applyFont="1" applyFill="1" applyBorder="1" applyAlignment="1">
      <alignment horizontal="center" vertical="center"/>
    </xf>
    <xf numFmtId="0" fontId="20" fillId="0" borderId="0" xfId="6" applyFont="1" applyFill="1" applyBorder="1" applyAlignment="1" applyProtection="1">
      <alignment horizontal="left" vertical="center"/>
      <protection locked="0"/>
    </xf>
    <xf numFmtId="0" fontId="20" fillId="0" borderId="3" xfId="6" applyFont="1" applyFill="1" applyBorder="1" applyAlignment="1" applyProtection="1">
      <alignment horizontal="left" vertical="center"/>
      <protection locked="0"/>
    </xf>
    <xf numFmtId="0" fontId="20" fillId="8" borderId="5" xfId="6" applyFont="1" applyFill="1" applyBorder="1" applyAlignment="1" applyProtection="1">
      <alignment horizontal="left" vertical="center" wrapText="1"/>
      <protection locked="0"/>
    </xf>
    <xf numFmtId="0" fontId="20" fillId="8" borderId="3" xfId="6" applyFont="1" applyFill="1" applyBorder="1" applyAlignment="1" applyProtection="1">
      <alignment horizontal="left" vertical="center" wrapText="1"/>
      <protection locked="0"/>
    </xf>
    <xf numFmtId="0" fontId="19" fillId="0" borderId="3" xfId="6" applyFont="1" applyBorder="1" applyAlignment="1" applyProtection="1">
      <alignment horizontal="center" vertical="center"/>
      <protection locked="0"/>
    </xf>
    <xf numFmtId="0" fontId="19" fillId="0" borderId="0" xfId="6" applyFont="1" applyFill="1" applyBorder="1" applyAlignment="1" applyProtection="1">
      <alignment horizontal="center" vertical="center"/>
      <protection locked="0"/>
    </xf>
    <xf numFmtId="0" fontId="19" fillId="0" borderId="3" xfId="6" applyFont="1" applyFill="1" applyBorder="1" applyAlignment="1" applyProtection="1">
      <alignment horizontal="center" vertical="center"/>
      <protection locked="0"/>
    </xf>
    <xf numFmtId="38" fontId="40" fillId="0" borderId="0" xfId="6" applyNumberFormat="1" applyFont="1" applyFill="1" applyBorder="1" applyAlignment="1" applyProtection="1">
      <alignment horizontal="center" vertical="center" shrinkToFit="1"/>
      <protection locked="0"/>
    </xf>
    <xf numFmtId="0" fontId="27" fillId="0" borderId="14" xfId="6" applyFont="1" applyBorder="1" applyAlignment="1">
      <alignment horizontal="center" vertical="center" shrinkToFit="1"/>
    </xf>
    <xf numFmtId="0" fontId="27" fillId="0" borderId="0" xfId="6" applyFont="1" applyBorder="1" applyAlignment="1">
      <alignment horizontal="center" vertical="center" shrinkToFit="1"/>
    </xf>
    <xf numFmtId="0" fontId="27" fillId="0" borderId="15" xfId="6" applyFont="1" applyBorder="1" applyAlignment="1">
      <alignment horizontal="center" vertical="center" shrinkToFit="1"/>
    </xf>
    <xf numFmtId="0" fontId="19" fillId="0" borderId="0" xfId="6" applyFont="1" applyFill="1" applyBorder="1" applyAlignment="1" applyProtection="1">
      <alignment horizontal="center" vertical="center" wrapText="1"/>
      <protection locked="0"/>
    </xf>
    <xf numFmtId="0" fontId="19" fillId="0" borderId="5" xfId="6" applyFont="1" applyBorder="1" applyAlignment="1" applyProtection="1">
      <alignment horizontal="center" vertical="center"/>
      <protection locked="0"/>
    </xf>
    <xf numFmtId="0" fontId="9" fillId="0" borderId="0" xfId="6" applyFont="1" applyBorder="1" applyAlignment="1" applyProtection="1">
      <alignment horizontal="center" vertical="center"/>
    </xf>
    <xf numFmtId="0" fontId="9" fillId="0" borderId="3" xfId="6" applyFont="1" applyBorder="1" applyAlignment="1" applyProtection="1">
      <alignment horizontal="center" vertical="center"/>
    </xf>
    <xf numFmtId="0" fontId="19" fillId="0" borderId="0" xfId="6" applyFont="1" applyBorder="1" applyAlignment="1">
      <alignment horizontal="left" vertical="center" shrinkToFit="1"/>
    </xf>
    <xf numFmtId="0" fontId="19" fillId="0" borderId="0" xfId="6" applyFont="1" applyBorder="1" applyAlignment="1">
      <alignment horizontal="distributed" vertical="center" justifyLastLine="1"/>
    </xf>
    <xf numFmtId="0" fontId="27" fillId="0" borderId="0" xfId="6" applyFont="1" applyBorder="1" applyAlignment="1">
      <alignment horizontal="distributed" vertical="center" justifyLastLine="1"/>
    </xf>
    <xf numFmtId="0" fontId="27" fillId="0" borderId="3" xfId="6" applyFont="1" applyBorder="1" applyAlignment="1">
      <alignment horizontal="center" vertical="center"/>
    </xf>
    <xf numFmtId="0" fontId="27" fillId="0" borderId="0" xfId="6" applyFont="1" applyBorder="1" applyAlignment="1">
      <alignment horizontal="left" vertical="center" shrinkToFit="1"/>
    </xf>
    <xf numFmtId="0" fontId="19" fillId="0" borderId="0" xfId="6" applyFont="1" applyBorder="1" applyAlignment="1">
      <alignment horizontal="center" vertical="center"/>
    </xf>
    <xf numFmtId="0" fontId="19" fillId="8" borderId="50" xfId="6" applyFont="1" applyFill="1" applyBorder="1" applyAlignment="1" applyProtection="1">
      <alignment horizontal="center" vertical="center"/>
      <protection locked="0"/>
    </xf>
    <xf numFmtId="0" fontId="47" fillId="0" borderId="50" xfId="6" applyFont="1" applyFill="1" applyBorder="1" applyAlignment="1" applyProtection="1">
      <alignment horizontal="center" vertical="center"/>
    </xf>
    <xf numFmtId="0" fontId="20" fillId="0" borderId="0" xfId="6" applyFont="1" applyBorder="1" applyAlignment="1" applyProtection="1">
      <alignment horizontal="center" vertical="center"/>
      <protection locked="0"/>
    </xf>
    <xf numFmtId="49" fontId="9" fillId="0" borderId="0" xfId="6" quotePrefix="1" applyNumberFormat="1" applyFont="1" applyBorder="1" applyAlignment="1" applyProtection="1">
      <alignment horizontal="center" vertical="center"/>
      <protection locked="0"/>
    </xf>
    <xf numFmtId="49" fontId="9" fillId="0" borderId="0" xfId="6" applyNumberFormat="1" applyFont="1" applyBorder="1" applyAlignment="1" applyProtection="1">
      <alignment horizontal="center" vertical="center"/>
      <protection locked="0"/>
    </xf>
    <xf numFmtId="49" fontId="9" fillId="0" borderId="3" xfId="6" applyNumberFormat="1" applyFont="1" applyBorder="1" applyAlignment="1" applyProtection="1">
      <alignment horizontal="center" vertical="center"/>
      <protection locked="0"/>
    </xf>
    <xf numFmtId="0" fontId="40" fillId="0" borderId="50" xfId="6" applyFont="1" applyFill="1" applyBorder="1" applyAlignment="1" applyProtection="1">
      <alignment horizontal="center" vertical="center"/>
      <protection locked="0"/>
    </xf>
    <xf numFmtId="0" fontId="40" fillId="8" borderId="0" xfId="6" applyFont="1" applyFill="1" applyBorder="1" applyAlignment="1" applyProtection="1">
      <alignment horizontal="center" vertical="center"/>
      <protection locked="0"/>
    </xf>
    <xf numFmtId="0" fontId="40" fillId="8" borderId="50" xfId="6" applyFont="1" applyFill="1" applyBorder="1" applyAlignment="1" applyProtection="1">
      <alignment horizontal="center" vertical="center"/>
      <protection locked="0"/>
    </xf>
    <xf numFmtId="0" fontId="19" fillId="0" borderId="0" xfId="6" applyFont="1" applyFill="1" applyBorder="1" applyAlignment="1" applyProtection="1">
      <alignment horizontal="center"/>
    </xf>
    <xf numFmtId="0" fontId="69" fillId="0" borderId="24" xfId="7" applyFont="1" applyBorder="1" applyAlignment="1">
      <alignment horizontal="center" vertical="center"/>
    </xf>
    <xf numFmtId="0" fontId="69" fillId="0" borderId="36" xfId="7" applyFont="1" applyBorder="1" applyAlignment="1">
      <alignment horizontal="center" vertical="center"/>
    </xf>
    <xf numFmtId="0" fontId="69" fillId="0" borderId="10" xfId="7" applyFont="1" applyBorder="1" applyAlignment="1">
      <alignment horizontal="center" vertical="center"/>
    </xf>
    <xf numFmtId="164" fontId="69" fillId="0" borderId="24" xfId="7" applyNumberFormat="1" applyFont="1" applyBorder="1" applyAlignment="1">
      <alignment horizontal="center" vertical="center"/>
    </xf>
    <xf numFmtId="164" fontId="69" fillId="0" borderId="10" xfId="7" applyNumberFormat="1" applyFont="1" applyBorder="1" applyAlignment="1">
      <alignment horizontal="center" vertical="center"/>
    </xf>
    <xf numFmtId="164" fontId="69" fillId="0" borderId="36" xfId="7" applyNumberFormat="1" applyFont="1" applyBorder="1" applyAlignment="1">
      <alignment horizontal="center" vertical="center"/>
    </xf>
    <xf numFmtId="0" fontId="73" fillId="6" borderId="69" xfId="7" applyFont="1" applyFill="1" applyBorder="1" applyAlignment="1">
      <alignment horizontal="center" vertical="center"/>
    </xf>
    <xf numFmtId="0" fontId="73" fillId="6" borderId="70" xfId="7" applyFont="1" applyFill="1" applyBorder="1" applyAlignment="1">
      <alignment horizontal="center" vertical="center"/>
    </xf>
    <xf numFmtId="0" fontId="73" fillId="6" borderId="71" xfId="7" applyFont="1" applyFill="1" applyBorder="1" applyAlignment="1">
      <alignment horizontal="center" vertical="center"/>
    </xf>
    <xf numFmtId="164" fontId="69" fillId="3" borderId="0" xfId="7" quotePrefix="1" applyNumberFormat="1" applyFont="1" applyFill="1" applyAlignment="1">
      <alignment horizontal="right" vertical="center"/>
    </xf>
    <xf numFmtId="0" fontId="71" fillId="0" borderId="0" xfId="7" applyFont="1" applyAlignment="1">
      <alignment horizontal="center" vertical="center"/>
    </xf>
    <xf numFmtId="0" fontId="69" fillId="6" borderId="69" xfId="7" applyFont="1" applyFill="1" applyBorder="1" applyAlignment="1">
      <alignment horizontal="center" vertical="center"/>
    </xf>
    <xf numFmtId="0" fontId="69" fillId="6" borderId="71" xfId="7" applyFont="1" applyFill="1" applyBorder="1" applyAlignment="1">
      <alignment horizontal="center" vertical="center"/>
    </xf>
    <xf numFmtId="0" fontId="69" fillId="6" borderId="70" xfId="7" applyFont="1" applyFill="1" applyBorder="1" applyAlignment="1">
      <alignment horizontal="center" vertical="center"/>
    </xf>
    <xf numFmtId="0" fontId="69" fillId="0" borderId="76" xfId="7" applyFont="1" applyBorder="1" applyAlignment="1">
      <alignment horizontal="center" vertical="center"/>
    </xf>
    <xf numFmtId="0" fontId="69" fillId="0" borderId="77" xfId="7" applyFont="1" applyBorder="1" applyAlignment="1">
      <alignment horizontal="center" vertical="center"/>
    </xf>
    <xf numFmtId="0" fontId="69" fillId="0" borderId="78" xfId="7" applyFont="1" applyBorder="1" applyAlignment="1">
      <alignment horizontal="center" vertical="center"/>
    </xf>
    <xf numFmtId="0" fontId="72" fillId="0" borderId="48" xfId="7" applyFont="1" applyBorder="1" applyAlignment="1">
      <alignment horizontal="center" vertical="center"/>
    </xf>
    <xf numFmtId="0" fontId="72" fillId="0" borderId="2" xfId="7" applyFont="1" applyBorder="1" applyAlignment="1">
      <alignment horizontal="center" vertical="center"/>
    </xf>
    <xf numFmtId="0" fontId="72" fillId="0" borderId="72" xfId="7" applyFont="1" applyBorder="1" applyAlignment="1">
      <alignment horizontal="left" vertical="center"/>
    </xf>
    <xf numFmtId="0" fontId="72" fillId="0" borderId="73" xfId="7" applyFont="1" applyBorder="1" applyAlignment="1">
      <alignment horizontal="left" vertical="center"/>
    </xf>
    <xf numFmtId="0" fontId="72" fillId="0" borderId="74" xfId="7" applyFont="1" applyBorder="1" applyAlignment="1">
      <alignment horizontal="left" vertical="center"/>
    </xf>
    <xf numFmtId="0" fontId="72" fillId="3" borderId="18" xfId="7" applyFont="1" applyFill="1" applyBorder="1" applyAlignment="1">
      <alignment horizontal="center" vertical="center"/>
    </xf>
    <xf numFmtId="0" fontId="72" fillId="3" borderId="14" xfId="7" applyFont="1" applyFill="1" applyBorder="1" applyAlignment="1">
      <alignment horizontal="center" vertical="center"/>
    </xf>
    <xf numFmtId="0" fontId="72" fillId="3" borderId="16" xfId="7" applyFont="1" applyFill="1" applyBorder="1" applyAlignment="1">
      <alignment horizontal="center" vertical="center"/>
    </xf>
    <xf numFmtId="0" fontId="72" fillId="3" borderId="2" xfId="7" applyFont="1" applyFill="1" applyBorder="1" applyAlignment="1">
      <alignment horizontal="left" vertical="center"/>
    </xf>
    <xf numFmtId="0" fontId="72" fillId="3" borderId="23" xfId="7" applyFont="1" applyFill="1" applyBorder="1" applyAlignment="1">
      <alignment horizontal="left" vertical="center"/>
    </xf>
    <xf numFmtId="0" fontId="72" fillId="3" borderId="2" xfId="7" applyFont="1" applyFill="1" applyBorder="1" applyAlignment="1">
      <alignment horizontal="center" vertical="center"/>
    </xf>
    <xf numFmtId="0" fontId="72" fillId="3" borderId="23" xfId="7" applyFont="1" applyFill="1" applyBorder="1" applyAlignment="1">
      <alignment horizontal="center" vertical="center"/>
    </xf>
    <xf numFmtId="0" fontId="72" fillId="3" borderId="2" xfId="7" quotePrefix="1" applyFont="1" applyFill="1" applyBorder="1" applyAlignment="1">
      <alignment horizontal="center" vertical="center"/>
    </xf>
    <xf numFmtId="49" fontId="72" fillId="3" borderId="2" xfId="7" applyNumberFormat="1" applyFont="1" applyFill="1" applyBorder="1" applyAlignment="1">
      <alignment horizontal="left" vertical="center"/>
    </xf>
    <xf numFmtId="49" fontId="72" fillId="3" borderId="23" xfId="7" applyNumberFormat="1" applyFont="1" applyFill="1" applyBorder="1" applyAlignment="1">
      <alignment horizontal="left" vertical="center"/>
    </xf>
    <xf numFmtId="49" fontId="72" fillId="3" borderId="2" xfId="7" applyNumberFormat="1" applyFont="1" applyFill="1" applyBorder="1" applyAlignment="1">
      <alignment horizontal="center" vertical="center"/>
    </xf>
    <xf numFmtId="0" fontId="23" fillId="0" borderId="18" xfId="7" applyFont="1" applyBorder="1" applyAlignment="1">
      <alignment horizontal="center" vertical="center"/>
    </xf>
    <xf numFmtId="0" fontId="23" fillId="0" borderId="14" xfId="7" applyFont="1" applyBorder="1" applyAlignment="1">
      <alignment horizontal="center" vertical="center"/>
    </xf>
    <xf numFmtId="0" fontId="23" fillId="0" borderId="29" xfId="7" applyFont="1" applyBorder="1" applyAlignment="1">
      <alignment horizontal="center" vertical="center"/>
    </xf>
    <xf numFmtId="0" fontId="72" fillId="0" borderId="61" xfId="7" applyFont="1" applyBorder="1" applyAlignment="1">
      <alignment horizontal="center" vertical="center"/>
    </xf>
    <xf numFmtId="0" fontId="72" fillId="0" borderId="27" xfId="7" applyFont="1" applyBorder="1" applyAlignment="1">
      <alignment horizontal="center" vertical="center"/>
    </xf>
    <xf numFmtId="0" fontId="72" fillId="0" borderId="25" xfId="7" applyFont="1" applyBorder="1" applyAlignment="1">
      <alignment horizontal="center" vertical="center"/>
    </xf>
    <xf numFmtId="0" fontId="69" fillId="0" borderId="18" xfId="7" quotePrefix="1" applyFont="1" applyBorder="1" applyAlignment="1">
      <alignment horizontal="center" vertical="center"/>
    </xf>
    <xf numFmtId="0" fontId="69" fillId="0" borderId="5" xfId="7" quotePrefix="1" applyFont="1" applyBorder="1" applyAlignment="1">
      <alignment horizontal="center" vertical="center"/>
    </xf>
    <xf numFmtId="0" fontId="69" fillId="0" borderId="30" xfId="7" quotePrefix="1" applyFont="1" applyBorder="1" applyAlignment="1">
      <alignment horizontal="center" vertical="center"/>
    </xf>
    <xf numFmtId="0" fontId="69" fillId="0" borderId="14" xfId="7" quotePrefix="1" applyFont="1" applyBorder="1" applyAlignment="1">
      <alignment horizontal="center" vertical="center"/>
    </xf>
    <xf numFmtId="0" fontId="69" fillId="0" borderId="0" xfId="7" quotePrefix="1" applyFont="1" applyBorder="1" applyAlignment="1">
      <alignment horizontal="center" vertical="center"/>
    </xf>
    <xf numFmtId="0" fontId="69" fillId="0" borderId="15" xfId="7" quotePrefix="1" applyFont="1" applyBorder="1" applyAlignment="1">
      <alignment horizontal="center" vertical="center"/>
    </xf>
    <xf numFmtId="0" fontId="69" fillId="0" borderId="16" xfId="7" quotePrefix="1" applyFont="1" applyBorder="1" applyAlignment="1">
      <alignment horizontal="center" vertical="center"/>
    </xf>
    <xf numFmtId="0" fontId="69" fillId="0" borderId="3" xfId="7" quotePrefix="1" applyFont="1" applyBorder="1" applyAlignment="1">
      <alignment horizontal="center" vertical="center"/>
    </xf>
    <xf numFmtId="0" fontId="69" fillId="0" borderId="17" xfId="7" quotePrefix="1" applyFont="1" applyBorder="1" applyAlignment="1">
      <alignment horizontal="center" vertical="center"/>
    </xf>
    <xf numFmtId="0" fontId="72" fillId="0" borderId="75" xfId="7" applyFont="1" applyBorder="1" applyAlignment="1">
      <alignment horizontal="center" vertical="center"/>
    </xf>
    <xf numFmtId="0" fontId="69" fillId="0" borderId="29" xfId="7" quotePrefix="1" applyFont="1" applyBorder="1" applyAlignment="1">
      <alignment horizontal="center" vertical="center"/>
    </xf>
    <xf numFmtId="0" fontId="69" fillId="0" borderId="10" xfId="7" quotePrefix="1" applyFont="1" applyBorder="1" applyAlignment="1">
      <alignment horizontal="center" vertical="center"/>
    </xf>
    <xf numFmtId="0" fontId="69" fillId="0" borderId="34" xfId="7" quotePrefix="1" applyFont="1" applyBorder="1" applyAlignment="1">
      <alignment horizontal="center" vertical="center"/>
    </xf>
    <xf numFmtId="0" fontId="23" fillId="0" borderId="39" xfId="7" applyFont="1" applyBorder="1" applyAlignment="1">
      <alignment horizontal="center" vertical="center" wrapText="1"/>
    </xf>
    <xf numFmtId="0" fontId="72" fillId="0" borderId="40" xfId="7" applyFont="1" applyBorder="1" applyAlignment="1">
      <alignment horizontal="center" vertical="center"/>
    </xf>
    <xf numFmtId="0" fontId="23" fillId="0" borderId="16" xfId="7" applyFont="1" applyBorder="1" applyAlignment="1">
      <alignment horizontal="left" vertical="center"/>
    </xf>
    <xf numFmtId="0" fontId="70" fillId="0" borderId="3" xfId="7" applyBorder="1">
      <alignment vertical="center"/>
    </xf>
    <xf numFmtId="0" fontId="70" fillId="0" borderId="22" xfId="7" applyBorder="1">
      <alignment vertical="center"/>
    </xf>
    <xf numFmtId="0" fontId="23" fillId="0" borderId="72" xfId="7" applyFont="1" applyBorder="1" applyAlignment="1">
      <alignment horizontal="left" vertical="center"/>
    </xf>
    <xf numFmtId="0" fontId="23" fillId="0" borderId="73" xfId="7" applyFont="1" applyBorder="1" applyAlignment="1">
      <alignment horizontal="left" vertical="center"/>
    </xf>
    <xf numFmtId="0" fontId="23" fillId="0" borderId="74" xfId="7" applyFont="1" applyBorder="1" applyAlignment="1">
      <alignment horizontal="left" vertical="center"/>
    </xf>
    <xf numFmtId="0" fontId="72" fillId="0" borderId="39" xfId="7" applyFont="1" applyBorder="1" applyAlignment="1">
      <alignment horizontal="left" vertical="center" wrapText="1"/>
    </xf>
    <xf numFmtId="0" fontId="23" fillId="0" borderId="48" xfId="7" applyFont="1" applyBorder="1" applyAlignment="1">
      <alignment horizontal="center" vertical="center" wrapText="1"/>
    </xf>
    <xf numFmtId="0" fontId="23" fillId="0" borderId="49" xfId="7" applyFont="1" applyBorder="1" applyAlignment="1">
      <alignment horizontal="left" vertical="center"/>
    </xf>
    <xf numFmtId="0" fontId="23" fillId="0" borderId="39" xfId="7" applyFont="1" applyBorder="1" applyAlignment="1">
      <alignment horizontal="left" vertical="center"/>
    </xf>
    <xf numFmtId="0" fontId="72" fillId="0" borderId="39" xfId="7" applyFont="1" applyBorder="1" applyAlignment="1">
      <alignment horizontal="center" vertical="center"/>
    </xf>
    <xf numFmtId="0" fontId="23" fillId="0" borderId="48" xfId="7" applyFont="1" applyBorder="1" applyAlignment="1">
      <alignment horizontal="left" vertical="center"/>
    </xf>
    <xf numFmtId="0" fontId="23" fillId="0" borderId="2" xfId="7" applyFont="1" applyBorder="1" applyAlignment="1">
      <alignment horizontal="left" vertical="center"/>
    </xf>
    <xf numFmtId="0" fontId="0" fillId="0" borderId="39" xfId="0" applyBorder="1" applyAlignment="1">
      <alignment horizontal="center" vertical="center"/>
    </xf>
    <xf numFmtId="0" fontId="13" fillId="7" borderId="39" xfId="0" applyFont="1" applyFill="1" applyBorder="1" applyAlignment="1">
      <alignment horizontal="center" vertical="center"/>
    </xf>
    <xf numFmtId="0" fontId="9" fillId="0" borderId="0" xfId="3" applyFont="1" applyAlignment="1">
      <alignment horizontal="center"/>
    </xf>
    <xf numFmtId="0" fontId="19" fillId="5" borderId="49" xfId="3" applyFont="1" applyFill="1" applyBorder="1" applyAlignment="1">
      <alignment horizontal="center" vertical="center"/>
    </xf>
    <xf numFmtId="0" fontId="19" fillId="5" borderId="39" xfId="3" applyFont="1" applyFill="1" applyBorder="1" applyAlignment="1">
      <alignment horizontal="center" vertical="center"/>
    </xf>
    <xf numFmtId="0" fontId="19" fillId="0" borderId="39" xfId="3" applyFont="1" applyBorder="1" applyAlignment="1">
      <alignment horizontal="center" vertical="center"/>
    </xf>
    <xf numFmtId="0" fontId="19" fillId="0" borderId="39" xfId="3" applyFont="1" applyBorder="1" applyAlignment="1">
      <alignment horizontal="left" vertical="center" indent="1"/>
    </xf>
    <xf numFmtId="164" fontId="9" fillId="0" borderId="0" xfId="3" applyNumberFormat="1" applyFont="1" applyAlignment="1">
      <alignment horizontal="right"/>
    </xf>
    <xf numFmtId="0" fontId="19" fillId="0" borderId="48" xfId="3" applyFont="1" applyBorder="1" applyAlignment="1">
      <alignment horizontal="center" vertical="center"/>
    </xf>
    <xf numFmtId="0" fontId="9" fillId="0" borderId="31" xfId="3" applyFont="1" applyBorder="1" applyAlignment="1">
      <alignment horizontal="center"/>
    </xf>
    <xf numFmtId="0" fontId="9" fillId="0" borderId="6" xfId="3" applyFont="1" applyBorder="1" applyAlignment="1">
      <alignment horizontal="center"/>
    </xf>
    <xf numFmtId="0" fontId="9" fillId="0" borderId="33" xfId="3" applyFont="1" applyBorder="1" applyAlignment="1">
      <alignment horizontal="center"/>
    </xf>
    <xf numFmtId="0" fontId="9" fillId="0" borderId="9" xfId="3" applyFont="1" applyBorder="1" applyAlignment="1">
      <alignment horizontal="center"/>
    </xf>
    <xf numFmtId="0" fontId="9" fillId="0" borderId="0" xfId="3" applyFont="1" applyBorder="1" applyAlignment="1">
      <alignment horizontal="center"/>
    </xf>
    <xf numFmtId="0" fontId="9" fillId="0" borderId="4" xfId="3" applyFont="1" applyBorder="1" applyAlignment="1">
      <alignment horizontal="center"/>
    </xf>
    <xf numFmtId="0" fontId="9" fillId="0" borderId="24" xfId="3" applyFont="1" applyBorder="1" applyAlignment="1">
      <alignment horizontal="center"/>
    </xf>
    <xf numFmtId="0" fontId="9" fillId="0" borderId="10" xfId="3" applyFont="1" applyBorder="1" applyAlignment="1">
      <alignment horizontal="center"/>
    </xf>
    <xf numFmtId="0" fontId="9" fillId="0" borderId="36" xfId="3" applyFont="1" applyBorder="1" applyAlignment="1">
      <alignment horizontal="center"/>
    </xf>
  </cellXfs>
  <cellStyles count="9">
    <cellStyle name="Comma [0]" xfId="2" builtinId="6"/>
    <cellStyle name="Hyperlink" xfId="1" builtinId="8"/>
    <cellStyle name="Normal" xfId="0" builtinId="0"/>
    <cellStyle name="ハイパーリンク 2" xfId="8"/>
    <cellStyle name="桁区切り 2" xfId="4"/>
    <cellStyle name="標準 2" xfId="3"/>
    <cellStyle name="標準 2 2" xfId="5"/>
    <cellStyle name="標準 3" xfId="6"/>
    <cellStyle name="標準 4" xfId="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0</xdr:col>
      <xdr:colOff>687456</xdr:colOff>
      <xdr:row>12</xdr:row>
      <xdr:rowOff>41413</xdr:rowOff>
    </xdr:from>
    <xdr:ext cx="2019300" cy="998094"/>
    <xdr:sp macro="" textlink="">
      <xdr:nvSpPr>
        <xdr:cNvPr id="3" name="テキスト ボックス 2">
          <a:extLst>
            <a:ext uri="{FF2B5EF4-FFF2-40B4-BE49-F238E27FC236}">
              <a16:creationId xmlns:a16="http://schemas.microsoft.com/office/drawing/2014/main" xmlns="" id="{00000000-0008-0000-0000-000003000000}"/>
            </a:ext>
          </a:extLst>
        </xdr:cNvPr>
        <xdr:cNvSpPr txBox="1"/>
      </xdr:nvSpPr>
      <xdr:spPr>
        <a:xfrm>
          <a:off x="687456" y="1780761"/>
          <a:ext cx="2019300" cy="99809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t>初回に設定したらシートを</a:t>
          </a:r>
          <a:endParaRPr kumimoji="1" lang="en-US" altLang="ja-JP" sz="1100"/>
        </a:p>
        <a:p>
          <a:r>
            <a:rPr kumimoji="1" lang="ja-JP" altLang="en-US" sz="1100"/>
            <a:t>ロックして編集できないようにすること。</a:t>
          </a:r>
          <a:endParaRPr kumimoji="1" lang="en-US" altLang="ja-JP" sz="1100"/>
        </a:p>
        <a:p>
          <a:endParaRPr kumimoji="1" lang="en-US" altLang="ja-JP" sz="1100"/>
        </a:p>
        <a:p>
          <a:r>
            <a:rPr kumimoji="1" lang="ja-JP" altLang="en-US" sz="1100"/>
            <a:t>パスワードは</a:t>
          </a:r>
          <a:r>
            <a:rPr kumimoji="1" lang="en-US" altLang="ja-JP" sz="1100"/>
            <a:t>udonumai</a:t>
          </a:r>
        </a:p>
      </xdr:txBody>
    </xdr:sp>
    <xdr:clientData/>
  </xdr:oneCellAnchor>
  <xdr:twoCellAnchor>
    <xdr:from>
      <xdr:col>7</xdr:col>
      <xdr:colOff>596347</xdr:colOff>
      <xdr:row>11</xdr:row>
      <xdr:rowOff>66261</xdr:rowOff>
    </xdr:from>
    <xdr:to>
      <xdr:col>9</xdr:col>
      <xdr:colOff>604630</xdr:colOff>
      <xdr:row>13</xdr:row>
      <xdr:rowOff>132522</xdr:rowOff>
    </xdr:to>
    <xdr:sp macro="[0]!シート再表示" textlink="">
      <xdr:nvSpPr>
        <xdr:cNvPr id="2" name="額縁 1">
          <a:extLst>
            <a:ext uri="{FF2B5EF4-FFF2-40B4-BE49-F238E27FC236}">
              <a16:creationId xmlns:a16="http://schemas.microsoft.com/office/drawing/2014/main" xmlns="" id="{00000000-0008-0000-0000-000002000000}"/>
            </a:ext>
          </a:extLst>
        </xdr:cNvPr>
        <xdr:cNvSpPr/>
      </xdr:nvSpPr>
      <xdr:spPr bwMode="auto">
        <a:xfrm>
          <a:off x="4754217" y="1979544"/>
          <a:ext cx="1383196" cy="414130"/>
        </a:xfrm>
        <a:prstGeom prst="bevel">
          <a:avLst/>
        </a:prstGeom>
        <a:ln/>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lIns="18288" tIns="0" rIns="0" bIns="0" rtlCol="0" anchor="ctr" anchorCtr="1" upright="1"/>
        <a:lstStyle/>
        <a:p>
          <a:pPr algn="l"/>
          <a:r>
            <a:rPr kumimoji="1" lang="ja-JP" altLang="en-US" sz="1100"/>
            <a:t>シート一括表示</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152400</xdr:colOff>
      <xdr:row>30</xdr:row>
      <xdr:rowOff>9525</xdr:rowOff>
    </xdr:from>
    <xdr:to>
      <xdr:col>16</xdr:col>
      <xdr:colOff>85725</xdr:colOff>
      <xdr:row>31</xdr:row>
      <xdr:rowOff>76200</xdr:rowOff>
    </xdr:to>
    <xdr:sp macro="" textlink="">
      <xdr:nvSpPr>
        <xdr:cNvPr id="2" name="Oval 1">
          <a:extLst>
            <a:ext uri="{FF2B5EF4-FFF2-40B4-BE49-F238E27FC236}">
              <a16:creationId xmlns:a16="http://schemas.microsoft.com/office/drawing/2014/main" xmlns="" id="{00000000-0008-0000-0400-000002000000}"/>
            </a:ext>
          </a:extLst>
        </xdr:cNvPr>
        <xdr:cNvSpPr>
          <a:spLocks noChangeArrowheads="1"/>
        </xdr:cNvSpPr>
      </xdr:nvSpPr>
      <xdr:spPr bwMode="auto">
        <a:xfrm>
          <a:off x="4448175" y="6429375"/>
          <a:ext cx="1028700" cy="323850"/>
        </a:xfrm>
        <a:prstGeom prst="ellipse">
          <a:avLst/>
        </a:prstGeom>
        <a:noFill/>
        <a:ln w="2540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23</xdr:col>
      <xdr:colOff>238126</xdr:colOff>
      <xdr:row>36</xdr:row>
      <xdr:rowOff>38100</xdr:rowOff>
    </xdr:from>
    <xdr:ext cx="2019300" cy="609013"/>
    <xdr:sp macro="" textlink="">
      <xdr:nvSpPr>
        <xdr:cNvPr id="3" name="テキスト ボックス 2">
          <a:extLst>
            <a:ext uri="{FF2B5EF4-FFF2-40B4-BE49-F238E27FC236}">
              <a16:creationId xmlns:a16="http://schemas.microsoft.com/office/drawing/2014/main" xmlns="" id="{00000000-0008-0000-0400-000003000000}"/>
            </a:ext>
          </a:extLst>
        </xdr:cNvPr>
        <xdr:cNvSpPr txBox="1"/>
      </xdr:nvSpPr>
      <xdr:spPr>
        <a:xfrm>
          <a:off x="7677151" y="7277100"/>
          <a:ext cx="2019300" cy="609013"/>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t>Nếu</a:t>
          </a:r>
          <a:r>
            <a:rPr kumimoji="1" lang="en-US" altLang="ja-JP" sz="1100" baseline="0"/>
            <a:t> không có những lý do đặc biệt, đừng thay đổi thông tin ở đây.</a:t>
          </a:r>
          <a:endParaRPr kumimoji="1" lang="en-US" altLang="ja-JP" sz="1100"/>
        </a:p>
      </xdr:txBody>
    </xdr:sp>
    <xdr:clientData/>
  </xdr:oneCellAnchor>
  <xdr:oneCellAnchor>
    <xdr:from>
      <xdr:col>23</xdr:col>
      <xdr:colOff>200025</xdr:colOff>
      <xdr:row>50</xdr:row>
      <xdr:rowOff>123825</xdr:rowOff>
    </xdr:from>
    <xdr:ext cx="2019300" cy="447943"/>
    <xdr:sp macro="" textlink="">
      <xdr:nvSpPr>
        <xdr:cNvPr id="17" name="テキスト ボックス 16">
          <a:extLst>
            <a:ext uri="{FF2B5EF4-FFF2-40B4-BE49-F238E27FC236}">
              <a16:creationId xmlns:a16="http://schemas.microsoft.com/office/drawing/2014/main" xmlns="" id="{00000000-0008-0000-0400-000011000000}"/>
            </a:ext>
          </a:extLst>
        </xdr:cNvPr>
        <xdr:cNvSpPr txBox="1"/>
      </xdr:nvSpPr>
      <xdr:spPr>
        <a:xfrm>
          <a:off x="7639050" y="10401300"/>
          <a:ext cx="2019300" cy="447943"/>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t>Ký</a:t>
          </a:r>
          <a:r>
            <a:rPr kumimoji="1" lang="en-US" altLang="ja-JP" sz="1100" baseline="0"/>
            <a:t> tên, ghi bằng tay</a:t>
          </a:r>
          <a:endParaRPr kumimoji="1" lang="en-US" altLang="ja-JP" sz="1100"/>
        </a:p>
        <a:p>
          <a:endParaRPr kumimoji="1" lang="en-US" altLang="ja-JP" sz="1100"/>
        </a:p>
      </xdr:txBody>
    </xdr:sp>
    <xdr:clientData/>
  </xdr:oneCellAnchor>
  <xdr:oneCellAnchor>
    <xdr:from>
      <xdr:col>23</xdr:col>
      <xdr:colOff>104775</xdr:colOff>
      <xdr:row>31</xdr:row>
      <xdr:rowOff>85725</xdr:rowOff>
    </xdr:from>
    <xdr:ext cx="2019300" cy="264560"/>
    <xdr:sp macro="" textlink="">
      <xdr:nvSpPr>
        <xdr:cNvPr id="18" name="テキスト ボックス 17">
          <a:extLst>
            <a:ext uri="{FF2B5EF4-FFF2-40B4-BE49-F238E27FC236}">
              <a16:creationId xmlns:a16="http://schemas.microsoft.com/office/drawing/2014/main" xmlns="" id="{00000000-0008-0000-0400-000012000000}"/>
            </a:ext>
          </a:extLst>
        </xdr:cNvPr>
        <xdr:cNvSpPr txBox="1"/>
      </xdr:nvSpPr>
      <xdr:spPr>
        <a:xfrm>
          <a:off x="7543800" y="6257925"/>
          <a:ext cx="2019300" cy="26456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en-US" altLang="ja-JP" sz="1100"/>
            <a:t>Hãy</a:t>
          </a:r>
          <a:r>
            <a:rPr kumimoji="1" lang="en-US" altLang="ja-JP" sz="1100" baseline="0"/>
            <a:t> chọn</a:t>
          </a:r>
          <a:endParaRPr kumimoji="1" lang="en-US" altLang="ja-JP"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49</xdr:col>
      <xdr:colOff>98563</xdr:colOff>
      <xdr:row>13</xdr:row>
      <xdr:rowOff>184867</xdr:rowOff>
    </xdr:from>
    <xdr:to>
      <xdr:col>59</xdr:col>
      <xdr:colOff>60463</xdr:colOff>
      <xdr:row>21</xdr:row>
      <xdr:rowOff>243940</xdr:rowOff>
    </xdr:to>
    <xdr:sp macro="" textlink="">
      <xdr:nvSpPr>
        <xdr:cNvPr id="10258" name="Text Box 18">
          <a:extLst>
            <a:ext uri="{FF2B5EF4-FFF2-40B4-BE49-F238E27FC236}">
              <a16:creationId xmlns:a16="http://schemas.microsoft.com/office/drawing/2014/main" xmlns="" id="{00000000-0008-0000-0200-000012280000}"/>
            </a:ext>
          </a:extLst>
        </xdr:cNvPr>
        <xdr:cNvSpPr txBox="1">
          <a:spLocks noChangeArrowheads="1"/>
        </xdr:cNvSpPr>
      </xdr:nvSpPr>
      <xdr:spPr bwMode="auto">
        <a:xfrm>
          <a:off x="6146938" y="2918542"/>
          <a:ext cx="1200150" cy="158307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写真 photo　　　</a:t>
          </a:r>
        </a:p>
        <a:p>
          <a:pPr algn="l" rtl="0">
            <a:lnSpc>
              <a:spcPts val="1100"/>
            </a:lnSpc>
            <a:defRPr sz="1000"/>
          </a:pPr>
          <a:r>
            <a:rPr lang="ja-JP" altLang="en-US" sz="900" b="0" i="0" u="none" strike="noStrike" baseline="0">
              <a:solidFill>
                <a:srgbClr val="000000"/>
              </a:solidFill>
              <a:latin typeface="ＭＳ Ｐゴシック"/>
              <a:ea typeface="ＭＳ Ｐゴシック"/>
            </a:rPr>
            <a:t>      40mm×30mm</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（写真の裏に国籍・氏名を書いてください）</a:t>
          </a:r>
        </a:p>
        <a:p>
          <a:pPr algn="l" rtl="0">
            <a:lnSpc>
              <a:spcPts val="1000"/>
            </a:lnSpc>
            <a:defRPr sz="1000"/>
          </a:pPr>
          <a:r>
            <a:rPr lang="ja-JP" altLang="en-US" sz="900" b="0" i="0" u="none" strike="noStrike" baseline="0">
              <a:solidFill>
                <a:srgbClr val="000000"/>
              </a:solidFill>
              <a:latin typeface="ＭＳ Ｐゴシック"/>
              <a:ea typeface="ＭＳ Ｐゴシック"/>
            </a:rPr>
            <a:t>(Please fill in the nationality・name on the back of a photo)</a:t>
          </a:r>
          <a:endParaRPr lang="ja-JP" altLang="en-US"/>
        </a:p>
      </xdr:txBody>
    </xdr:sp>
    <xdr:clientData/>
  </xdr:twoCellAnchor>
  <xdr:twoCellAnchor editAs="oneCell">
    <xdr:from>
      <xdr:col>68</xdr:col>
      <xdr:colOff>0</xdr:colOff>
      <xdr:row>5</xdr:row>
      <xdr:rowOff>76200</xdr:rowOff>
    </xdr:from>
    <xdr:to>
      <xdr:col>68</xdr:col>
      <xdr:colOff>171864</xdr:colOff>
      <xdr:row>6</xdr:row>
      <xdr:rowOff>36811</xdr:rowOff>
    </xdr:to>
    <xdr:sp macro="" textlink="">
      <xdr:nvSpPr>
        <xdr:cNvPr id="10280" name="Text Box 40">
          <a:extLst>
            <a:ext uri="{FF2B5EF4-FFF2-40B4-BE49-F238E27FC236}">
              <a16:creationId xmlns:a16="http://schemas.microsoft.com/office/drawing/2014/main" xmlns="" id="{00000000-0008-0000-0200-000028280000}"/>
            </a:ext>
          </a:extLst>
        </xdr:cNvPr>
        <xdr:cNvSpPr txBox="1">
          <a:spLocks noChangeArrowheads="1"/>
        </xdr:cNvSpPr>
      </xdr:nvSpPr>
      <xdr:spPr bwMode="auto">
        <a:xfrm>
          <a:off x="8039100" y="3000375"/>
          <a:ext cx="1714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twoCellAnchor>
  <xdr:twoCellAnchor editAs="oneCell">
    <xdr:from>
      <xdr:col>36</xdr:col>
      <xdr:colOff>9525</xdr:colOff>
      <xdr:row>58</xdr:row>
      <xdr:rowOff>0</xdr:rowOff>
    </xdr:from>
    <xdr:to>
      <xdr:col>42</xdr:col>
      <xdr:colOff>40030</xdr:colOff>
      <xdr:row>59</xdr:row>
      <xdr:rowOff>74288</xdr:rowOff>
    </xdr:to>
    <xdr:sp macro="" textlink="">
      <xdr:nvSpPr>
        <xdr:cNvPr id="10292" name="Text Box 52">
          <a:extLst>
            <a:ext uri="{FF2B5EF4-FFF2-40B4-BE49-F238E27FC236}">
              <a16:creationId xmlns:a16="http://schemas.microsoft.com/office/drawing/2014/main" xmlns="" id="{00000000-0008-0000-0200-000034280000}"/>
            </a:ext>
          </a:extLst>
        </xdr:cNvPr>
        <xdr:cNvSpPr txBox="1">
          <a:spLocks noChangeArrowheads="1"/>
        </xdr:cNvSpPr>
      </xdr:nvSpPr>
      <xdr:spPr bwMode="auto">
        <a:xfrm>
          <a:off x="4448175" y="11772900"/>
          <a:ext cx="781050"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0" bIns="0" anchor="t" upright="1"/>
        <a:lstStyle/>
        <a:p>
          <a:pPr algn="l" rtl="0">
            <a:defRPr sz="1000"/>
          </a:pPr>
          <a:r>
            <a:rPr lang="ja-JP" altLang="en-US" sz="1400" b="0" i="0" u="none" strike="noStrike" baseline="0">
              <a:solidFill>
                <a:srgbClr val="000000"/>
              </a:solidFill>
              <a:latin typeface="ＭＳ Ｐゴシック"/>
              <a:ea typeface="ＭＳ Ｐゴシック"/>
            </a:rPr>
            <a:t>　</a:t>
          </a:r>
          <a:endParaRPr lang="ja-JP" altLang="en-US"/>
        </a:p>
      </xdr:txBody>
    </xdr:sp>
    <xdr:clientData/>
  </xdr:twoCellAnchor>
  <xdr:twoCellAnchor editAs="oneCell">
    <xdr:from>
      <xdr:col>49</xdr:col>
      <xdr:colOff>104775</xdr:colOff>
      <xdr:row>58</xdr:row>
      <xdr:rowOff>0</xdr:rowOff>
    </xdr:from>
    <xdr:to>
      <xdr:col>59</xdr:col>
      <xdr:colOff>28575</xdr:colOff>
      <xdr:row>59</xdr:row>
      <xdr:rowOff>64705</xdr:rowOff>
    </xdr:to>
    <xdr:sp macro="" textlink="">
      <xdr:nvSpPr>
        <xdr:cNvPr id="10293" name="Text Box 53">
          <a:extLst>
            <a:ext uri="{FF2B5EF4-FFF2-40B4-BE49-F238E27FC236}">
              <a16:creationId xmlns:a16="http://schemas.microsoft.com/office/drawing/2014/main" xmlns="" id="{00000000-0008-0000-0200-000035280000}"/>
            </a:ext>
          </a:extLst>
        </xdr:cNvPr>
        <xdr:cNvSpPr txBox="1">
          <a:spLocks noChangeArrowheads="1"/>
        </xdr:cNvSpPr>
      </xdr:nvSpPr>
      <xdr:spPr bwMode="auto">
        <a:xfrm>
          <a:off x="6153150" y="11772900"/>
          <a:ext cx="1162050" cy="2476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0" bIns="0" anchor="t" upright="1"/>
        <a:lstStyle/>
        <a:p>
          <a:pPr algn="l" rtl="0">
            <a:defRPr sz="1000"/>
          </a:pPr>
          <a:r>
            <a:rPr lang="ja-JP" altLang="en-US" sz="1400" b="0" i="0" u="none" strike="noStrike" baseline="0">
              <a:solidFill>
                <a:srgbClr val="000000"/>
              </a:solidFill>
              <a:latin typeface="ＭＳ Ｐゴシック"/>
              <a:ea typeface="ＭＳ Ｐゴシック"/>
            </a:rPr>
            <a:t>　</a:t>
          </a:r>
          <a:endParaRPr lang="ja-JP" altLang="en-US"/>
        </a:p>
      </xdr:txBody>
    </xdr:sp>
    <xdr:clientData/>
  </xdr:twoCellAnchor>
  <xdr:oneCellAnchor>
    <xdr:from>
      <xdr:col>18</xdr:col>
      <xdr:colOff>78105</xdr:colOff>
      <xdr:row>28</xdr:row>
      <xdr:rowOff>0</xdr:rowOff>
    </xdr:from>
    <xdr:ext cx="203261" cy="151836"/>
    <xdr:sp macro="" textlink="">
      <xdr:nvSpPr>
        <xdr:cNvPr id="10356" name="Text Box 116">
          <a:extLst>
            <a:ext uri="{FF2B5EF4-FFF2-40B4-BE49-F238E27FC236}">
              <a16:creationId xmlns:a16="http://schemas.microsoft.com/office/drawing/2014/main" xmlns="" id="{00000000-0008-0000-0200-000074280000}"/>
            </a:ext>
          </a:extLst>
        </xdr:cNvPr>
        <xdr:cNvSpPr txBox="1">
          <a:spLocks noChangeArrowheads="1"/>
        </xdr:cNvSpPr>
      </xdr:nvSpPr>
      <xdr:spPr bwMode="auto">
        <a:xfrm>
          <a:off x="2297844" y="5706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28</xdr:row>
      <xdr:rowOff>0</xdr:rowOff>
    </xdr:from>
    <xdr:ext cx="284630" cy="151836"/>
    <xdr:sp macro="" textlink="">
      <xdr:nvSpPr>
        <xdr:cNvPr id="10357" name="Text Box 117">
          <a:extLst>
            <a:ext uri="{FF2B5EF4-FFF2-40B4-BE49-F238E27FC236}">
              <a16:creationId xmlns:a16="http://schemas.microsoft.com/office/drawing/2014/main" xmlns="" id="{00000000-0008-0000-0200-000075280000}"/>
            </a:ext>
          </a:extLst>
        </xdr:cNvPr>
        <xdr:cNvSpPr txBox="1">
          <a:spLocks noChangeArrowheads="1"/>
        </xdr:cNvSpPr>
      </xdr:nvSpPr>
      <xdr:spPr bwMode="auto">
        <a:xfrm>
          <a:off x="2630557" y="5706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28</xdr:row>
      <xdr:rowOff>0</xdr:rowOff>
    </xdr:from>
    <xdr:ext cx="167225" cy="151836"/>
    <xdr:sp macro="" textlink="">
      <xdr:nvSpPr>
        <xdr:cNvPr id="10358" name="Text Box 118">
          <a:extLst>
            <a:ext uri="{FF2B5EF4-FFF2-40B4-BE49-F238E27FC236}">
              <a16:creationId xmlns:a16="http://schemas.microsoft.com/office/drawing/2014/main" xmlns="" id="{00000000-0008-0000-0200-000076280000}"/>
            </a:ext>
          </a:extLst>
        </xdr:cNvPr>
        <xdr:cNvSpPr txBox="1">
          <a:spLocks noChangeArrowheads="1"/>
        </xdr:cNvSpPr>
      </xdr:nvSpPr>
      <xdr:spPr bwMode="auto">
        <a:xfrm>
          <a:off x="3062329" y="6087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30</xdr:row>
      <xdr:rowOff>0</xdr:rowOff>
    </xdr:from>
    <xdr:ext cx="203261" cy="151836"/>
    <xdr:sp macro="" textlink="">
      <xdr:nvSpPr>
        <xdr:cNvPr id="10359" name="Text Box 119">
          <a:extLst>
            <a:ext uri="{FF2B5EF4-FFF2-40B4-BE49-F238E27FC236}">
              <a16:creationId xmlns:a16="http://schemas.microsoft.com/office/drawing/2014/main" xmlns="" id="{00000000-0008-0000-0200-000077280000}"/>
            </a:ext>
          </a:extLst>
        </xdr:cNvPr>
        <xdr:cNvSpPr txBox="1">
          <a:spLocks noChangeArrowheads="1"/>
        </xdr:cNvSpPr>
      </xdr:nvSpPr>
      <xdr:spPr bwMode="auto">
        <a:xfrm>
          <a:off x="2297844" y="6087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30</xdr:row>
      <xdr:rowOff>0</xdr:rowOff>
    </xdr:from>
    <xdr:ext cx="284630" cy="151836"/>
    <xdr:sp macro="" textlink="">
      <xdr:nvSpPr>
        <xdr:cNvPr id="10360" name="Text Box 120">
          <a:extLst>
            <a:ext uri="{FF2B5EF4-FFF2-40B4-BE49-F238E27FC236}">
              <a16:creationId xmlns:a16="http://schemas.microsoft.com/office/drawing/2014/main" xmlns="" id="{00000000-0008-0000-0200-000078280000}"/>
            </a:ext>
          </a:extLst>
        </xdr:cNvPr>
        <xdr:cNvSpPr txBox="1">
          <a:spLocks noChangeArrowheads="1"/>
        </xdr:cNvSpPr>
      </xdr:nvSpPr>
      <xdr:spPr bwMode="auto">
        <a:xfrm>
          <a:off x="2630557" y="6087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30</xdr:row>
      <xdr:rowOff>0</xdr:rowOff>
    </xdr:from>
    <xdr:ext cx="167225" cy="151836"/>
    <xdr:sp macro="" textlink="">
      <xdr:nvSpPr>
        <xdr:cNvPr id="10361" name="Text Box 121">
          <a:extLst>
            <a:ext uri="{FF2B5EF4-FFF2-40B4-BE49-F238E27FC236}">
              <a16:creationId xmlns:a16="http://schemas.microsoft.com/office/drawing/2014/main" xmlns="" id="{00000000-0008-0000-0200-000079280000}"/>
            </a:ext>
          </a:extLst>
        </xdr:cNvPr>
        <xdr:cNvSpPr txBox="1">
          <a:spLocks noChangeArrowheads="1"/>
        </xdr:cNvSpPr>
      </xdr:nvSpPr>
      <xdr:spPr bwMode="auto">
        <a:xfrm>
          <a:off x="3062329" y="6468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32</xdr:row>
      <xdr:rowOff>0</xdr:rowOff>
    </xdr:from>
    <xdr:ext cx="203261" cy="151836"/>
    <xdr:sp macro="" textlink="">
      <xdr:nvSpPr>
        <xdr:cNvPr id="10362" name="Text Box 122">
          <a:extLst>
            <a:ext uri="{FF2B5EF4-FFF2-40B4-BE49-F238E27FC236}">
              <a16:creationId xmlns:a16="http://schemas.microsoft.com/office/drawing/2014/main" xmlns="" id="{00000000-0008-0000-0200-00007A280000}"/>
            </a:ext>
          </a:extLst>
        </xdr:cNvPr>
        <xdr:cNvSpPr txBox="1">
          <a:spLocks noChangeArrowheads="1"/>
        </xdr:cNvSpPr>
      </xdr:nvSpPr>
      <xdr:spPr bwMode="auto">
        <a:xfrm>
          <a:off x="2297844" y="6468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32</xdr:row>
      <xdr:rowOff>0</xdr:rowOff>
    </xdr:from>
    <xdr:ext cx="284630" cy="151836"/>
    <xdr:sp macro="" textlink="">
      <xdr:nvSpPr>
        <xdr:cNvPr id="10363" name="Text Box 123">
          <a:extLst>
            <a:ext uri="{FF2B5EF4-FFF2-40B4-BE49-F238E27FC236}">
              <a16:creationId xmlns:a16="http://schemas.microsoft.com/office/drawing/2014/main" xmlns="" id="{00000000-0008-0000-0200-00007B280000}"/>
            </a:ext>
          </a:extLst>
        </xdr:cNvPr>
        <xdr:cNvSpPr txBox="1">
          <a:spLocks noChangeArrowheads="1"/>
        </xdr:cNvSpPr>
      </xdr:nvSpPr>
      <xdr:spPr bwMode="auto">
        <a:xfrm>
          <a:off x="2630557" y="6468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32</xdr:row>
      <xdr:rowOff>0</xdr:rowOff>
    </xdr:from>
    <xdr:ext cx="167225" cy="151836"/>
    <xdr:sp macro="" textlink="">
      <xdr:nvSpPr>
        <xdr:cNvPr id="10364" name="Text Box 124">
          <a:extLst>
            <a:ext uri="{FF2B5EF4-FFF2-40B4-BE49-F238E27FC236}">
              <a16:creationId xmlns:a16="http://schemas.microsoft.com/office/drawing/2014/main" xmlns="" id="{00000000-0008-0000-0200-00007C280000}"/>
            </a:ext>
          </a:extLst>
        </xdr:cNvPr>
        <xdr:cNvSpPr txBox="1">
          <a:spLocks noChangeArrowheads="1"/>
        </xdr:cNvSpPr>
      </xdr:nvSpPr>
      <xdr:spPr bwMode="auto">
        <a:xfrm>
          <a:off x="3062329" y="6849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34</xdr:row>
      <xdr:rowOff>0</xdr:rowOff>
    </xdr:from>
    <xdr:ext cx="203261" cy="151836"/>
    <xdr:sp macro="" textlink="">
      <xdr:nvSpPr>
        <xdr:cNvPr id="10365" name="Text Box 125">
          <a:extLst>
            <a:ext uri="{FF2B5EF4-FFF2-40B4-BE49-F238E27FC236}">
              <a16:creationId xmlns:a16="http://schemas.microsoft.com/office/drawing/2014/main" xmlns="" id="{00000000-0008-0000-0200-00007D280000}"/>
            </a:ext>
          </a:extLst>
        </xdr:cNvPr>
        <xdr:cNvSpPr txBox="1">
          <a:spLocks noChangeArrowheads="1"/>
        </xdr:cNvSpPr>
      </xdr:nvSpPr>
      <xdr:spPr bwMode="auto">
        <a:xfrm>
          <a:off x="2297844" y="6849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34</xdr:row>
      <xdr:rowOff>0</xdr:rowOff>
    </xdr:from>
    <xdr:ext cx="284630" cy="151836"/>
    <xdr:sp macro="" textlink="">
      <xdr:nvSpPr>
        <xdr:cNvPr id="10366" name="Text Box 126">
          <a:extLst>
            <a:ext uri="{FF2B5EF4-FFF2-40B4-BE49-F238E27FC236}">
              <a16:creationId xmlns:a16="http://schemas.microsoft.com/office/drawing/2014/main" xmlns="" id="{00000000-0008-0000-0200-00007E280000}"/>
            </a:ext>
          </a:extLst>
        </xdr:cNvPr>
        <xdr:cNvSpPr txBox="1">
          <a:spLocks noChangeArrowheads="1"/>
        </xdr:cNvSpPr>
      </xdr:nvSpPr>
      <xdr:spPr bwMode="auto">
        <a:xfrm>
          <a:off x="2630557" y="6849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34</xdr:row>
      <xdr:rowOff>0</xdr:rowOff>
    </xdr:from>
    <xdr:ext cx="167225" cy="151836"/>
    <xdr:sp macro="" textlink="">
      <xdr:nvSpPr>
        <xdr:cNvPr id="10367" name="Text Box 127">
          <a:extLst>
            <a:ext uri="{FF2B5EF4-FFF2-40B4-BE49-F238E27FC236}">
              <a16:creationId xmlns:a16="http://schemas.microsoft.com/office/drawing/2014/main" xmlns="" id="{00000000-0008-0000-0200-00007F280000}"/>
            </a:ext>
          </a:extLst>
        </xdr:cNvPr>
        <xdr:cNvSpPr txBox="1">
          <a:spLocks noChangeArrowheads="1"/>
        </xdr:cNvSpPr>
      </xdr:nvSpPr>
      <xdr:spPr bwMode="auto">
        <a:xfrm>
          <a:off x="3062329" y="7230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36</xdr:row>
      <xdr:rowOff>0</xdr:rowOff>
    </xdr:from>
    <xdr:ext cx="203261" cy="151836"/>
    <xdr:sp macro="" textlink="">
      <xdr:nvSpPr>
        <xdr:cNvPr id="10368" name="Text Box 128">
          <a:extLst>
            <a:ext uri="{FF2B5EF4-FFF2-40B4-BE49-F238E27FC236}">
              <a16:creationId xmlns:a16="http://schemas.microsoft.com/office/drawing/2014/main" xmlns="" id="{00000000-0008-0000-0200-000080280000}"/>
            </a:ext>
          </a:extLst>
        </xdr:cNvPr>
        <xdr:cNvSpPr txBox="1">
          <a:spLocks noChangeArrowheads="1"/>
        </xdr:cNvSpPr>
      </xdr:nvSpPr>
      <xdr:spPr bwMode="auto">
        <a:xfrm>
          <a:off x="2297844" y="7230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36</xdr:row>
      <xdr:rowOff>0</xdr:rowOff>
    </xdr:from>
    <xdr:ext cx="284630" cy="151836"/>
    <xdr:sp macro="" textlink="">
      <xdr:nvSpPr>
        <xdr:cNvPr id="10369" name="Text Box 129">
          <a:extLst>
            <a:ext uri="{FF2B5EF4-FFF2-40B4-BE49-F238E27FC236}">
              <a16:creationId xmlns:a16="http://schemas.microsoft.com/office/drawing/2014/main" xmlns="" id="{00000000-0008-0000-0200-000081280000}"/>
            </a:ext>
          </a:extLst>
        </xdr:cNvPr>
        <xdr:cNvSpPr txBox="1">
          <a:spLocks noChangeArrowheads="1"/>
        </xdr:cNvSpPr>
      </xdr:nvSpPr>
      <xdr:spPr bwMode="auto">
        <a:xfrm>
          <a:off x="2630557" y="7230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36</xdr:row>
      <xdr:rowOff>0</xdr:rowOff>
    </xdr:from>
    <xdr:ext cx="167225" cy="151836"/>
    <xdr:sp macro="" textlink="">
      <xdr:nvSpPr>
        <xdr:cNvPr id="10370" name="Text Box 130">
          <a:extLst>
            <a:ext uri="{FF2B5EF4-FFF2-40B4-BE49-F238E27FC236}">
              <a16:creationId xmlns:a16="http://schemas.microsoft.com/office/drawing/2014/main" xmlns="" id="{00000000-0008-0000-0200-000082280000}"/>
            </a:ext>
          </a:extLst>
        </xdr:cNvPr>
        <xdr:cNvSpPr txBox="1">
          <a:spLocks noChangeArrowheads="1"/>
        </xdr:cNvSpPr>
      </xdr:nvSpPr>
      <xdr:spPr bwMode="auto">
        <a:xfrm>
          <a:off x="3062329" y="7611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38</xdr:row>
      <xdr:rowOff>0</xdr:rowOff>
    </xdr:from>
    <xdr:ext cx="203261" cy="151836"/>
    <xdr:sp macro="" textlink="">
      <xdr:nvSpPr>
        <xdr:cNvPr id="10371" name="Text Box 131">
          <a:extLst>
            <a:ext uri="{FF2B5EF4-FFF2-40B4-BE49-F238E27FC236}">
              <a16:creationId xmlns:a16="http://schemas.microsoft.com/office/drawing/2014/main" xmlns="" id="{00000000-0008-0000-0200-000083280000}"/>
            </a:ext>
          </a:extLst>
        </xdr:cNvPr>
        <xdr:cNvSpPr txBox="1">
          <a:spLocks noChangeArrowheads="1"/>
        </xdr:cNvSpPr>
      </xdr:nvSpPr>
      <xdr:spPr bwMode="auto">
        <a:xfrm>
          <a:off x="2297844" y="7611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38</xdr:row>
      <xdr:rowOff>0</xdr:rowOff>
    </xdr:from>
    <xdr:ext cx="284630" cy="151836"/>
    <xdr:sp macro="" textlink="">
      <xdr:nvSpPr>
        <xdr:cNvPr id="10372" name="Text Box 132">
          <a:extLst>
            <a:ext uri="{FF2B5EF4-FFF2-40B4-BE49-F238E27FC236}">
              <a16:creationId xmlns:a16="http://schemas.microsoft.com/office/drawing/2014/main" xmlns="" id="{00000000-0008-0000-0200-000084280000}"/>
            </a:ext>
          </a:extLst>
        </xdr:cNvPr>
        <xdr:cNvSpPr txBox="1">
          <a:spLocks noChangeArrowheads="1"/>
        </xdr:cNvSpPr>
      </xdr:nvSpPr>
      <xdr:spPr bwMode="auto">
        <a:xfrm>
          <a:off x="2630557" y="7611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38</xdr:row>
      <xdr:rowOff>0</xdr:rowOff>
    </xdr:from>
    <xdr:ext cx="167225" cy="151836"/>
    <xdr:sp macro="" textlink="">
      <xdr:nvSpPr>
        <xdr:cNvPr id="10373" name="Text Box 133">
          <a:extLst>
            <a:ext uri="{FF2B5EF4-FFF2-40B4-BE49-F238E27FC236}">
              <a16:creationId xmlns:a16="http://schemas.microsoft.com/office/drawing/2014/main" xmlns="" id="{00000000-0008-0000-0200-000085280000}"/>
            </a:ext>
          </a:extLst>
        </xdr:cNvPr>
        <xdr:cNvSpPr txBox="1">
          <a:spLocks noChangeArrowheads="1"/>
        </xdr:cNvSpPr>
      </xdr:nvSpPr>
      <xdr:spPr bwMode="auto">
        <a:xfrm>
          <a:off x="3062329" y="7992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42</xdr:row>
      <xdr:rowOff>0</xdr:rowOff>
    </xdr:from>
    <xdr:ext cx="203261" cy="151836"/>
    <xdr:sp macro="" textlink="">
      <xdr:nvSpPr>
        <xdr:cNvPr id="10377" name="Text Box 137">
          <a:extLst>
            <a:ext uri="{FF2B5EF4-FFF2-40B4-BE49-F238E27FC236}">
              <a16:creationId xmlns:a16="http://schemas.microsoft.com/office/drawing/2014/main" xmlns="" id="{00000000-0008-0000-0200-000089280000}"/>
            </a:ext>
          </a:extLst>
        </xdr:cNvPr>
        <xdr:cNvSpPr txBox="1">
          <a:spLocks noChangeArrowheads="1"/>
        </xdr:cNvSpPr>
      </xdr:nvSpPr>
      <xdr:spPr bwMode="auto">
        <a:xfrm>
          <a:off x="2297844" y="8373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42</xdr:row>
      <xdr:rowOff>0</xdr:rowOff>
    </xdr:from>
    <xdr:ext cx="284630" cy="151836"/>
    <xdr:sp macro="" textlink="">
      <xdr:nvSpPr>
        <xdr:cNvPr id="10378" name="Text Box 138">
          <a:extLst>
            <a:ext uri="{FF2B5EF4-FFF2-40B4-BE49-F238E27FC236}">
              <a16:creationId xmlns:a16="http://schemas.microsoft.com/office/drawing/2014/main" xmlns="" id="{00000000-0008-0000-0200-00008A280000}"/>
            </a:ext>
          </a:extLst>
        </xdr:cNvPr>
        <xdr:cNvSpPr txBox="1">
          <a:spLocks noChangeArrowheads="1"/>
        </xdr:cNvSpPr>
      </xdr:nvSpPr>
      <xdr:spPr bwMode="auto">
        <a:xfrm>
          <a:off x="2630557" y="8373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42</xdr:row>
      <xdr:rowOff>0</xdr:rowOff>
    </xdr:from>
    <xdr:ext cx="167225" cy="151836"/>
    <xdr:sp macro="" textlink="">
      <xdr:nvSpPr>
        <xdr:cNvPr id="10379" name="Text Box 139">
          <a:extLst>
            <a:ext uri="{FF2B5EF4-FFF2-40B4-BE49-F238E27FC236}">
              <a16:creationId xmlns:a16="http://schemas.microsoft.com/office/drawing/2014/main" xmlns="" id="{00000000-0008-0000-0200-00008B280000}"/>
            </a:ext>
          </a:extLst>
        </xdr:cNvPr>
        <xdr:cNvSpPr txBox="1">
          <a:spLocks noChangeArrowheads="1"/>
        </xdr:cNvSpPr>
      </xdr:nvSpPr>
      <xdr:spPr bwMode="auto">
        <a:xfrm>
          <a:off x="3062329" y="8754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44</xdr:row>
      <xdr:rowOff>0</xdr:rowOff>
    </xdr:from>
    <xdr:ext cx="203261" cy="151836"/>
    <xdr:sp macro="" textlink="">
      <xdr:nvSpPr>
        <xdr:cNvPr id="10380" name="Text Box 140">
          <a:extLst>
            <a:ext uri="{FF2B5EF4-FFF2-40B4-BE49-F238E27FC236}">
              <a16:creationId xmlns:a16="http://schemas.microsoft.com/office/drawing/2014/main" xmlns="" id="{00000000-0008-0000-0200-00008C280000}"/>
            </a:ext>
          </a:extLst>
        </xdr:cNvPr>
        <xdr:cNvSpPr txBox="1">
          <a:spLocks noChangeArrowheads="1"/>
        </xdr:cNvSpPr>
      </xdr:nvSpPr>
      <xdr:spPr bwMode="auto">
        <a:xfrm>
          <a:off x="2297844" y="8746435"/>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44</xdr:row>
      <xdr:rowOff>0</xdr:rowOff>
    </xdr:from>
    <xdr:ext cx="284630" cy="151836"/>
    <xdr:sp macro="" textlink="">
      <xdr:nvSpPr>
        <xdr:cNvPr id="10381" name="Text Box 141">
          <a:extLst>
            <a:ext uri="{FF2B5EF4-FFF2-40B4-BE49-F238E27FC236}">
              <a16:creationId xmlns:a16="http://schemas.microsoft.com/office/drawing/2014/main" xmlns="" id="{00000000-0008-0000-0200-00008D280000}"/>
            </a:ext>
          </a:extLst>
        </xdr:cNvPr>
        <xdr:cNvSpPr txBox="1">
          <a:spLocks noChangeArrowheads="1"/>
        </xdr:cNvSpPr>
      </xdr:nvSpPr>
      <xdr:spPr bwMode="auto">
        <a:xfrm>
          <a:off x="2630557" y="8746435"/>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44</xdr:row>
      <xdr:rowOff>0</xdr:rowOff>
    </xdr:from>
    <xdr:ext cx="167225" cy="151836"/>
    <xdr:sp macro="" textlink="">
      <xdr:nvSpPr>
        <xdr:cNvPr id="10382" name="Text Box 142">
          <a:extLst>
            <a:ext uri="{FF2B5EF4-FFF2-40B4-BE49-F238E27FC236}">
              <a16:creationId xmlns:a16="http://schemas.microsoft.com/office/drawing/2014/main" xmlns="" id="{00000000-0008-0000-0200-00008E280000}"/>
            </a:ext>
          </a:extLst>
        </xdr:cNvPr>
        <xdr:cNvSpPr txBox="1">
          <a:spLocks noChangeArrowheads="1"/>
        </xdr:cNvSpPr>
      </xdr:nvSpPr>
      <xdr:spPr bwMode="auto">
        <a:xfrm>
          <a:off x="3062329" y="9127435"/>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49</xdr:row>
      <xdr:rowOff>0</xdr:rowOff>
    </xdr:from>
    <xdr:ext cx="203261" cy="151836"/>
    <xdr:sp macro="" textlink="">
      <xdr:nvSpPr>
        <xdr:cNvPr id="10383" name="Text Box 143">
          <a:extLst>
            <a:ext uri="{FF2B5EF4-FFF2-40B4-BE49-F238E27FC236}">
              <a16:creationId xmlns:a16="http://schemas.microsoft.com/office/drawing/2014/main" xmlns="" id="{00000000-0008-0000-0200-00008F280000}"/>
            </a:ext>
          </a:extLst>
        </xdr:cNvPr>
        <xdr:cNvSpPr txBox="1">
          <a:spLocks noChangeArrowheads="1"/>
        </xdr:cNvSpPr>
      </xdr:nvSpPr>
      <xdr:spPr bwMode="auto">
        <a:xfrm>
          <a:off x="2173605" y="9698935"/>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49</xdr:row>
      <xdr:rowOff>0</xdr:rowOff>
    </xdr:from>
    <xdr:ext cx="284630" cy="151836"/>
    <xdr:sp macro="" textlink="">
      <xdr:nvSpPr>
        <xdr:cNvPr id="10384" name="Text Box 144">
          <a:extLst>
            <a:ext uri="{FF2B5EF4-FFF2-40B4-BE49-F238E27FC236}">
              <a16:creationId xmlns:a16="http://schemas.microsoft.com/office/drawing/2014/main" xmlns="" id="{00000000-0008-0000-0200-000090280000}"/>
            </a:ext>
          </a:extLst>
        </xdr:cNvPr>
        <xdr:cNvSpPr txBox="1">
          <a:spLocks noChangeArrowheads="1"/>
        </xdr:cNvSpPr>
      </xdr:nvSpPr>
      <xdr:spPr bwMode="auto">
        <a:xfrm>
          <a:off x="2506317" y="9698935"/>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49</xdr:row>
      <xdr:rowOff>0</xdr:rowOff>
    </xdr:from>
    <xdr:ext cx="167225" cy="151836"/>
    <xdr:sp macro="" textlink="">
      <xdr:nvSpPr>
        <xdr:cNvPr id="10385" name="Text Box 145">
          <a:extLst>
            <a:ext uri="{FF2B5EF4-FFF2-40B4-BE49-F238E27FC236}">
              <a16:creationId xmlns:a16="http://schemas.microsoft.com/office/drawing/2014/main" xmlns="" id="{00000000-0008-0000-0200-000091280000}"/>
            </a:ext>
          </a:extLst>
        </xdr:cNvPr>
        <xdr:cNvSpPr txBox="1">
          <a:spLocks noChangeArrowheads="1"/>
        </xdr:cNvSpPr>
      </xdr:nvSpPr>
      <xdr:spPr bwMode="auto">
        <a:xfrm>
          <a:off x="2938090" y="10079935"/>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51</xdr:row>
      <xdr:rowOff>0</xdr:rowOff>
    </xdr:from>
    <xdr:ext cx="203261" cy="151836"/>
    <xdr:sp macro="" textlink="">
      <xdr:nvSpPr>
        <xdr:cNvPr id="10386" name="Text Box 146">
          <a:extLst>
            <a:ext uri="{FF2B5EF4-FFF2-40B4-BE49-F238E27FC236}">
              <a16:creationId xmlns:a16="http://schemas.microsoft.com/office/drawing/2014/main" xmlns="" id="{00000000-0008-0000-0200-000092280000}"/>
            </a:ext>
          </a:extLst>
        </xdr:cNvPr>
        <xdr:cNvSpPr txBox="1">
          <a:spLocks noChangeArrowheads="1"/>
        </xdr:cNvSpPr>
      </xdr:nvSpPr>
      <xdr:spPr bwMode="auto">
        <a:xfrm>
          <a:off x="2173605" y="10071652"/>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51</xdr:row>
      <xdr:rowOff>0</xdr:rowOff>
    </xdr:from>
    <xdr:ext cx="284630" cy="151836"/>
    <xdr:sp macro="" textlink="">
      <xdr:nvSpPr>
        <xdr:cNvPr id="10387" name="Text Box 147">
          <a:extLst>
            <a:ext uri="{FF2B5EF4-FFF2-40B4-BE49-F238E27FC236}">
              <a16:creationId xmlns:a16="http://schemas.microsoft.com/office/drawing/2014/main" xmlns="" id="{00000000-0008-0000-0200-000093280000}"/>
            </a:ext>
          </a:extLst>
        </xdr:cNvPr>
        <xdr:cNvSpPr txBox="1">
          <a:spLocks noChangeArrowheads="1"/>
        </xdr:cNvSpPr>
      </xdr:nvSpPr>
      <xdr:spPr bwMode="auto">
        <a:xfrm>
          <a:off x="2506317" y="10071652"/>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51</xdr:row>
      <xdr:rowOff>0</xdr:rowOff>
    </xdr:from>
    <xdr:ext cx="167225" cy="151836"/>
    <xdr:sp macro="" textlink="">
      <xdr:nvSpPr>
        <xdr:cNvPr id="10388" name="Text Box 148">
          <a:extLst>
            <a:ext uri="{FF2B5EF4-FFF2-40B4-BE49-F238E27FC236}">
              <a16:creationId xmlns:a16="http://schemas.microsoft.com/office/drawing/2014/main" xmlns="" id="{00000000-0008-0000-0200-000094280000}"/>
            </a:ext>
          </a:extLst>
        </xdr:cNvPr>
        <xdr:cNvSpPr txBox="1">
          <a:spLocks noChangeArrowheads="1"/>
        </xdr:cNvSpPr>
      </xdr:nvSpPr>
      <xdr:spPr bwMode="auto">
        <a:xfrm>
          <a:off x="2938090" y="10452652"/>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53</xdr:row>
      <xdr:rowOff>0</xdr:rowOff>
    </xdr:from>
    <xdr:ext cx="203261" cy="151836"/>
    <xdr:sp macro="" textlink="">
      <xdr:nvSpPr>
        <xdr:cNvPr id="10389" name="Text Box 149">
          <a:extLst>
            <a:ext uri="{FF2B5EF4-FFF2-40B4-BE49-F238E27FC236}">
              <a16:creationId xmlns:a16="http://schemas.microsoft.com/office/drawing/2014/main" xmlns="" id="{00000000-0008-0000-0200-000095280000}"/>
            </a:ext>
          </a:extLst>
        </xdr:cNvPr>
        <xdr:cNvSpPr txBox="1">
          <a:spLocks noChangeArrowheads="1"/>
        </xdr:cNvSpPr>
      </xdr:nvSpPr>
      <xdr:spPr bwMode="auto">
        <a:xfrm>
          <a:off x="2173605" y="1044437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53</xdr:row>
      <xdr:rowOff>0</xdr:rowOff>
    </xdr:from>
    <xdr:ext cx="284630" cy="151836"/>
    <xdr:sp macro="" textlink="">
      <xdr:nvSpPr>
        <xdr:cNvPr id="10390" name="Text Box 150">
          <a:extLst>
            <a:ext uri="{FF2B5EF4-FFF2-40B4-BE49-F238E27FC236}">
              <a16:creationId xmlns:a16="http://schemas.microsoft.com/office/drawing/2014/main" xmlns="" id="{00000000-0008-0000-0200-000096280000}"/>
            </a:ext>
          </a:extLst>
        </xdr:cNvPr>
        <xdr:cNvSpPr txBox="1">
          <a:spLocks noChangeArrowheads="1"/>
        </xdr:cNvSpPr>
      </xdr:nvSpPr>
      <xdr:spPr bwMode="auto">
        <a:xfrm>
          <a:off x="2506317" y="1044437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53</xdr:row>
      <xdr:rowOff>0</xdr:rowOff>
    </xdr:from>
    <xdr:ext cx="167225" cy="151836"/>
    <xdr:sp macro="" textlink="">
      <xdr:nvSpPr>
        <xdr:cNvPr id="10391" name="Text Box 151">
          <a:extLst>
            <a:ext uri="{FF2B5EF4-FFF2-40B4-BE49-F238E27FC236}">
              <a16:creationId xmlns:a16="http://schemas.microsoft.com/office/drawing/2014/main" xmlns="" id="{00000000-0008-0000-0200-000097280000}"/>
            </a:ext>
          </a:extLst>
        </xdr:cNvPr>
        <xdr:cNvSpPr txBox="1">
          <a:spLocks noChangeArrowheads="1"/>
        </xdr:cNvSpPr>
      </xdr:nvSpPr>
      <xdr:spPr bwMode="auto">
        <a:xfrm>
          <a:off x="2938090" y="1082537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48</xdr:col>
      <xdr:colOff>20955</xdr:colOff>
      <xdr:row>116</xdr:row>
      <xdr:rowOff>0</xdr:rowOff>
    </xdr:from>
    <xdr:ext cx="121380" cy="201850"/>
    <xdr:sp macro="" textlink="">
      <xdr:nvSpPr>
        <xdr:cNvPr id="10393" name="Text Box 153">
          <a:extLst>
            <a:ext uri="{FF2B5EF4-FFF2-40B4-BE49-F238E27FC236}">
              <a16:creationId xmlns:a16="http://schemas.microsoft.com/office/drawing/2014/main" xmlns="" id="{00000000-0008-0000-0200-000099280000}"/>
            </a:ext>
          </a:extLst>
        </xdr:cNvPr>
        <xdr:cNvSpPr txBox="1">
          <a:spLocks noChangeArrowheads="1"/>
        </xdr:cNvSpPr>
      </xdr:nvSpPr>
      <xdr:spPr bwMode="auto">
        <a:xfrm>
          <a:off x="5967868" y="20673391"/>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twoCellAnchor editAs="oneCell">
    <xdr:from>
      <xdr:col>8</xdr:col>
      <xdr:colOff>87630</xdr:colOff>
      <xdr:row>56</xdr:row>
      <xdr:rowOff>171450</xdr:rowOff>
    </xdr:from>
    <xdr:to>
      <xdr:col>11</xdr:col>
      <xdr:colOff>44</xdr:colOff>
      <xdr:row>58</xdr:row>
      <xdr:rowOff>66675</xdr:rowOff>
    </xdr:to>
    <xdr:sp macro="" textlink="">
      <xdr:nvSpPr>
        <xdr:cNvPr id="10431" name="Text Box 191">
          <a:extLst>
            <a:ext uri="{FF2B5EF4-FFF2-40B4-BE49-F238E27FC236}">
              <a16:creationId xmlns:a16="http://schemas.microsoft.com/office/drawing/2014/main" xmlns="" id="{00000000-0008-0000-0200-0000BF280000}"/>
            </a:ext>
          </a:extLst>
        </xdr:cNvPr>
        <xdr:cNvSpPr txBox="1">
          <a:spLocks noChangeArrowheads="1"/>
        </xdr:cNvSpPr>
      </xdr:nvSpPr>
      <xdr:spPr bwMode="auto">
        <a:xfrm>
          <a:off x="1057275" y="11563350"/>
          <a:ext cx="285750"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　　</a:t>
          </a:r>
          <a:endParaRPr lang="ja-JP" altLang="en-US"/>
        </a:p>
      </xdr:txBody>
    </xdr:sp>
    <xdr:clientData/>
  </xdr:twoCellAnchor>
  <xdr:oneCellAnchor>
    <xdr:from>
      <xdr:col>54</xdr:col>
      <xdr:colOff>30480</xdr:colOff>
      <xdr:row>116</xdr:row>
      <xdr:rowOff>0</xdr:rowOff>
    </xdr:from>
    <xdr:ext cx="121380" cy="201850"/>
    <xdr:sp macro="" textlink="">
      <xdr:nvSpPr>
        <xdr:cNvPr id="10444" name="Text Box 204">
          <a:extLst>
            <a:ext uri="{FF2B5EF4-FFF2-40B4-BE49-F238E27FC236}">
              <a16:creationId xmlns:a16="http://schemas.microsoft.com/office/drawing/2014/main" xmlns="" id="{00000000-0008-0000-0200-0000CC280000}"/>
            </a:ext>
          </a:extLst>
        </xdr:cNvPr>
        <xdr:cNvSpPr txBox="1">
          <a:spLocks noChangeArrowheads="1"/>
        </xdr:cNvSpPr>
      </xdr:nvSpPr>
      <xdr:spPr bwMode="auto">
        <a:xfrm>
          <a:off x="6722828" y="20673391"/>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48</xdr:col>
      <xdr:colOff>20955</xdr:colOff>
      <xdr:row>116</xdr:row>
      <xdr:rowOff>0</xdr:rowOff>
    </xdr:from>
    <xdr:ext cx="121380" cy="201850"/>
    <xdr:sp macro="" textlink="">
      <xdr:nvSpPr>
        <xdr:cNvPr id="10445" name="Text Box 205">
          <a:extLst>
            <a:ext uri="{FF2B5EF4-FFF2-40B4-BE49-F238E27FC236}">
              <a16:creationId xmlns:a16="http://schemas.microsoft.com/office/drawing/2014/main" xmlns="" id="{00000000-0008-0000-0200-0000CD280000}"/>
            </a:ext>
          </a:extLst>
        </xdr:cNvPr>
        <xdr:cNvSpPr txBox="1">
          <a:spLocks noChangeArrowheads="1"/>
        </xdr:cNvSpPr>
      </xdr:nvSpPr>
      <xdr:spPr bwMode="auto">
        <a:xfrm>
          <a:off x="5967868" y="20673391"/>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18</xdr:col>
      <xdr:colOff>78105</xdr:colOff>
      <xdr:row>40</xdr:row>
      <xdr:rowOff>0</xdr:rowOff>
    </xdr:from>
    <xdr:ext cx="203261" cy="151836"/>
    <xdr:sp macro="" textlink="">
      <xdr:nvSpPr>
        <xdr:cNvPr id="10450" name="Text Box 210">
          <a:extLst>
            <a:ext uri="{FF2B5EF4-FFF2-40B4-BE49-F238E27FC236}">
              <a16:creationId xmlns:a16="http://schemas.microsoft.com/office/drawing/2014/main" xmlns="" id="{00000000-0008-0000-0200-0000D2280000}"/>
            </a:ext>
          </a:extLst>
        </xdr:cNvPr>
        <xdr:cNvSpPr txBox="1">
          <a:spLocks noChangeArrowheads="1"/>
        </xdr:cNvSpPr>
      </xdr:nvSpPr>
      <xdr:spPr bwMode="auto">
        <a:xfrm>
          <a:off x="2297844" y="7992717"/>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40</xdr:row>
      <xdr:rowOff>0</xdr:rowOff>
    </xdr:from>
    <xdr:ext cx="284630" cy="151836"/>
    <xdr:sp macro="" textlink="">
      <xdr:nvSpPr>
        <xdr:cNvPr id="10451" name="Text Box 211">
          <a:extLst>
            <a:ext uri="{FF2B5EF4-FFF2-40B4-BE49-F238E27FC236}">
              <a16:creationId xmlns:a16="http://schemas.microsoft.com/office/drawing/2014/main" xmlns="" id="{00000000-0008-0000-0200-0000D3280000}"/>
            </a:ext>
          </a:extLst>
        </xdr:cNvPr>
        <xdr:cNvSpPr txBox="1">
          <a:spLocks noChangeArrowheads="1"/>
        </xdr:cNvSpPr>
      </xdr:nvSpPr>
      <xdr:spPr bwMode="auto">
        <a:xfrm>
          <a:off x="2630557" y="7992717"/>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40</xdr:row>
      <xdr:rowOff>0</xdr:rowOff>
    </xdr:from>
    <xdr:ext cx="167225" cy="151836"/>
    <xdr:sp macro="" textlink="">
      <xdr:nvSpPr>
        <xdr:cNvPr id="10452" name="Text Box 212">
          <a:extLst>
            <a:ext uri="{FF2B5EF4-FFF2-40B4-BE49-F238E27FC236}">
              <a16:creationId xmlns:a16="http://schemas.microsoft.com/office/drawing/2014/main" xmlns="" id="{00000000-0008-0000-0200-0000D4280000}"/>
            </a:ext>
          </a:extLst>
        </xdr:cNvPr>
        <xdr:cNvSpPr txBox="1">
          <a:spLocks noChangeArrowheads="1"/>
        </xdr:cNvSpPr>
      </xdr:nvSpPr>
      <xdr:spPr bwMode="auto">
        <a:xfrm>
          <a:off x="3062329" y="8373717"/>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61</xdr:col>
      <xdr:colOff>43766</xdr:colOff>
      <xdr:row>32</xdr:row>
      <xdr:rowOff>85696</xdr:rowOff>
    </xdr:from>
    <xdr:ext cx="3118533" cy="1543080"/>
    <xdr:sp macro="" textlink="">
      <xdr:nvSpPr>
        <xdr:cNvPr id="2" name="テキスト ボックス 1">
          <a:extLst>
            <a:ext uri="{FF2B5EF4-FFF2-40B4-BE49-F238E27FC236}">
              <a16:creationId xmlns:a16="http://schemas.microsoft.com/office/drawing/2014/main" xmlns="" id="{00000000-0008-0000-0200-000002000000}"/>
            </a:ext>
          </a:extLst>
        </xdr:cNvPr>
        <xdr:cNvSpPr txBox="1"/>
      </xdr:nvSpPr>
      <xdr:spPr>
        <a:xfrm>
          <a:off x="7463741" y="6553171"/>
          <a:ext cx="3118533" cy="1543080"/>
        </a:xfrm>
        <a:prstGeom prst="rect">
          <a:avLst/>
        </a:prstGeom>
        <a:solidFill>
          <a:sysClr val="window" lastClr="FFFFF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solidFill>
                <a:schemeClr val="bg1"/>
              </a:solidFill>
            </a:rPr>
            <a:t>■１１（１）■</a:t>
          </a:r>
          <a:endParaRPr kumimoji="1" lang="en-US" altLang="ja-JP" sz="1000" baseline="0">
            <a:solidFill>
              <a:schemeClr val="bg1"/>
            </a:solidFill>
          </a:endParaRPr>
        </a:p>
        <a:p>
          <a:r>
            <a:rPr kumimoji="1" lang="en-US" altLang="ja-JP" sz="1400" b="1" baseline="0">
              <a:solidFill>
                <a:schemeClr val="bg1"/>
              </a:solidFill>
            </a:rPr>
            <a:t>PHẢI </a:t>
          </a:r>
          <a:r>
            <a:rPr kumimoji="1" lang="en-US" altLang="ja-JP" sz="1000" b="1" baseline="0">
              <a:solidFill>
                <a:schemeClr val="bg1"/>
              </a:solidFill>
            </a:rPr>
            <a:t>GHI THÔNG TIN VỀ ÔNG, BÀ</a:t>
          </a:r>
        </a:p>
        <a:p>
          <a:r>
            <a:rPr kumimoji="1" lang="en-US" altLang="ja-JP" sz="1000" baseline="0">
              <a:solidFill>
                <a:schemeClr val="bg1"/>
              </a:solidFill>
            </a:rPr>
            <a:t>Dù đã mất, nhưng cũng phải ghi vào như hướng dẫn dưới đây</a:t>
          </a:r>
        </a:p>
        <a:p>
          <a:r>
            <a:rPr kumimoji="1" lang="ja-JP" altLang="en-US" sz="1000" baseline="0">
              <a:solidFill>
                <a:schemeClr val="bg1"/>
              </a:solidFill>
            </a:rPr>
            <a:t>①</a:t>
          </a:r>
          <a:r>
            <a:rPr kumimoji="1" lang="en-US" altLang="ja-JP" sz="1000" baseline="0">
              <a:solidFill>
                <a:schemeClr val="bg1"/>
              </a:solidFill>
            </a:rPr>
            <a:t>Họ và tên, ngày tháng năm sinh.</a:t>
          </a:r>
          <a:br>
            <a:rPr kumimoji="1" lang="en-US" altLang="ja-JP" sz="1000" baseline="0">
              <a:solidFill>
                <a:schemeClr val="bg1"/>
              </a:solidFill>
            </a:rPr>
          </a:br>
          <a:r>
            <a:rPr kumimoji="1" lang="en-US" altLang="ja-JP" sz="1000" baseline="0">
              <a:solidFill>
                <a:schemeClr val="bg1"/>
              </a:solidFill>
            </a:rPr>
            <a:t>trường hợp không biết ngày tháng năm sinh thì chừa trống.</a:t>
          </a:r>
        </a:p>
        <a:p>
          <a:r>
            <a:rPr kumimoji="1" lang="ja-JP" altLang="en-US" sz="1000" baseline="0">
              <a:solidFill>
                <a:schemeClr val="bg1"/>
              </a:solidFill>
            </a:rPr>
            <a:t>②</a:t>
          </a:r>
          <a:r>
            <a:rPr kumimoji="1" lang="en-US" altLang="ja-JP" sz="1000" baseline="0">
              <a:solidFill>
                <a:schemeClr val="bg1"/>
              </a:solidFill>
            </a:rPr>
            <a:t>Phần địa chỉ hiện tại thì ghi </a:t>
          </a:r>
          <a:r>
            <a:rPr kumimoji="1" lang="ja-JP" altLang="en-US" sz="1000" baseline="0">
              <a:solidFill>
                <a:schemeClr val="bg1"/>
              </a:solidFill>
            </a:rPr>
            <a:t>「</a:t>
          </a:r>
          <a:r>
            <a:rPr kumimoji="1" lang="en-US" altLang="ja-JP" sz="1000" baseline="0">
              <a:solidFill>
                <a:schemeClr val="bg1"/>
              </a:solidFill>
            </a:rPr>
            <a:t>Dead</a:t>
          </a:r>
          <a:r>
            <a:rPr kumimoji="1" lang="ja-JP" altLang="en-US" sz="1000" baseline="0">
              <a:solidFill>
                <a:schemeClr val="bg1"/>
              </a:solidFill>
            </a:rPr>
            <a:t>」</a:t>
          </a:r>
          <a:r>
            <a:rPr kumimoji="1" lang="en-US" altLang="ja-JP" sz="1000" baseline="0">
              <a:solidFill>
                <a:schemeClr val="bg1"/>
              </a:solidFill>
            </a:rPr>
            <a:t>.</a:t>
          </a:r>
        </a:p>
      </xdr:txBody>
    </xdr:sp>
    <xdr:clientData/>
  </xdr:oneCellAnchor>
  <xdr:oneCellAnchor>
    <xdr:from>
      <xdr:col>61</xdr:col>
      <xdr:colOff>90638</xdr:colOff>
      <xdr:row>41</xdr:row>
      <xdr:rowOff>2512</xdr:rowOff>
    </xdr:from>
    <xdr:ext cx="2295995" cy="918514"/>
    <xdr:sp macro="" textlink="">
      <xdr:nvSpPr>
        <xdr:cNvPr id="48" name="テキスト ボックス 47">
          <a:extLst>
            <a:ext uri="{FF2B5EF4-FFF2-40B4-BE49-F238E27FC236}">
              <a16:creationId xmlns:a16="http://schemas.microsoft.com/office/drawing/2014/main" xmlns="" id="{00000000-0008-0000-0200-000030000000}"/>
            </a:ext>
          </a:extLst>
        </xdr:cNvPr>
        <xdr:cNvSpPr txBox="1"/>
      </xdr:nvSpPr>
      <xdr:spPr>
        <a:xfrm>
          <a:off x="7510613" y="8184487"/>
          <a:ext cx="2295995" cy="91851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■１１（１）■</a:t>
          </a:r>
          <a:endParaRPr kumimoji="1" lang="en-US" altLang="ja-JP" sz="1000" baseline="0"/>
        </a:p>
        <a:p>
          <a:r>
            <a:rPr kumimoji="1" lang="en-US" altLang="ja-JP" sz="1000" b="1" baseline="0">
              <a:solidFill>
                <a:srgbClr val="FF0000"/>
              </a:solidFill>
            </a:rPr>
            <a:t>TRƯỜNG HỢP CÓ ANH CHỊ EM, HOẶC NHỮNG NGƯỜI CÓ QUAN HỆ HỌ HÀNG ĐANG SỐNG CHUNG, THÌ PHẢI GHI VÀO Ở NHỮNG Ô TRỐNG CÒN LẠI.</a:t>
          </a:r>
        </a:p>
      </xdr:txBody>
    </xdr:sp>
    <xdr:clientData/>
  </xdr:oneCellAnchor>
  <xdr:oneCellAnchor>
    <xdr:from>
      <xdr:col>61</xdr:col>
      <xdr:colOff>99391</xdr:colOff>
      <xdr:row>47</xdr:row>
      <xdr:rowOff>16565</xdr:rowOff>
    </xdr:from>
    <xdr:ext cx="2274532" cy="1375550"/>
    <xdr:sp macro="" textlink="">
      <xdr:nvSpPr>
        <xdr:cNvPr id="49" name="テキスト ボックス 48">
          <a:extLst>
            <a:ext uri="{FF2B5EF4-FFF2-40B4-BE49-F238E27FC236}">
              <a16:creationId xmlns:a16="http://schemas.microsoft.com/office/drawing/2014/main" xmlns="" id="{00000000-0008-0000-0200-000031000000}"/>
            </a:ext>
          </a:extLst>
        </xdr:cNvPr>
        <xdr:cNvSpPr txBox="1"/>
      </xdr:nvSpPr>
      <xdr:spPr>
        <a:xfrm>
          <a:off x="7558199" y="9387700"/>
          <a:ext cx="2274532" cy="137555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■１１（２）</a:t>
          </a:r>
          <a:r>
            <a:rPr kumimoji="1" lang="en-US" altLang="ja-JP" sz="1000" baseline="0"/>
            <a:t>Họ hàng tại Nhật-</a:t>
          </a:r>
          <a:r>
            <a:rPr kumimoji="1" lang="ja-JP" altLang="en-US" sz="1000" baseline="0"/>
            <a:t>在日親族■</a:t>
          </a:r>
          <a:endParaRPr kumimoji="1" lang="en-US" altLang="ja-JP" sz="1000" baseline="0"/>
        </a:p>
        <a:p>
          <a:endParaRPr kumimoji="1" lang="en-US" altLang="ja-JP" sz="1000" baseline="0"/>
        </a:p>
        <a:p>
          <a:r>
            <a:rPr kumimoji="1" lang="en-US" altLang="ja-JP" sz="1000" baseline="0"/>
            <a:t>Trường hợp có ông bà, cha mẹ, anh chị em đang sống tại Nhật, Hãy điền thông tin vào những hàng "Zainichi shinzoku"</a:t>
          </a:r>
        </a:p>
        <a:p>
          <a:endParaRPr kumimoji="1" lang="en-US" altLang="ja-JP" sz="1000" baseline="0"/>
        </a:p>
        <a:p>
          <a:r>
            <a:rPr kumimoji="1" lang="en-US" altLang="ja-JP" sz="1000" baseline="0"/>
            <a:t>Dù là dự định cùng sống với họ hàng thì cũng ghi vào.</a:t>
          </a:r>
        </a:p>
      </xdr:txBody>
    </xdr:sp>
    <xdr:clientData/>
  </xdr:oneCellAnchor>
  <xdr:oneCellAnchor>
    <xdr:from>
      <xdr:col>61</xdr:col>
      <xdr:colOff>91109</xdr:colOff>
      <xdr:row>55</xdr:row>
      <xdr:rowOff>99390</xdr:rowOff>
    </xdr:from>
    <xdr:ext cx="2103782" cy="1072918"/>
    <xdr:sp macro="" textlink="">
      <xdr:nvSpPr>
        <xdr:cNvPr id="50" name="テキスト ボックス 49">
          <a:extLst>
            <a:ext uri="{FF2B5EF4-FFF2-40B4-BE49-F238E27FC236}">
              <a16:creationId xmlns:a16="http://schemas.microsoft.com/office/drawing/2014/main" xmlns="" id="{00000000-0008-0000-0200-000032000000}"/>
            </a:ext>
          </a:extLst>
        </xdr:cNvPr>
        <xdr:cNvSpPr txBox="1"/>
      </xdr:nvSpPr>
      <xdr:spPr>
        <a:xfrm>
          <a:off x="7549917" y="10921255"/>
          <a:ext cx="2103782" cy="107291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12.Hộ chiếu- </a:t>
          </a:r>
          <a:r>
            <a:rPr kumimoji="1" lang="ja-JP" altLang="en-US" sz="1000" baseline="0"/>
            <a:t>旅券■</a:t>
          </a:r>
          <a:endParaRPr kumimoji="1" lang="en-US" altLang="ja-JP" sz="1000" baseline="0"/>
        </a:p>
        <a:p>
          <a:r>
            <a:rPr kumimoji="1" lang="en-US" altLang="ja-JP" sz="1000" baseline="0"/>
            <a:t>Trường hợp đã có hộ chiếu thì hãy copy và nộp.</a:t>
          </a:r>
        </a:p>
        <a:p>
          <a:r>
            <a:rPr kumimoji="1" lang="en-US" altLang="ja-JP" sz="1000" baseline="0"/>
            <a:t>Ngoài ra, sau khi nhập quốc vào Nhật Bản thì cũng phải copy tất cả những trang giấy có đóng dấu.</a:t>
          </a:r>
        </a:p>
      </xdr:txBody>
    </xdr:sp>
    <xdr:clientData/>
  </xdr:oneCellAnchor>
  <xdr:oneCellAnchor>
    <xdr:from>
      <xdr:col>61</xdr:col>
      <xdr:colOff>74541</xdr:colOff>
      <xdr:row>72</xdr:row>
      <xdr:rowOff>9525</xdr:rowOff>
    </xdr:from>
    <xdr:ext cx="3221109" cy="2411067"/>
    <xdr:sp macro="" textlink="">
      <xdr:nvSpPr>
        <xdr:cNvPr id="52" name="テキスト ボックス 51">
          <a:extLst>
            <a:ext uri="{FF2B5EF4-FFF2-40B4-BE49-F238E27FC236}">
              <a16:creationId xmlns:a16="http://schemas.microsoft.com/office/drawing/2014/main" xmlns="" id="{00000000-0008-0000-0200-000034000000}"/>
            </a:ext>
          </a:extLst>
        </xdr:cNvPr>
        <xdr:cNvSpPr txBox="1"/>
      </xdr:nvSpPr>
      <xdr:spPr>
        <a:xfrm>
          <a:off x="7494516" y="13973175"/>
          <a:ext cx="3221109" cy="2411067"/>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kumimoji="1" lang="ja-JP" altLang="en-US" sz="1000" baseline="0"/>
            <a:t>■</a:t>
          </a:r>
          <a:r>
            <a:rPr kumimoji="1" lang="en-US" altLang="ja-JP" sz="1000" baseline="0"/>
            <a:t>16.Học lịch- </a:t>
          </a:r>
          <a:r>
            <a:rPr kumimoji="1" lang="ja-JP" altLang="en-US" sz="1000" baseline="0"/>
            <a:t>学歴■</a:t>
          </a:r>
          <a:endParaRPr kumimoji="1" lang="en-US" altLang="ja-JP" sz="1000" baseline="0"/>
        </a:p>
        <a:p>
          <a:r>
            <a:rPr kumimoji="1" lang="en-US" altLang="ja-JP" sz="1000" baseline="0">
              <a:solidFill>
                <a:srgbClr val="FF0000"/>
              </a:solidFill>
            </a:rPr>
            <a:t>Tiểu học, trung học, cấp 3 thì đã được chọn sẵn ở ô đầu, nên không cần viết thêm vào ô thứ 2, chỉ cần ghi tên trường là đủ.</a:t>
          </a:r>
        </a:p>
        <a:p>
          <a:r>
            <a:rPr kumimoji="1" lang="en-US" altLang="ja-JP" sz="1000" baseline="0">
              <a:solidFill>
                <a:srgbClr val="FF0000"/>
              </a:solidFill>
            </a:rPr>
            <a:t>Nếu là đại học thì ghi tên trường đại học bằng tiếng Anh.</a:t>
          </a:r>
        </a:p>
        <a:p>
          <a:r>
            <a:rPr kumimoji="1" lang="en-US" altLang="ja-JP" sz="1000" baseline="0"/>
            <a:t>Trường hợp đang học, hãy điền vào khung ngày tháng tốt nghiệp là "Now", và chọn ô "Đang học"(Zaigaku chyu)</a:t>
          </a:r>
        </a:p>
        <a:p>
          <a:r>
            <a:rPr kumimoji="1" lang="en-US" altLang="ja-JP" sz="1000" baseline="0"/>
            <a:t>Trường hợp tốt nghiệp trong thời gian nhập học vào trường Nhật ngữ, hãy chọn phần "dự định tốt nghiệp" (Sotsugyou mikomi)</a:t>
          </a:r>
        </a:p>
        <a:p>
          <a:r>
            <a:rPr kumimoji="1" lang="en-US" altLang="ja-JP" sz="1000" baseline="0"/>
            <a:t>Trường hợp nghỉ học giữa chừng, Hãy điền ngày tháng năm nghỉ học vào hàng ngày tháng năm tốt nghiệp, Và chọn trạng thái là "Nghỉ giữa chừng" (chyu tai)</a:t>
          </a:r>
        </a:p>
        <a:p>
          <a:endParaRPr kumimoji="1" lang="en-US" altLang="ja-JP" sz="1000" baseline="0"/>
        </a:p>
      </xdr:txBody>
    </xdr:sp>
    <xdr:clientData/>
  </xdr:oneCellAnchor>
  <xdr:oneCellAnchor>
    <xdr:from>
      <xdr:col>61</xdr:col>
      <xdr:colOff>57978</xdr:colOff>
      <xdr:row>87</xdr:row>
      <xdr:rowOff>57979</xdr:rowOff>
    </xdr:from>
    <xdr:ext cx="3294822" cy="1366630"/>
    <xdr:sp macro="" textlink="">
      <xdr:nvSpPr>
        <xdr:cNvPr id="53" name="テキスト ボックス 52">
          <a:extLst>
            <a:ext uri="{FF2B5EF4-FFF2-40B4-BE49-F238E27FC236}">
              <a16:creationId xmlns:a16="http://schemas.microsoft.com/office/drawing/2014/main" xmlns="" id="{00000000-0008-0000-0200-000035000000}"/>
            </a:ext>
          </a:extLst>
        </xdr:cNvPr>
        <xdr:cNvSpPr txBox="1"/>
      </xdr:nvSpPr>
      <xdr:spPr>
        <a:xfrm>
          <a:off x="7477953" y="16479079"/>
          <a:ext cx="3294822" cy="136663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17.Lý lịch làm việc- </a:t>
          </a:r>
          <a:r>
            <a:rPr kumimoji="1" lang="ja-JP" altLang="en-US" sz="1000" baseline="0"/>
            <a:t>職歴■</a:t>
          </a:r>
          <a:endParaRPr kumimoji="1" lang="en-US" altLang="ja-JP" sz="1000" baseline="0"/>
        </a:p>
        <a:p>
          <a:r>
            <a:rPr kumimoji="1" lang="en-US" altLang="ja-JP" sz="1000" baseline="0">
              <a:solidFill>
                <a:srgbClr val="FF0000"/>
              </a:solidFill>
            </a:rPr>
            <a:t>Ghi tên công ty bằng tiếng Anh.</a:t>
          </a:r>
        </a:p>
        <a:p>
          <a:r>
            <a:rPr kumimoji="1" lang="en-US" altLang="ja-JP" sz="1000" baseline="0"/>
            <a:t>Trường hợp đang làm việc, nhất định phải nộp giấy chứng nhận đang làm việc. Ngoài ra, phải ghi vào hàng .</a:t>
          </a:r>
        </a:p>
        <a:p>
          <a:endParaRPr kumimoji="1" lang="en-US" altLang="ja-JP" sz="1000" baseline="0"/>
        </a:p>
        <a:p>
          <a:r>
            <a:rPr kumimoji="1" lang="en-US" altLang="ja-JP" sz="1000" baseline="0"/>
            <a:t>Ngày tháng năm nghỉ việc là "Now"</a:t>
          </a:r>
        </a:p>
        <a:p>
          <a:r>
            <a:rPr kumimoji="1" lang="en-US" altLang="ja-JP" sz="1000" baseline="0"/>
            <a:t>Những người đã nghỉ việc, hãy nộp giấy chứng nhận đã từng làm việc.</a:t>
          </a:r>
        </a:p>
      </xdr:txBody>
    </xdr:sp>
    <xdr:clientData/>
  </xdr:oneCellAnchor>
  <xdr:oneCellAnchor>
    <xdr:from>
      <xdr:col>61</xdr:col>
      <xdr:colOff>57978</xdr:colOff>
      <xdr:row>96</xdr:row>
      <xdr:rowOff>8284</xdr:rowOff>
    </xdr:from>
    <xdr:ext cx="3151947" cy="1449455"/>
    <xdr:sp macro="" textlink="">
      <xdr:nvSpPr>
        <xdr:cNvPr id="54" name="テキスト ボックス 53">
          <a:extLst>
            <a:ext uri="{FF2B5EF4-FFF2-40B4-BE49-F238E27FC236}">
              <a16:creationId xmlns:a16="http://schemas.microsoft.com/office/drawing/2014/main" xmlns="" id="{00000000-0008-0000-0200-000036000000}"/>
            </a:ext>
          </a:extLst>
        </xdr:cNvPr>
        <xdr:cNvSpPr txBox="1"/>
      </xdr:nvSpPr>
      <xdr:spPr>
        <a:xfrm>
          <a:off x="7477953" y="17962909"/>
          <a:ext cx="3151947" cy="144945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18.Lý lịch học tiếng Nhật</a:t>
          </a:r>
          <a:r>
            <a:rPr kumimoji="1" lang="ja-JP" altLang="en-US" sz="1000" baseline="0"/>
            <a:t>日本語学習歴■</a:t>
          </a:r>
          <a:endParaRPr kumimoji="1" lang="en-US" altLang="ja-JP" sz="1000" baseline="0"/>
        </a:p>
        <a:p>
          <a:r>
            <a:rPr kumimoji="1" lang="en-US" altLang="ja-JP" sz="1000" baseline="0">
              <a:solidFill>
                <a:srgbClr val="FF0000"/>
              </a:solidFill>
            </a:rPr>
            <a:t>Ghi tên trường bằng tiếng Anh.</a:t>
          </a:r>
        </a:p>
        <a:p>
          <a:r>
            <a:rPr kumimoji="1" lang="en-US" altLang="ja-JP" sz="1000" baseline="0"/>
            <a:t>Hãy xác nhận xem thông tin trên giấy chứng nhận và thời gian học, tên trường học có đúng hay không.</a:t>
          </a: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000" baseline="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000" baseline="0">
              <a:solidFill>
                <a:schemeClr val="tx1"/>
              </a:solidFill>
              <a:effectLst/>
              <a:latin typeface="+mn-lt"/>
              <a:ea typeface="+mn-ea"/>
              <a:cs typeface="+mn-cs"/>
            </a:rPr>
            <a:t>Trường hợp đang học, hãy ghi vào hàng ngày tháng năm kết thúc là "Now"</a:t>
          </a:r>
          <a:endParaRPr kumimoji="1" lang="en-US" altLang="ja-JP" sz="1000" baseline="0"/>
        </a:p>
      </xdr:txBody>
    </xdr:sp>
    <xdr:clientData/>
  </xdr:oneCellAnchor>
  <xdr:oneCellAnchor>
    <xdr:from>
      <xdr:col>61</xdr:col>
      <xdr:colOff>82825</xdr:colOff>
      <xdr:row>106</xdr:row>
      <xdr:rowOff>49695</xdr:rowOff>
    </xdr:from>
    <xdr:ext cx="3050900" cy="1051826"/>
    <xdr:sp macro="" textlink="">
      <xdr:nvSpPr>
        <xdr:cNvPr id="55" name="テキスト ボックス 54">
          <a:extLst>
            <a:ext uri="{FF2B5EF4-FFF2-40B4-BE49-F238E27FC236}">
              <a16:creationId xmlns:a16="http://schemas.microsoft.com/office/drawing/2014/main" xmlns="" id="{00000000-0008-0000-0200-000037000000}"/>
            </a:ext>
          </a:extLst>
        </xdr:cNvPr>
        <xdr:cNvSpPr txBox="1"/>
      </xdr:nvSpPr>
      <xdr:spPr>
        <a:xfrm>
          <a:off x="7502800" y="19623570"/>
          <a:ext cx="3050900" cy="105182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baseline="0"/>
            <a:t>■</a:t>
          </a:r>
          <a:r>
            <a:rPr kumimoji="1" lang="en-US" altLang="ja-JP" sz="1000" baseline="0"/>
            <a:t>21.Lý lịch từng nộp hồ sơ- </a:t>
          </a:r>
          <a:r>
            <a:rPr kumimoji="1" lang="ja-JP" altLang="en-US" sz="1000" baseline="0"/>
            <a:t>過去の申請履歴■</a:t>
          </a:r>
          <a:endParaRPr kumimoji="1" lang="en-US" altLang="ja-JP" sz="1000" baseline="0"/>
        </a:p>
        <a:p>
          <a:r>
            <a:rPr kumimoji="1" lang="en-US" altLang="ja-JP" sz="1000" baseline="0"/>
            <a:t>Nhất định phải khai vào nếu đã từng nộp hồ sơ.</a:t>
          </a:r>
        </a:p>
        <a:p>
          <a:r>
            <a:rPr kumimoji="1" lang="en-US" altLang="ja-JP" sz="1000" baseline="0"/>
            <a:t>Nếu không biết mã số hồ sơ lần trước, hãy hỏi những cơ quan xử lý hồ sơ lần trước.</a:t>
          </a:r>
        </a:p>
        <a:p>
          <a:r>
            <a:rPr kumimoji="1" lang="en-US" altLang="ja-JP" sz="1000" baseline="0"/>
            <a:t>Nếu có gì không hiểu, hãy hỏi bên cục sự vụ trước khi nộp hồ sơ.</a:t>
          </a:r>
        </a:p>
      </xdr:txBody>
    </xdr:sp>
    <xdr:clientData/>
  </xdr:oneCellAnchor>
  <xdr:oneCellAnchor>
    <xdr:from>
      <xdr:col>61</xdr:col>
      <xdr:colOff>107674</xdr:colOff>
      <xdr:row>172</xdr:row>
      <xdr:rowOff>82827</xdr:rowOff>
    </xdr:from>
    <xdr:ext cx="3302276" cy="1198149"/>
    <xdr:sp macro="" textlink="">
      <xdr:nvSpPr>
        <xdr:cNvPr id="57" name="テキスト ボックス 56">
          <a:extLst>
            <a:ext uri="{FF2B5EF4-FFF2-40B4-BE49-F238E27FC236}">
              <a16:creationId xmlns:a16="http://schemas.microsoft.com/office/drawing/2014/main" xmlns="" id="{00000000-0008-0000-0200-000039000000}"/>
            </a:ext>
          </a:extLst>
        </xdr:cNvPr>
        <xdr:cNvSpPr txBox="1"/>
      </xdr:nvSpPr>
      <xdr:spPr>
        <a:xfrm>
          <a:off x="7527649" y="31201002"/>
          <a:ext cx="3302276" cy="1198149"/>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000" baseline="0"/>
            <a:t>■</a:t>
          </a:r>
          <a:r>
            <a:rPr kumimoji="1" lang="en-US" altLang="ja-JP" sz="1000" baseline="0"/>
            <a:t>Họ và tên người viết đơn, ký tên</a:t>
          </a:r>
          <a:r>
            <a:rPr kumimoji="1" lang="ja-JP" altLang="en-US" sz="1000" baseline="0"/>
            <a:t>申請者氏名・署名■</a:t>
          </a:r>
          <a:endParaRPr kumimoji="1" lang="en-US" altLang="ja-JP" sz="1000" baseline="0"/>
        </a:p>
        <a:p>
          <a:endParaRPr kumimoji="1" lang="en-US" altLang="ja-JP" sz="1000" baseline="0"/>
        </a:p>
        <a:p>
          <a:r>
            <a:rPr kumimoji="1" lang="en-US" altLang="ja-JP" sz="1000" baseline="0"/>
            <a:t>Họ và tên người viết đơn là gì</a:t>
          </a:r>
        </a:p>
        <a:p>
          <a:r>
            <a:rPr kumimoji="1" lang="en-US" altLang="ja-JP" sz="1000" baseline="0"/>
            <a:t>hãy ghi vào bằng tay.</a:t>
          </a:r>
        </a:p>
        <a:p>
          <a:r>
            <a:rPr kumimoji="1" lang="en-US" altLang="ja-JP" sz="1000" baseline="0">
              <a:solidFill>
                <a:srgbClr val="FF0000"/>
              </a:solidFill>
            </a:rPr>
            <a:t>Không cần ký, hãy ghi rõ Họ và Tên bằng chữ in hoa, không dấu.</a:t>
          </a:r>
        </a:p>
        <a:p>
          <a:endParaRPr kumimoji="1" lang="en-US" altLang="ja-JP" sz="1000" baseline="0"/>
        </a:p>
      </xdr:txBody>
    </xdr:sp>
    <xdr:clientData/>
  </xdr:oneCellAnchor>
  <xdr:oneCellAnchor>
    <xdr:from>
      <xdr:col>61</xdr:col>
      <xdr:colOff>66644</xdr:colOff>
      <xdr:row>143</xdr:row>
      <xdr:rowOff>16980</xdr:rowOff>
    </xdr:from>
    <xdr:ext cx="3185937" cy="3031020"/>
    <xdr:sp macro="" textlink="">
      <xdr:nvSpPr>
        <xdr:cNvPr id="56" name="テキスト ボックス 55">
          <a:extLst>
            <a:ext uri="{FF2B5EF4-FFF2-40B4-BE49-F238E27FC236}">
              <a16:creationId xmlns:a16="http://schemas.microsoft.com/office/drawing/2014/main" xmlns="" id="{00000000-0008-0000-0200-000038000000}"/>
            </a:ext>
          </a:extLst>
        </xdr:cNvPr>
        <xdr:cNvSpPr txBox="1"/>
      </xdr:nvSpPr>
      <xdr:spPr>
        <a:xfrm>
          <a:off x="7486619" y="26010705"/>
          <a:ext cx="3185937" cy="303102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kumimoji="1" lang="ja-JP" altLang="en-US" sz="900"/>
            <a:t>■</a:t>
          </a:r>
          <a:r>
            <a:rPr kumimoji="1" lang="en-US" altLang="ja-JP" sz="900"/>
            <a:t>22</a:t>
          </a:r>
          <a:r>
            <a:rPr kumimoji="1" lang="ja-JP" altLang="en-US" sz="900"/>
            <a:t>の例</a:t>
          </a:r>
          <a:r>
            <a:rPr kumimoji="1" lang="en-US" altLang="ja-JP" sz="900"/>
            <a:t>- Ví</a:t>
          </a:r>
          <a:r>
            <a:rPr kumimoji="1" lang="en-US" altLang="ja-JP" sz="900" baseline="0"/>
            <a:t> dụ ở phần 22</a:t>
          </a:r>
          <a:r>
            <a:rPr kumimoji="1" lang="ja-JP" altLang="en-US" sz="900"/>
            <a:t>■</a:t>
          </a:r>
          <a:endParaRPr kumimoji="1" lang="en-US" altLang="ja-JP" sz="900"/>
        </a:p>
        <a:p>
          <a:r>
            <a:rPr kumimoji="1" lang="en-US" altLang="ja-JP" sz="1050">
              <a:solidFill>
                <a:srgbClr val="FF0000"/>
              </a:solidFill>
            </a:rPr>
            <a:t>Hãy</a:t>
          </a:r>
          <a:r>
            <a:rPr kumimoji="1" lang="en-US" altLang="ja-JP" sz="1050" baseline="0">
              <a:solidFill>
                <a:srgbClr val="FF0000"/>
              </a:solidFill>
            </a:rPr>
            <a:t> ghi bằng tiếng Việt vào phần này.</a:t>
          </a:r>
          <a:endParaRPr kumimoji="1" lang="en-US" altLang="ja-JP" sz="1050">
            <a:solidFill>
              <a:srgbClr val="FF0000"/>
            </a:solidFill>
          </a:endParaRPr>
        </a:p>
        <a:p>
          <a:endParaRPr kumimoji="1" lang="en-US" altLang="ja-JP" sz="900"/>
        </a:p>
        <a:p>
          <a:r>
            <a:rPr kumimoji="1" lang="ja-JP" altLang="ja-JP" sz="1100">
              <a:solidFill>
                <a:schemeClr val="tx1"/>
              </a:solidFill>
              <a:effectLst/>
              <a:latin typeface="+mn-lt"/>
              <a:ea typeface="+mn-ea"/>
              <a:cs typeface="+mn-cs"/>
            </a:rPr>
            <a:t>①</a:t>
          </a:r>
          <a:r>
            <a:rPr lang="en-US" altLang="ja-JP" sz="1100">
              <a:solidFill>
                <a:schemeClr val="tx1"/>
              </a:solidFill>
              <a:effectLst/>
              <a:latin typeface="+mn-lt"/>
              <a:ea typeface="+mn-ea"/>
              <a:cs typeface="+mn-cs"/>
            </a:rPr>
            <a:t>Tôi có ước mơ là tương lai sẽ tự mở công ty. Vì vậy, tôi muốn học kinh tế ở một nơi có nền kinh tế phát triển như Nhật Bản.</a:t>
          </a:r>
        </a:p>
        <a:p>
          <a:r>
            <a:rPr kumimoji="1" lang="ja-JP" altLang="ja-JP" sz="1100">
              <a:solidFill>
                <a:schemeClr val="tx1"/>
              </a:solidFill>
              <a:effectLst/>
              <a:latin typeface="+mn-lt"/>
              <a:ea typeface="+mn-ea"/>
              <a:cs typeface="+mn-cs"/>
            </a:rPr>
            <a:t>②</a:t>
          </a:r>
          <a:r>
            <a:rPr lang="en-US" altLang="ja-JP" sz="1100">
              <a:solidFill>
                <a:schemeClr val="tx1"/>
              </a:solidFill>
              <a:effectLst/>
              <a:latin typeface="+mn-lt"/>
              <a:ea typeface="+mn-ea"/>
              <a:cs typeface="+mn-cs"/>
            </a:rPr>
            <a:t>Tôi quan tâm đến văn hóa của Nhật Bản từ khi còn nhỏ, lúc đọc những cuốn truyện tranh hoặc phim ảnh của Nhật Bản. Tôi có hứng thú về ngành ~~, thế nên lúc nghĩ về việc du học để học những kiến thức đó, tôi đã chọn đất nước mình thích ngay từ đầu, đó là Nhật Bản.</a:t>
          </a:r>
        </a:p>
        <a:p>
          <a:pPr lvl="0"/>
          <a:r>
            <a:rPr kumimoji="1" lang="ja-JP" altLang="ja-JP" sz="1100">
              <a:solidFill>
                <a:schemeClr val="tx1"/>
              </a:solidFill>
              <a:effectLst/>
              <a:latin typeface="+mn-lt"/>
              <a:ea typeface="+mn-ea"/>
              <a:cs typeface="+mn-cs"/>
            </a:rPr>
            <a:t>③</a:t>
          </a:r>
          <a:r>
            <a:rPr lang="en-US" altLang="ja-JP" sz="1100">
              <a:solidFill>
                <a:schemeClr val="tx1"/>
              </a:solidFill>
              <a:effectLst/>
              <a:latin typeface="+mn-lt"/>
              <a:ea typeface="+mn-ea"/>
              <a:cs typeface="+mn-cs"/>
            </a:rPr>
            <a:t>Xung quanh tôi, có người đã từng đi du học Nhật Bản. Theo như kinh nghiệm của người đó, du học là khoảng thời gian làm cho mình trở nên trưởng thành hơn, vì vậy tôi nghĩ mình cũng muốn thử sức như người đó vậy.</a:t>
          </a:r>
          <a:endParaRPr lang="ja-JP" altLang="ja-JP" sz="1100">
            <a:solidFill>
              <a:schemeClr val="tx1"/>
            </a:solidFill>
            <a:effectLst/>
            <a:latin typeface="+mn-lt"/>
            <a:ea typeface="+mn-ea"/>
            <a:cs typeface="+mn-cs"/>
          </a:endParaRPr>
        </a:p>
        <a:p>
          <a:endParaRPr kumimoji="1" lang="en-US" altLang="ja-JP" sz="900"/>
        </a:p>
        <a:p>
          <a:endParaRPr kumimoji="1" lang="en-US" altLang="ja-JP" sz="900"/>
        </a:p>
        <a:p>
          <a:endParaRPr kumimoji="1" lang="en-US" altLang="ja-JP" sz="900"/>
        </a:p>
      </xdr:txBody>
    </xdr:sp>
    <xdr:clientData/>
  </xdr:oneCellAnchor>
  <xdr:oneCellAnchor>
    <xdr:from>
      <xdr:col>61</xdr:col>
      <xdr:colOff>82827</xdr:colOff>
      <xdr:row>161</xdr:row>
      <xdr:rowOff>100983</xdr:rowOff>
    </xdr:from>
    <xdr:ext cx="3155674" cy="1663212"/>
    <xdr:sp macro="" textlink="">
      <xdr:nvSpPr>
        <xdr:cNvPr id="58" name="テキスト ボックス 57">
          <a:extLst>
            <a:ext uri="{FF2B5EF4-FFF2-40B4-BE49-F238E27FC236}">
              <a16:creationId xmlns:a16="http://schemas.microsoft.com/office/drawing/2014/main" xmlns="" id="{00000000-0008-0000-0200-00003A000000}"/>
            </a:ext>
          </a:extLst>
        </xdr:cNvPr>
        <xdr:cNvSpPr txBox="1"/>
      </xdr:nvSpPr>
      <xdr:spPr>
        <a:xfrm>
          <a:off x="7528892" y="29230918"/>
          <a:ext cx="3155674" cy="166321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kumimoji="1" lang="ja-JP" altLang="en-US" sz="900"/>
            <a:t>（例） </a:t>
          </a:r>
          <a:r>
            <a:rPr kumimoji="1" lang="en-US" altLang="ja-JP" sz="900"/>
            <a:t>Ví</a:t>
          </a:r>
          <a:r>
            <a:rPr kumimoji="1" lang="en-US" altLang="ja-JP" sz="900" baseline="0"/>
            <a:t> dụ:</a:t>
          </a: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rgbClr val="FF0000"/>
              </a:solidFill>
              <a:effectLst/>
              <a:latin typeface="+mn-lt"/>
              <a:ea typeface="+mn-ea"/>
              <a:cs typeface="+mn-cs"/>
            </a:rPr>
            <a:t>Hãy</a:t>
          </a:r>
          <a:r>
            <a:rPr kumimoji="1" lang="en-US" altLang="ja-JP" sz="1100" baseline="0">
              <a:solidFill>
                <a:srgbClr val="FF0000"/>
              </a:solidFill>
              <a:effectLst/>
              <a:latin typeface="+mn-lt"/>
              <a:ea typeface="+mn-ea"/>
              <a:cs typeface="+mn-cs"/>
            </a:rPr>
            <a:t> ghi bằng tiếng Việt vào phần này.</a:t>
          </a:r>
          <a:endParaRPr lang="ja-JP" altLang="ja-JP" sz="900">
            <a:solidFill>
              <a:srgbClr val="FF0000"/>
            </a:solidFill>
            <a:effectLst/>
          </a:endParaRPr>
        </a:p>
        <a:p>
          <a:endParaRPr kumimoji="1" lang="en-US" altLang="ja-JP" sz="900" baseline="0"/>
        </a:p>
        <a:p>
          <a:r>
            <a:rPr kumimoji="1" lang="ja-JP" altLang="en-US" sz="900"/>
            <a:t>①</a:t>
          </a:r>
          <a:r>
            <a:rPr kumimoji="1" lang="en-US" altLang="ja-JP" sz="1000" baseline="0">
              <a:solidFill>
                <a:schemeClr val="tx1"/>
              </a:solidFill>
              <a:effectLst/>
              <a:latin typeface="+mn-lt"/>
              <a:ea typeface="+mn-ea"/>
              <a:cs typeface="+mn-cs"/>
            </a:rPr>
            <a:t>Sau  khi tốt nghiệp, tôi sẽ trở về nước và vận dụng những kiến thức đã học ở Nhật Bản để làm việc ở những công ty, xí nghiệp.</a:t>
          </a:r>
          <a:endParaRPr kumimoji="1" lang="en-US" altLang="ja-JP" sz="700"/>
        </a:p>
        <a:p>
          <a:endParaRPr kumimoji="1" lang="en-US" altLang="ja-JP" sz="900"/>
        </a:p>
        <a:p>
          <a:r>
            <a:rPr kumimoji="1" lang="ja-JP" altLang="en-US" sz="900"/>
            <a:t>②</a:t>
          </a:r>
          <a:r>
            <a:rPr kumimoji="1" lang="en-US" altLang="ja-JP" sz="900"/>
            <a:t>Sau khi tốt</a:t>
          </a:r>
          <a:r>
            <a:rPr kumimoji="1" lang="en-US" altLang="ja-JP" sz="900" baseline="0"/>
            <a:t> nghiệp đại học, tôi sẽ vận dụng những kiến thức đã học để đi làm tại Nhật Bản.</a:t>
          </a:r>
          <a:endParaRPr kumimoji="1" lang="en-US" altLang="ja-JP" sz="900"/>
        </a:p>
        <a:p>
          <a:endParaRPr kumimoji="1" lang="en-US" altLang="ja-JP" sz="900"/>
        </a:p>
        <a:p>
          <a:r>
            <a:rPr kumimoji="1" lang="ja-JP" altLang="en-US" sz="900"/>
            <a:t>③</a:t>
          </a:r>
          <a:r>
            <a:rPr kumimoji="1" lang="en-US" altLang="ja-JP" sz="900"/>
            <a:t>Sau khi tốt</a:t>
          </a:r>
          <a:r>
            <a:rPr kumimoji="1" lang="en-US" altLang="ja-JP" sz="900" baseline="0"/>
            <a:t> nghiệp đại học, tôi muốn học lên cao học với cùng ngành nghề.</a:t>
          </a:r>
          <a:endParaRPr kumimoji="1" lang="en-US" altLang="ja-JP" sz="900"/>
        </a:p>
      </xdr:txBody>
    </xdr:sp>
    <xdr:clientData/>
  </xdr:oneCellAnchor>
  <xdr:oneCellAnchor>
    <xdr:from>
      <xdr:col>61</xdr:col>
      <xdr:colOff>22663</xdr:colOff>
      <xdr:row>15</xdr:row>
      <xdr:rowOff>26377</xdr:rowOff>
    </xdr:from>
    <xdr:ext cx="2758637" cy="601445"/>
    <xdr:sp macro="" textlink="">
      <xdr:nvSpPr>
        <xdr:cNvPr id="60" name="テキスト ボックス 59">
          <a:extLst>
            <a:ext uri="{FF2B5EF4-FFF2-40B4-BE49-F238E27FC236}">
              <a16:creationId xmlns:a16="http://schemas.microsoft.com/office/drawing/2014/main" xmlns="" id="{00000000-0008-0000-0200-00003C000000}"/>
            </a:ext>
          </a:extLst>
        </xdr:cNvPr>
        <xdr:cNvSpPr txBox="1"/>
      </xdr:nvSpPr>
      <xdr:spPr>
        <a:xfrm>
          <a:off x="7442638" y="3141052"/>
          <a:ext cx="2758637" cy="60144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aseline="0"/>
            <a:t>■</a:t>
          </a:r>
          <a:r>
            <a:rPr kumimoji="1" lang="en-US" altLang="ja-JP" sz="1000" baseline="0"/>
            <a:t>6</a:t>
          </a:r>
          <a:r>
            <a:rPr kumimoji="1" lang="ja-JP" altLang="en-US" sz="1000" baseline="0"/>
            <a:t>■</a:t>
          </a:r>
          <a:endParaRPr kumimoji="1" lang="en-US" altLang="ja-JP" sz="1000" baseline="0"/>
        </a:p>
        <a:p>
          <a:r>
            <a:rPr kumimoji="1" lang="en-US" altLang="ja-JP" sz="1000" baseline="0"/>
            <a:t>Nơi sinh chỉ ghi tên Thành phố hoặc Tỉnh</a:t>
          </a:r>
        </a:p>
        <a:p>
          <a:r>
            <a:rPr kumimoji="1" lang="en-US" altLang="ja-JP" sz="1000" baseline="0"/>
            <a:t>(Ví dụ: HAI DUONG)</a:t>
          </a:r>
        </a:p>
      </xdr:txBody>
    </xdr:sp>
    <xdr:clientData/>
  </xdr:oneCellAnchor>
  <xdr:oneCellAnchor>
    <xdr:from>
      <xdr:col>61</xdr:col>
      <xdr:colOff>26276</xdr:colOff>
      <xdr:row>18</xdr:row>
      <xdr:rowOff>70287</xdr:rowOff>
    </xdr:from>
    <xdr:ext cx="2716924" cy="1162993"/>
    <xdr:sp macro="" textlink="">
      <xdr:nvSpPr>
        <xdr:cNvPr id="61" name="テキスト ボックス 60">
          <a:extLst>
            <a:ext uri="{FF2B5EF4-FFF2-40B4-BE49-F238E27FC236}">
              <a16:creationId xmlns:a16="http://schemas.microsoft.com/office/drawing/2014/main" xmlns="" id="{00000000-0008-0000-0200-00003D000000}"/>
            </a:ext>
          </a:extLst>
        </xdr:cNvPr>
        <xdr:cNvSpPr txBox="1"/>
      </xdr:nvSpPr>
      <xdr:spPr>
        <a:xfrm>
          <a:off x="7446251" y="3756462"/>
          <a:ext cx="2716924" cy="1162993"/>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8</a:t>
          </a:r>
          <a:r>
            <a:rPr kumimoji="1" lang="ja-JP" altLang="en-US" sz="1000" baseline="0"/>
            <a:t>■</a:t>
          </a:r>
          <a:endParaRPr kumimoji="1" lang="en-US" altLang="ja-JP" sz="1000" baseline="0"/>
        </a:p>
        <a:p>
          <a:r>
            <a:rPr kumimoji="1" lang="en-US" altLang="ja-JP" sz="1000" baseline="0"/>
            <a:t>Nếu đang học cấp 3, đại học, trung cấp, thì hãy chọn mục "đang học"(Zaigakuchyu)</a:t>
          </a:r>
        </a:p>
        <a:p>
          <a:r>
            <a:rPr kumimoji="1" lang="en-US" altLang="ja-JP" sz="1000" baseline="0"/>
            <a:t>Nếu đang học ở trường Nhật ngữ thì chọn "đang chuẩn chị đến Nhật"</a:t>
          </a:r>
        </a:p>
        <a:p>
          <a:r>
            <a:rPr kumimoji="1" lang="en-US" altLang="ja-JP" sz="1000" baseline="0"/>
            <a:t>(Rainichi zyunbichyu)</a:t>
          </a:r>
        </a:p>
      </xdr:txBody>
    </xdr:sp>
    <xdr:clientData/>
  </xdr:oneCellAnchor>
  <xdr:oneCellAnchor>
    <xdr:from>
      <xdr:col>61</xdr:col>
      <xdr:colOff>21021</xdr:colOff>
      <xdr:row>25</xdr:row>
      <xdr:rowOff>178346</xdr:rowOff>
    </xdr:from>
    <xdr:ext cx="3084129" cy="1154825"/>
    <xdr:sp macro="" textlink="">
      <xdr:nvSpPr>
        <xdr:cNvPr id="62" name="テキスト ボックス 61">
          <a:extLst>
            <a:ext uri="{FF2B5EF4-FFF2-40B4-BE49-F238E27FC236}">
              <a16:creationId xmlns:a16="http://schemas.microsoft.com/office/drawing/2014/main" xmlns="" id="{00000000-0008-0000-0200-00003E000000}"/>
            </a:ext>
          </a:extLst>
        </xdr:cNvPr>
        <xdr:cNvSpPr txBox="1"/>
      </xdr:nvSpPr>
      <xdr:spPr>
        <a:xfrm>
          <a:off x="7440996" y="5312321"/>
          <a:ext cx="3084129" cy="115482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9</a:t>
          </a:r>
          <a:r>
            <a:rPr kumimoji="1" lang="ja-JP" altLang="en-US" sz="1000" baseline="0"/>
            <a:t>■</a:t>
          </a:r>
          <a:endParaRPr kumimoji="1" lang="en-US" altLang="ja-JP" sz="1000" baseline="0"/>
        </a:p>
        <a:p>
          <a:r>
            <a:rPr kumimoji="1" lang="en-US" altLang="ja-JP" sz="1000" baseline="0"/>
            <a:t>Hãy điền địa chỉ như ví dụ dưới đây:</a:t>
          </a:r>
        </a:p>
        <a:p>
          <a:r>
            <a:rPr kumimoji="1" lang="en-US" altLang="ja-JP" sz="1000" baseline="0"/>
            <a:t>5/13, HAI BA TRUNG, DONG ANH, HA NOI</a:t>
          </a:r>
        </a:p>
        <a:p>
          <a:r>
            <a:rPr kumimoji="1" lang="en-US" altLang="ja-JP" sz="1000" baseline="0">
              <a:solidFill>
                <a:srgbClr val="FF0000"/>
              </a:solidFill>
            </a:rPr>
            <a:t>Chỉ dùng dấu phẩy ( , ) để phân cách, không dùng ký hiệu khác. Ví dụ ( - ; . ~ ) Những phần sau cũng vậy</a:t>
          </a:r>
        </a:p>
        <a:p>
          <a:r>
            <a:rPr kumimoji="1" lang="en-US" altLang="ja-JP" sz="1000" baseline="0"/>
            <a:t>Số..., Thôn..., Xã..., Phường..., Huyện..., thì không cần ghi vào</a:t>
          </a:r>
        </a:p>
      </xdr:txBody>
    </xdr:sp>
    <xdr:clientData/>
  </xdr:oneCellAnchor>
  <xdr:oneCellAnchor>
    <xdr:from>
      <xdr:col>61</xdr:col>
      <xdr:colOff>55493</xdr:colOff>
      <xdr:row>67</xdr:row>
      <xdr:rowOff>15736</xdr:rowOff>
    </xdr:from>
    <xdr:ext cx="2411482" cy="720587"/>
    <xdr:sp macro="" textlink="">
      <xdr:nvSpPr>
        <xdr:cNvPr id="63" name="テキスト ボックス 62">
          <a:extLst>
            <a:ext uri="{FF2B5EF4-FFF2-40B4-BE49-F238E27FC236}">
              <a16:creationId xmlns:a16="http://schemas.microsoft.com/office/drawing/2014/main" xmlns="" id="{00000000-0008-0000-0200-00003F000000}"/>
            </a:ext>
          </a:extLst>
        </xdr:cNvPr>
        <xdr:cNvSpPr txBox="1"/>
      </xdr:nvSpPr>
      <xdr:spPr>
        <a:xfrm>
          <a:off x="7475468" y="13122136"/>
          <a:ext cx="2411482" cy="720587"/>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15. Nghĩa vụ quân sự- </a:t>
          </a:r>
          <a:r>
            <a:rPr kumimoji="1" lang="ja-JP" altLang="en-US" sz="1000" baseline="0"/>
            <a:t>兵役■</a:t>
          </a:r>
          <a:endParaRPr kumimoji="1" lang="en-US" altLang="ja-JP" sz="1000" baseline="0"/>
        </a:p>
        <a:p>
          <a:r>
            <a:rPr kumimoji="1" lang="en-US" altLang="ja-JP" sz="1000" baseline="0"/>
            <a:t>Những người chưa đi nghĩa vụ, về nguyên tắc, hãy điền vào "không cần" (fuyou)</a:t>
          </a:r>
        </a:p>
        <a:p>
          <a:endParaRPr kumimoji="1" lang="en-US" altLang="ja-JP" sz="1000" baseline="0"/>
        </a:p>
      </xdr:txBody>
    </xdr:sp>
    <xdr:clientData/>
  </xdr:oneCellAnchor>
  <xdr:oneCellAnchor>
    <xdr:from>
      <xdr:col>61</xdr:col>
      <xdr:colOff>82826</xdr:colOff>
      <xdr:row>118</xdr:row>
      <xdr:rowOff>74542</xdr:rowOff>
    </xdr:from>
    <xdr:ext cx="2488924" cy="2848900"/>
    <xdr:sp macro="" textlink="">
      <xdr:nvSpPr>
        <xdr:cNvPr id="64" name="テキスト ボックス 63">
          <a:extLst>
            <a:ext uri="{FF2B5EF4-FFF2-40B4-BE49-F238E27FC236}">
              <a16:creationId xmlns:a16="http://schemas.microsoft.com/office/drawing/2014/main" xmlns="" id="{00000000-0008-0000-0200-000040000000}"/>
            </a:ext>
          </a:extLst>
        </xdr:cNvPr>
        <xdr:cNvSpPr txBox="1"/>
      </xdr:nvSpPr>
      <xdr:spPr>
        <a:xfrm>
          <a:off x="7541634" y="21828177"/>
          <a:ext cx="2488924" cy="28489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aseline="0"/>
            <a:t>■</a:t>
          </a:r>
          <a:r>
            <a:rPr kumimoji="1" lang="en-US" altLang="ja-JP" sz="1000" baseline="0"/>
            <a:t>20.Người chi trả kinh phí- </a:t>
          </a:r>
          <a:r>
            <a:rPr kumimoji="1" lang="ja-JP" altLang="en-US" sz="1000" baseline="0"/>
            <a:t>経費支弁者■</a:t>
          </a:r>
          <a:endParaRPr kumimoji="1" lang="en-US" altLang="ja-JP" sz="1000" baseline="0"/>
        </a:p>
        <a:p>
          <a:endParaRPr kumimoji="1" lang="en-US" altLang="ja-JP" sz="1000" baseline="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baseline="0">
              <a:solidFill>
                <a:schemeClr val="tx1"/>
              </a:solidFill>
              <a:effectLst/>
              <a:latin typeface="+mn-lt"/>
              <a:ea typeface="+mn-ea"/>
              <a:cs typeface="+mn-cs"/>
            </a:rPr>
            <a:t>Trường hợp là nhân viên công ty, hãy ghi vào tên công ty, số điện thoại công ty, số điện thoại di động vào.</a:t>
          </a: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baseline="0">
            <a:solidFill>
              <a:schemeClr val="tx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baseline="0">
              <a:solidFill>
                <a:schemeClr val="tx1"/>
              </a:solidFill>
              <a:effectLst/>
              <a:latin typeface="+mn-lt"/>
              <a:ea typeface="+mn-ea"/>
              <a:cs typeface="+mn-cs"/>
            </a:rPr>
            <a:t>Trường hộp không phải là nhân viên công ty, hãy điền thông tin vào như hướng dẫn dưới đây:</a:t>
          </a: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000" baseline="0"/>
        </a:p>
        <a:p>
          <a:r>
            <a:rPr kumimoji="1" lang="en-US" altLang="ja-JP" sz="1100" baseline="0">
              <a:solidFill>
                <a:schemeClr val="tx1"/>
              </a:solidFill>
              <a:latin typeface="+mn-lt"/>
              <a:ea typeface="+mn-ea"/>
              <a:cs typeface="+mn-cs"/>
            </a:rPr>
            <a:t>nông nghiệp</a:t>
          </a:r>
          <a:r>
            <a:rPr kumimoji="1" lang="ja-JP" altLang="en-US" sz="1100" baseline="0">
              <a:solidFill>
                <a:schemeClr val="tx1"/>
              </a:solidFill>
              <a:latin typeface="+mn-lt"/>
              <a:ea typeface="+mn-ea"/>
              <a:cs typeface="+mn-cs"/>
            </a:rPr>
            <a:t> </a:t>
          </a:r>
          <a:r>
            <a:rPr kumimoji="1" lang="en-US" altLang="ja-JP" sz="1100" baseline="0">
              <a:solidFill>
                <a:schemeClr val="tx1"/>
              </a:solidFill>
              <a:latin typeface="+mn-lt"/>
              <a:ea typeface="+mn-ea"/>
              <a:cs typeface="+mn-cs"/>
            </a:rPr>
            <a:t>: </a:t>
          </a:r>
          <a:r>
            <a:rPr kumimoji="1" lang="en-US" altLang="ja-JP" sz="1000" baseline="0"/>
            <a:t>Agriculture</a:t>
          </a:r>
        </a:p>
        <a:p>
          <a:r>
            <a:rPr kumimoji="1" lang="en-US" altLang="ja-JP" sz="1000" baseline="0"/>
            <a:t>tự kinh doanh : </a:t>
          </a:r>
          <a:r>
            <a:rPr kumimoji="1" lang="en-US" altLang="ja-JP" sz="1100" baseline="0">
              <a:solidFill>
                <a:schemeClr val="tx1"/>
              </a:solidFill>
              <a:latin typeface="+mn-lt"/>
              <a:ea typeface="+mn-ea"/>
              <a:cs typeface="+mn-cs"/>
            </a:rPr>
            <a:t>Self employed</a:t>
          </a:r>
          <a:endParaRPr kumimoji="1" lang="en-US" altLang="ja-JP" sz="1000" baseline="0"/>
        </a:p>
        <a:p>
          <a:r>
            <a:rPr kumimoji="1" lang="en-US" altLang="ja-JP" sz="1100" baseline="0">
              <a:solidFill>
                <a:schemeClr val="tx1"/>
              </a:solidFill>
              <a:latin typeface="+mn-lt"/>
              <a:ea typeface="+mn-ea"/>
              <a:cs typeface="+mn-cs"/>
            </a:rPr>
            <a:t>Quân đội : </a:t>
          </a:r>
          <a:r>
            <a:rPr kumimoji="1" lang="en-US" altLang="ja-JP" sz="1000" baseline="0"/>
            <a:t>Army</a:t>
          </a:r>
        </a:p>
        <a:p>
          <a:endParaRPr kumimoji="1" lang="en-US" altLang="ja-JP" sz="1000" baseline="0"/>
        </a:p>
        <a:p>
          <a:r>
            <a:rPr kumimoji="1" lang="en-US" altLang="ja-JP" sz="1000" baseline="0"/>
            <a:t>Trường hợp làm nông nghiệp, thì không cần ghi số điện thoại vào ô điện thoại công ty.</a:t>
          </a:r>
        </a:p>
      </xdr:txBody>
    </xdr:sp>
    <xdr:clientData/>
  </xdr:oneCellAnchor>
  <xdr:oneCellAnchor>
    <xdr:from>
      <xdr:col>61</xdr:col>
      <xdr:colOff>27440</xdr:colOff>
      <xdr:row>10</xdr:row>
      <xdr:rowOff>27012</xdr:rowOff>
    </xdr:from>
    <xdr:ext cx="2868159" cy="925487"/>
    <xdr:sp macro="" textlink="">
      <xdr:nvSpPr>
        <xdr:cNvPr id="65" name="テキスト ボックス 64">
          <a:extLst>
            <a:ext uri="{FF2B5EF4-FFF2-40B4-BE49-F238E27FC236}">
              <a16:creationId xmlns:a16="http://schemas.microsoft.com/office/drawing/2014/main" xmlns="" id="{00000000-0008-0000-0200-000041000000}"/>
            </a:ext>
          </a:extLst>
        </xdr:cNvPr>
        <xdr:cNvSpPr txBox="1"/>
      </xdr:nvSpPr>
      <xdr:spPr>
        <a:xfrm>
          <a:off x="7447415" y="2189187"/>
          <a:ext cx="2868159" cy="925487"/>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aseline="0"/>
            <a:t>■</a:t>
          </a:r>
          <a:r>
            <a:rPr kumimoji="1" lang="en-US" altLang="ja-JP" sz="1000" baseline="0"/>
            <a:t>1</a:t>
          </a:r>
          <a:r>
            <a:rPr kumimoji="1" lang="ja-JP" altLang="en-US" sz="1000" baseline="0"/>
            <a:t>■</a:t>
          </a:r>
          <a:r>
            <a:rPr kumimoji="1" lang="en-US" altLang="ja-JP" sz="1000" baseline="0"/>
            <a:t>Họ và tên: Họ là chữ đầu tiền, còn lại là tên.</a:t>
          </a:r>
        </a:p>
        <a:p>
          <a:r>
            <a:rPr kumimoji="1" lang="en-US" altLang="ja-JP" sz="1000" baseline="0"/>
            <a:t>Ví dụ: ĐÀO THỊ TRÚC MAI</a:t>
          </a:r>
        </a:p>
        <a:p>
          <a:r>
            <a:rPr kumimoji="1" lang="en-US" altLang="ja-JP" sz="1000" baseline="0"/>
            <a:t>Họ:  ĐÀO    Tên: THỊ TRÚC MAI</a:t>
          </a:r>
        </a:p>
        <a:p>
          <a:r>
            <a:rPr kumimoji="1" lang="ja-JP" altLang="ja-JP" sz="1100" baseline="0">
              <a:solidFill>
                <a:schemeClr val="tx1"/>
              </a:solidFill>
              <a:effectLst/>
              <a:latin typeface="+mn-lt"/>
              <a:ea typeface="+mn-ea"/>
              <a:cs typeface="+mn-cs"/>
            </a:rPr>
            <a:t>■</a:t>
          </a:r>
          <a:r>
            <a:rPr kumimoji="1" lang="en-US" altLang="ja-JP" sz="1100" baseline="0">
              <a:solidFill>
                <a:schemeClr val="tx1"/>
              </a:solidFill>
              <a:effectLst/>
              <a:latin typeface="+mn-lt"/>
              <a:ea typeface="+mn-ea"/>
              <a:cs typeface="+mn-cs"/>
            </a:rPr>
            <a:t>2</a:t>
          </a:r>
          <a:r>
            <a:rPr kumimoji="1" lang="ja-JP" altLang="ja-JP" sz="1100" baseline="0">
              <a:solidFill>
                <a:schemeClr val="tx1"/>
              </a:solidFill>
              <a:effectLst/>
              <a:latin typeface="+mn-lt"/>
              <a:ea typeface="+mn-ea"/>
              <a:cs typeface="+mn-cs"/>
            </a:rPr>
            <a:t>■</a:t>
          </a:r>
          <a:r>
            <a:rPr kumimoji="1" lang="en-US" altLang="ja-JP" sz="1000" baseline="0"/>
            <a:t>ghi giống phần 1, nhưng ghi bằng chữ In </a:t>
          </a:r>
        </a:p>
        <a:p>
          <a:r>
            <a:rPr kumimoji="1" lang="en-US" altLang="ja-JP" sz="1000" baseline="0"/>
            <a:t>không dấu.</a:t>
          </a:r>
        </a:p>
      </xdr:txBody>
    </xdr:sp>
    <xdr:clientData/>
  </xdr:oneCellAnchor>
  <xdr:oneCellAnchor>
    <xdr:from>
      <xdr:col>61</xdr:col>
      <xdr:colOff>49596</xdr:colOff>
      <xdr:row>23</xdr:row>
      <xdr:rowOff>187872</xdr:rowOff>
    </xdr:from>
    <xdr:ext cx="2817429" cy="316954"/>
    <xdr:sp macro="" textlink="">
      <xdr:nvSpPr>
        <xdr:cNvPr id="66" name="テキスト ボックス 65">
          <a:extLst>
            <a:ext uri="{FF2B5EF4-FFF2-40B4-BE49-F238E27FC236}">
              <a16:creationId xmlns:a16="http://schemas.microsoft.com/office/drawing/2014/main" xmlns="" id="{00000000-0008-0000-0200-000042000000}"/>
            </a:ext>
          </a:extLst>
        </xdr:cNvPr>
        <xdr:cNvSpPr txBox="1"/>
      </xdr:nvSpPr>
      <xdr:spPr>
        <a:xfrm>
          <a:off x="7469571" y="4940847"/>
          <a:ext cx="2817429" cy="31695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aseline="0"/>
            <a:t>■</a:t>
          </a:r>
          <a:r>
            <a:rPr kumimoji="1" lang="en-US" altLang="ja-JP" sz="1000" baseline="0"/>
            <a:t>10</a:t>
          </a:r>
          <a:r>
            <a:rPr kumimoji="1" lang="ja-JP" altLang="en-US" sz="1000" baseline="0"/>
            <a:t>■ </a:t>
          </a:r>
          <a:r>
            <a:rPr kumimoji="1" lang="en-US" altLang="ja-JP" sz="1000" baseline="0"/>
            <a:t>Số điện thoại ghi liên tục không cách ra</a:t>
          </a:r>
        </a:p>
      </xdr:txBody>
    </xdr:sp>
    <xdr:clientData/>
  </xdr:oneCellAnchor>
  <xdr:oneCellAnchor>
    <xdr:from>
      <xdr:col>1</xdr:col>
      <xdr:colOff>117913</xdr:colOff>
      <xdr:row>4</xdr:row>
      <xdr:rowOff>26377</xdr:rowOff>
    </xdr:from>
    <xdr:ext cx="2758637" cy="601445"/>
    <xdr:sp macro="" textlink="">
      <xdr:nvSpPr>
        <xdr:cNvPr id="67" name="テキスト ボックス 66">
          <a:extLst>
            <a:ext uri="{FF2B5EF4-FFF2-40B4-BE49-F238E27FC236}">
              <a16:creationId xmlns:a16="http://schemas.microsoft.com/office/drawing/2014/main" xmlns="" id="{00000000-0008-0000-0200-000043000000}"/>
            </a:ext>
          </a:extLst>
        </xdr:cNvPr>
        <xdr:cNvSpPr txBox="1"/>
      </xdr:nvSpPr>
      <xdr:spPr>
        <a:xfrm>
          <a:off x="222688" y="959827"/>
          <a:ext cx="2758637" cy="601445"/>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1000" baseline="0">
              <a:solidFill>
                <a:srgbClr val="FF0000"/>
              </a:solidFill>
            </a:rPr>
            <a:t>HÃY LƯU Ý ĐỌC KỸ PHẦN HƯỚNG DẪN PHÍA BÊN </a:t>
          </a:r>
        </a:p>
        <a:p>
          <a:r>
            <a:rPr kumimoji="1" lang="en-US" altLang="ja-JP" sz="1000" baseline="0">
              <a:solidFill>
                <a:srgbClr val="FF0000"/>
              </a:solidFill>
            </a:rPr>
            <a:t>PHẢI, TRONG Ô MÀU VÀNG ĐỂ KHÔNG XẢY RA</a:t>
          </a:r>
          <a:br>
            <a:rPr kumimoji="1" lang="en-US" altLang="ja-JP" sz="1000" baseline="0">
              <a:solidFill>
                <a:srgbClr val="FF0000"/>
              </a:solidFill>
            </a:rPr>
          </a:br>
          <a:r>
            <a:rPr kumimoji="1" lang="en-US" altLang="ja-JP" sz="1000" baseline="0">
              <a:solidFill>
                <a:srgbClr val="FF0000"/>
              </a:solidFill>
            </a:rPr>
            <a:t>SƠ SÓT.</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oneCell">
    <xdr:from>
      <xdr:col>68</xdr:col>
      <xdr:colOff>0</xdr:colOff>
      <xdr:row>6</xdr:row>
      <xdr:rowOff>0</xdr:rowOff>
    </xdr:from>
    <xdr:to>
      <xdr:col>68</xdr:col>
      <xdr:colOff>171864</xdr:colOff>
      <xdr:row>7</xdr:row>
      <xdr:rowOff>26553</xdr:rowOff>
    </xdr:to>
    <xdr:sp macro="" textlink="">
      <xdr:nvSpPr>
        <xdr:cNvPr id="2" name="Text Box 40">
          <a:extLst>
            <a:ext uri="{FF2B5EF4-FFF2-40B4-BE49-F238E27FC236}">
              <a16:creationId xmlns:a16="http://schemas.microsoft.com/office/drawing/2014/main" xmlns="" id="{00000000-0008-0000-0300-000002000000}"/>
            </a:ext>
          </a:extLst>
        </xdr:cNvPr>
        <xdr:cNvSpPr txBox="1">
          <a:spLocks noChangeArrowheads="1"/>
        </xdr:cNvSpPr>
      </xdr:nvSpPr>
      <xdr:spPr bwMode="auto">
        <a:xfrm>
          <a:off x="8486775" y="1028700"/>
          <a:ext cx="171864" cy="21705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twoCellAnchor>
  <xdr:twoCellAnchor editAs="oneCell">
    <xdr:from>
      <xdr:col>36</xdr:col>
      <xdr:colOff>9525</xdr:colOff>
      <xdr:row>38</xdr:row>
      <xdr:rowOff>0</xdr:rowOff>
    </xdr:from>
    <xdr:to>
      <xdr:col>42</xdr:col>
      <xdr:colOff>40030</xdr:colOff>
      <xdr:row>39</xdr:row>
      <xdr:rowOff>87986</xdr:rowOff>
    </xdr:to>
    <xdr:sp macro="" textlink="">
      <xdr:nvSpPr>
        <xdr:cNvPr id="3" name="Text Box 52">
          <a:extLst>
            <a:ext uri="{FF2B5EF4-FFF2-40B4-BE49-F238E27FC236}">
              <a16:creationId xmlns:a16="http://schemas.microsoft.com/office/drawing/2014/main" xmlns="" id="{00000000-0008-0000-0300-000003000000}"/>
            </a:ext>
          </a:extLst>
        </xdr:cNvPr>
        <xdr:cNvSpPr txBox="1">
          <a:spLocks noChangeArrowheads="1"/>
        </xdr:cNvSpPr>
      </xdr:nvSpPr>
      <xdr:spPr bwMode="auto">
        <a:xfrm>
          <a:off x="4105275" y="7086600"/>
          <a:ext cx="716305" cy="268961"/>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0" bIns="0" anchor="t" upright="1"/>
        <a:lstStyle/>
        <a:p>
          <a:pPr algn="l" rtl="0">
            <a:defRPr sz="1000"/>
          </a:pPr>
          <a:r>
            <a:rPr lang="ja-JP" altLang="en-US" sz="1400" b="0" i="0" u="none" strike="noStrike" baseline="0">
              <a:solidFill>
                <a:srgbClr val="000000"/>
              </a:solidFill>
              <a:latin typeface="ＭＳ Ｐゴシック"/>
              <a:ea typeface="ＭＳ Ｐゴシック"/>
            </a:rPr>
            <a:t>　</a:t>
          </a:r>
          <a:endParaRPr lang="ja-JP" altLang="en-US"/>
        </a:p>
      </xdr:txBody>
    </xdr:sp>
    <xdr:clientData/>
  </xdr:twoCellAnchor>
  <xdr:twoCellAnchor editAs="oneCell">
    <xdr:from>
      <xdr:col>49</xdr:col>
      <xdr:colOff>104775</xdr:colOff>
      <xdr:row>38</xdr:row>
      <xdr:rowOff>0</xdr:rowOff>
    </xdr:from>
    <xdr:to>
      <xdr:col>59</xdr:col>
      <xdr:colOff>28575</xdr:colOff>
      <xdr:row>39</xdr:row>
      <xdr:rowOff>78403</xdr:rowOff>
    </xdr:to>
    <xdr:sp macro="" textlink="">
      <xdr:nvSpPr>
        <xdr:cNvPr id="4" name="Text Box 53">
          <a:extLst>
            <a:ext uri="{FF2B5EF4-FFF2-40B4-BE49-F238E27FC236}">
              <a16:creationId xmlns:a16="http://schemas.microsoft.com/office/drawing/2014/main" xmlns="" id="{00000000-0008-0000-0300-000004000000}"/>
            </a:ext>
          </a:extLst>
        </xdr:cNvPr>
        <xdr:cNvSpPr txBox="1">
          <a:spLocks noChangeArrowheads="1"/>
        </xdr:cNvSpPr>
      </xdr:nvSpPr>
      <xdr:spPr bwMode="auto">
        <a:xfrm>
          <a:off x="5686425" y="7086600"/>
          <a:ext cx="1066800" cy="259378"/>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0" bIns="0" anchor="t" upright="1"/>
        <a:lstStyle/>
        <a:p>
          <a:pPr algn="l" rtl="0">
            <a:defRPr sz="1000"/>
          </a:pPr>
          <a:r>
            <a:rPr lang="ja-JP" altLang="en-US" sz="1400" b="0" i="0" u="none" strike="noStrike" baseline="0">
              <a:solidFill>
                <a:srgbClr val="000000"/>
              </a:solidFill>
              <a:latin typeface="ＭＳ Ｐゴシック"/>
              <a:ea typeface="ＭＳ Ｐゴシック"/>
            </a:rPr>
            <a:t>　</a:t>
          </a:r>
          <a:endParaRPr lang="ja-JP" altLang="en-US"/>
        </a:p>
      </xdr:txBody>
    </xdr:sp>
    <xdr:clientData/>
  </xdr:twoCellAnchor>
  <xdr:oneCellAnchor>
    <xdr:from>
      <xdr:col>18</xdr:col>
      <xdr:colOff>78105</xdr:colOff>
      <xdr:row>13</xdr:row>
      <xdr:rowOff>0</xdr:rowOff>
    </xdr:from>
    <xdr:ext cx="203261" cy="151836"/>
    <xdr:sp macro="" textlink="">
      <xdr:nvSpPr>
        <xdr:cNvPr id="5" name="Text Box 116">
          <a:extLst>
            <a:ext uri="{FF2B5EF4-FFF2-40B4-BE49-F238E27FC236}">
              <a16:creationId xmlns:a16="http://schemas.microsoft.com/office/drawing/2014/main" xmlns="" id="{00000000-0008-0000-0300-000005000000}"/>
            </a:ext>
          </a:extLst>
        </xdr:cNvPr>
        <xdr:cNvSpPr txBox="1">
          <a:spLocks noChangeArrowheads="1"/>
        </xdr:cNvSpPr>
      </xdr:nvSpPr>
      <xdr:spPr bwMode="auto">
        <a:xfrm>
          <a:off x="2116455" y="2362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13</xdr:row>
      <xdr:rowOff>0</xdr:rowOff>
    </xdr:from>
    <xdr:ext cx="284630" cy="151836"/>
    <xdr:sp macro="" textlink="">
      <xdr:nvSpPr>
        <xdr:cNvPr id="6" name="Text Box 117">
          <a:extLst>
            <a:ext uri="{FF2B5EF4-FFF2-40B4-BE49-F238E27FC236}">
              <a16:creationId xmlns:a16="http://schemas.microsoft.com/office/drawing/2014/main" xmlns="" id="{00000000-0008-0000-0300-000006000000}"/>
            </a:ext>
          </a:extLst>
        </xdr:cNvPr>
        <xdr:cNvSpPr txBox="1">
          <a:spLocks noChangeArrowheads="1"/>
        </xdr:cNvSpPr>
      </xdr:nvSpPr>
      <xdr:spPr bwMode="auto">
        <a:xfrm>
          <a:off x="2419350" y="2362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13</xdr:row>
      <xdr:rowOff>0</xdr:rowOff>
    </xdr:from>
    <xdr:ext cx="167225" cy="151836"/>
    <xdr:sp macro="" textlink="">
      <xdr:nvSpPr>
        <xdr:cNvPr id="7" name="Text Box 118">
          <a:extLst>
            <a:ext uri="{FF2B5EF4-FFF2-40B4-BE49-F238E27FC236}">
              <a16:creationId xmlns:a16="http://schemas.microsoft.com/office/drawing/2014/main" xmlns="" id="{00000000-0008-0000-0300-000007000000}"/>
            </a:ext>
          </a:extLst>
        </xdr:cNvPr>
        <xdr:cNvSpPr txBox="1">
          <a:spLocks noChangeArrowheads="1"/>
        </xdr:cNvSpPr>
      </xdr:nvSpPr>
      <xdr:spPr bwMode="auto">
        <a:xfrm>
          <a:off x="2821305" y="2362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15</xdr:row>
      <xdr:rowOff>0</xdr:rowOff>
    </xdr:from>
    <xdr:ext cx="203261" cy="151836"/>
    <xdr:sp macro="" textlink="">
      <xdr:nvSpPr>
        <xdr:cNvPr id="8" name="Text Box 119">
          <a:extLst>
            <a:ext uri="{FF2B5EF4-FFF2-40B4-BE49-F238E27FC236}">
              <a16:creationId xmlns:a16="http://schemas.microsoft.com/office/drawing/2014/main" xmlns="" id="{00000000-0008-0000-0300-000008000000}"/>
            </a:ext>
          </a:extLst>
        </xdr:cNvPr>
        <xdr:cNvSpPr txBox="1">
          <a:spLocks noChangeArrowheads="1"/>
        </xdr:cNvSpPr>
      </xdr:nvSpPr>
      <xdr:spPr bwMode="auto">
        <a:xfrm>
          <a:off x="2116455" y="2743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15</xdr:row>
      <xdr:rowOff>0</xdr:rowOff>
    </xdr:from>
    <xdr:ext cx="284630" cy="151836"/>
    <xdr:sp macro="" textlink="">
      <xdr:nvSpPr>
        <xdr:cNvPr id="9" name="Text Box 120">
          <a:extLst>
            <a:ext uri="{FF2B5EF4-FFF2-40B4-BE49-F238E27FC236}">
              <a16:creationId xmlns:a16="http://schemas.microsoft.com/office/drawing/2014/main" xmlns="" id="{00000000-0008-0000-0300-000009000000}"/>
            </a:ext>
          </a:extLst>
        </xdr:cNvPr>
        <xdr:cNvSpPr txBox="1">
          <a:spLocks noChangeArrowheads="1"/>
        </xdr:cNvSpPr>
      </xdr:nvSpPr>
      <xdr:spPr bwMode="auto">
        <a:xfrm>
          <a:off x="2419350" y="2743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15</xdr:row>
      <xdr:rowOff>0</xdr:rowOff>
    </xdr:from>
    <xdr:ext cx="167225" cy="151836"/>
    <xdr:sp macro="" textlink="">
      <xdr:nvSpPr>
        <xdr:cNvPr id="10" name="Text Box 121">
          <a:extLst>
            <a:ext uri="{FF2B5EF4-FFF2-40B4-BE49-F238E27FC236}">
              <a16:creationId xmlns:a16="http://schemas.microsoft.com/office/drawing/2014/main" xmlns="" id="{00000000-0008-0000-0300-00000A000000}"/>
            </a:ext>
          </a:extLst>
        </xdr:cNvPr>
        <xdr:cNvSpPr txBox="1">
          <a:spLocks noChangeArrowheads="1"/>
        </xdr:cNvSpPr>
      </xdr:nvSpPr>
      <xdr:spPr bwMode="auto">
        <a:xfrm>
          <a:off x="2821305" y="2743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17</xdr:row>
      <xdr:rowOff>0</xdr:rowOff>
    </xdr:from>
    <xdr:ext cx="203261" cy="151836"/>
    <xdr:sp macro="" textlink="">
      <xdr:nvSpPr>
        <xdr:cNvPr id="11" name="Text Box 122">
          <a:extLst>
            <a:ext uri="{FF2B5EF4-FFF2-40B4-BE49-F238E27FC236}">
              <a16:creationId xmlns:a16="http://schemas.microsoft.com/office/drawing/2014/main" xmlns="" id="{00000000-0008-0000-0300-00000B000000}"/>
            </a:ext>
          </a:extLst>
        </xdr:cNvPr>
        <xdr:cNvSpPr txBox="1">
          <a:spLocks noChangeArrowheads="1"/>
        </xdr:cNvSpPr>
      </xdr:nvSpPr>
      <xdr:spPr bwMode="auto">
        <a:xfrm>
          <a:off x="2116455" y="3124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17</xdr:row>
      <xdr:rowOff>0</xdr:rowOff>
    </xdr:from>
    <xdr:ext cx="284630" cy="151836"/>
    <xdr:sp macro="" textlink="">
      <xdr:nvSpPr>
        <xdr:cNvPr id="12" name="Text Box 123">
          <a:extLst>
            <a:ext uri="{FF2B5EF4-FFF2-40B4-BE49-F238E27FC236}">
              <a16:creationId xmlns:a16="http://schemas.microsoft.com/office/drawing/2014/main" xmlns="" id="{00000000-0008-0000-0300-00000C000000}"/>
            </a:ext>
          </a:extLst>
        </xdr:cNvPr>
        <xdr:cNvSpPr txBox="1">
          <a:spLocks noChangeArrowheads="1"/>
        </xdr:cNvSpPr>
      </xdr:nvSpPr>
      <xdr:spPr bwMode="auto">
        <a:xfrm>
          <a:off x="2419350" y="3124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17</xdr:row>
      <xdr:rowOff>0</xdr:rowOff>
    </xdr:from>
    <xdr:ext cx="167225" cy="151836"/>
    <xdr:sp macro="" textlink="">
      <xdr:nvSpPr>
        <xdr:cNvPr id="13" name="Text Box 124">
          <a:extLst>
            <a:ext uri="{FF2B5EF4-FFF2-40B4-BE49-F238E27FC236}">
              <a16:creationId xmlns:a16="http://schemas.microsoft.com/office/drawing/2014/main" xmlns="" id="{00000000-0008-0000-0300-00000D000000}"/>
            </a:ext>
          </a:extLst>
        </xdr:cNvPr>
        <xdr:cNvSpPr txBox="1">
          <a:spLocks noChangeArrowheads="1"/>
        </xdr:cNvSpPr>
      </xdr:nvSpPr>
      <xdr:spPr bwMode="auto">
        <a:xfrm>
          <a:off x="2821305" y="3124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19</xdr:row>
      <xdr:rowOff>0</xdr:rowOff>
    </xdr:from>
    <xdr:ext cx="203261" cy="151836"/>
    <xdr:sp macro="" textlink="">
      <xdr:nvSpPr>
        <xdr:cNvPr id="14" name="Text Box 125">
          <a:extLst>
            <a:ext uri="{FF2B5EF4-FFF2-40B4-BE49-F238E27FC236}">
              <a16:creationId xmlns:a16="http://schemas.microsoft.com/office/drawing/2014/main" xmlns="" id="{00000000-0008-0000-0300-00000E000000}"/>
            </a:ext>
          </a:extLst>
        </xdr:cNvPr>
        <xdr:cNvSpPr txBox="1">
          <a:spLocks noChangeArrowheads="1"/>
        </xdr:cNvSpPr>
      </xdr:nvSpPr>
      <xdr:spPr bwMode="auto">
        <a:xfrm>
          <a:off x="2116455" y="3505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19</xdr:row>
      <xdr:rowOff>0</xdr:rowOff>
    </xdr:from>
    <xdr:ext cx="284630" cy="151836"/>
    <xdr:sp macro="" textlink="">
      <xdr:nvSpPr>
        <xdr:cNvPr id="15" name="Text Box 126">
          <a:extLst>
            <a:ext uri="{FF2B5EF4-FFF2-40B4-BE49-F238E27FC236}">
              <a16:creationId xmlns:a16="http://schemas.microsoft.com/office/drawing/2014/main" xmlns="" id="{00000000-0008-0000-0300-00000F000000}"/>
            </a:ext>
          </a:extLst>
        </xdr:cNvPr>
        <xdr:cNvSpPr txBox="1">
          <a:spLocks noChangeArrowheads="1"/>
        </xdr:cNvSpPr>
      </xdr:nvSpPr>
      <xdr:spPr bwMode="auto">
        <a:xfrm>
          <a:off x="2419350" y="3505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19</xdr:row>
      <xdr:rowOff>0</xdr:rowOff>
    </xdr:from>
    <xdr:ext cx="167225" cy="151836"/>
    <xdr:sp macro="" textlink="">
      <xdr:nvSpPr>
        <xdr:cNvPr id="16" name="Text Box 127">
          <a:extLst>
            <a:ext uri="{FF2B5EF4-FFF2-40B4-BE49-F238E27FC236}">
              <a16:creationId xmlns:a16="http://schemas.microsoft.com/office/drawing/2014/main" xmlns="" id="{00000000-0008-0000-0300-000010000000}"/>
            </a:ext>
          </a:extLst>
        </xdr:cNvPr>
        <xdr:cNvSpPr txBox="1">
          <a:spLocks noChangeArrowheads="1"/>
        </xdr:cNvSpPr>
      </xdr:nvSpPr>
      <xdr:spPr bwMode="auto">
        <a:xfrm>
          <a:off x="2821305" y="3505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21</xdr:row>
      <xdr:rowOff>0</xdr:rowOff>
    </xdr:from>
    <xdr:ext cx="203261" cy="151836"/>
    <xdr:sp macro="" textlink="">
      <xdr:nvSpPr>
        <xdr:cNvPr id="17" name="Text Box 128">
          <a:extLst>
            <a:ext uri="{FF2B5EF4-FFF2-40B4-BE49-F238E27FC236}">
              <a16:creationId xmlns:a16="http://schemas.microsoft.com/office/drawing/2014/main" xmlns="" id="{00000000-0008-0000-0300-000011000000}"/>
            </a:ext>
          </a:extLst>
        </xdr:cNvPr>
        <xdr:cNvSpPr txBox="1">
          <a:spLocks noChangeArrowheads="1"/>
        </xdr:cNvSpPr>
      </xdr:nvSpPr>
      <xdr:spPr bwMode="auto">
        <a:xfrm>
          <a:off x="2116455" y="3886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21</xdr:row>
      <xdr:rowOff>0</xdr:rowOff>
    </xdr:from>
    <xdr:ext cx="284630" cy="151836"/>
    <xdr:sp macro="" textlink="">
      <xdr:nvSpPr>
        <xdr:cNvPr id="18" name="Text Box 129">
          <a:extLst>
            <a:ext uri="{FF2B5EF4-FFF2-40B4-BE49-F238E27FC236}">
              <a16:creationId xmlns:a16="http://schemas.microsoft.com/office/drawing/2014/main" xmlns="" id="{00000000-0008-0000-0300-000012000000}"/>
            </a:ext>
          </a:extLst>
        </xdr:cNvPr>
        <xdr:cNvSpPr txBox="1">
          <a:spLocks noChangeArrowheads="1"/>
        </xdr:cNvSpPr>
      </xdr:nvSpPr>
      <xdr:spPr bwMode="auto">
        <a:xfrm>
          <a:off x="2419350" y="3886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21</xdr:row>
      <xdr:rowOff>0</xdr:rowOff>
    </xdr:from>
    <xdr:ext cx="167225" cy="151836"/>
    <xdr:sp macro="" textlink="">
      <xdr:nvSpPr>
        <xdr:cNvPr id="19" name="Text Box 130">
          <a:extLst>
            <a:ext uri="{FF2B5EF4-FFF2-40B4-BE49-F238E27FC236}">
              <a16:creationId xmlns:a16="http://schemas.microsoft.com/office/drawing/2014/main" xmlns="" id="{00000000-0008-0000-0300-000013000000}"/>
            </a:ext>
          </a:extLst>
        </xdr:cNvPr>
        <xdr:cNvSpPr txBox="1">
          <a:spLocks noChangeArrowheads="1"/>
        </xdr:cNvSpPr>
      </xdr:nvSpPr>
      <xdr:spPr bwMode="auto">
        <a:xfrm>
          <a:off x="2821305" y="3886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23</xdr:row>
      <xdr:rowOff>0</xdr:rowOff>
    </xdr:from>
    <xdr:ext cx="203261" cy="151836"/>
    <xdr:sp macro="" textlink="">
      <xdr:nvSpPr>
        <xdr:cNvPr id="20" name="Text Box 131">
          <a:extLst>
            <a:ext uri="{FF2B5EF4-FFF2-40B4-BE49-F238E27FC236}">
              <a16:creationId xmlns:a16="http://schemas.microsoft.com/office/drawing/2014/main" xmlns="" id="{00000000-0008-0000-0300-000014000000}"/>
            </a:ext>
          </a:extLst>
        </xdr:cNvPr>
        <xdr:cNvSpPr txBox="1">
          <a:spLocks noChangeArrowheads="1"/>
        </xdr:cNvSpPr>
      </xdr:nvSpPr>
      <xdr:spPr bwMode="auto">
        <a:xfrm>
          <a:off x="2116455" y="4267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23</xdr:row>
      <xdr:rowOff>0</xdr:rowOff>
    </xdr:from>
    <xdr:ext cx="284630" cy="151836"/>
    <xdr:sp macro="" textlink="">
      <xdr:nvSpPr>
        <xdr:cNvPr id="21" name="Text Box 132">
          <a:extLst>
            <a:ext uri="{FF2B5EF4-FFF2-40B4-BE49-F238E27FC236}">
              <a16:creationId xmlns:a16="http://schemas.microsoft.com/office/drawing/2014/main" xmlns="" id="{00000000-0008-0000-0300-000015000000}"/>
            </a:ext>
          </a:extLst>
        </xdr:cNvPr>
        <xdr:cNvSpPr txBox="1">
          <a:spLocks noChangeArrowheads="1"/>
        </xdr:cNvSpPr>
      </xdr:nvSpPr>
      <xdr:spPr bwMode="auto">
        <a:xfrm>
          <a:off x="2419350" y="4267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23</xdr:row>
      <xdr:rowOff>0</xdr:rowOff>
    </xdr:from>
    <xdr:ext cx="167225" cy="151836"/>
    <xdr:sp macro="" textlink="">
      <xdr:nvSpPr>
        <xdr:cNvPr id="22" name="Text Box 133">
          <a:extLst>
            <a:ext uri="{FF2B5EF4-FFF2-40B4-BE49-F238E27FC236}">
              <a16:creationId xmlns:a16="http://schemas.microsoft.com/office/drawing/2014/main" xmlns="" id="{00000000-0008-0000-0300-000016000000}"/>
            </a:ext>
          </a:extLst>
        </xdr:cNvPr>
        <xdr:cNvSpPr txBox="1">
          <a:spLocks noChangeArrowheads="1"/>
        </xdr:cNvSpPr>
      </xdr:nvSpPr>
      <xdr:spPr bwMode="auto">
        <a:xfrm>
          <a:off x="2821305" y="4267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35</xdr:row>
      <xdr:rowOff>0</xdr:rowOff>
    </xdr:from>
    <xdr:ext cx="203261" cy="151836"/>
    <xdr:sp macro="" textlink="">
      <xdr:nvSpPr>
        <xdr:cNvPr id="23" name="Text Box 137">
          <a:extLst>
            <a:ext uri="{FF2B5EF4-FFF2-40B4-BE49-F238E27FC236}">
              <a16:creationId xmlns:a16="http://schemas.microsoft.com/office/drawing/2014/main" xmlns="" id="{00000000-0008-0000-0300-000017000000}"/>
            </a:ext>
          </a:extLst>
        </xdr:cNvPr>
        <xdr:cNvSpPr txBox="1">
          <a:spLocks noChangeArrowheads="1"/>
        </xdr:cNvSpPr>
      </xdr:nvSpPr>
      <xdr:spPr bwMode="auto">
        <a:xfrm>
          <a:off x="2116455" y="6524625"/>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35</xdr:row>
      <xdr:rowOff>0</xdr:rowOff>
    </xdr:from>
    <xdr:ext cx="284630" cy="151836"/>
    <xdr:sp macro="" textlink="">
      <xdr:nvSpPr>
        <xdr:cNvPr id="24" name="Text Box 138">
          <a:extLst>
            <a:ext uri="{FF2B5EF4-FFF2-40B4-BE49-F238E27FC236}">
              <a16:creationId xmlns:a16="http://schemas.microsoft.com/office/drawing/2014/main" xmlns="" id="{00000000-0008-0000-0300-000018000000}"/>
            </a:ext>
          </a:extLst>
        </xdr:cNvPr>
        <xdr:cNvSpPr txBox="1">
          <a:spLocks noChangeArrowheads="1"/>
        </xdr:cNvSpPr>
      </xdr:nvSpPr>
      <xdr:spPr bwMode="auto">
        <a:xfrm>
          <a:off x="2419350" y="6524625"/>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35</xdr:row>
      <xdr:rowOff>0</xdr:rowOff>
    </xdr:from>
    <xdr:ext cx="167225" cy="151836"/>
    <xdr:sp macro="" textlink="">
      <xdr:nvSpPr>
        <xdr:cNvPr id="25" name="Text Box 139">
          <a:extLst>
            <a:ext uri="{FF2B5EF4-FFF2-40B4-BE49-F238E27FC236}">
              <a16:creationId xmlns:a16="http://schemas.microsoft.com/office/drawing/2014/main" xmlns="" id="{00000000-0008-0000-0300-000019000000}"/>
            </a:ext>
          </a:extLst>
        </xdr:cNvPr>
        <xdr:cNvSpPr txBox="1">
          <a:spLocks noChangeArrowheads="1"/>
        </xdr:cNvSpPr>
      </xdr:nvSpPr>
      <xdr:spPr bwMode="auto">
        <a:xfrm>
          <a:off x="2821305" y="6524625"/>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37</xdr:row>
      <xdr:rowOff>0</xdr:rowOff>
    </xdr:from>
    <xdr:ext cx="203261" cy="151836"/>
    <xdr:sp macro="" textlink="">
      <xdr:nvSpPr>
        <xdr:cNvPr id="26" name="Text Box 140">
          <a:extLst>
            <a:ext uri="{FF2B5EF4-FFF2-40B4-BE49-F238E27FC236}">
              <a16:creationId xmlns:a16="http://schemas.microsoft.com/office/drawing/2014/main" xmlns="" id="{00000000-0008-0000-0300-00001A000000}"/>
            </a:ext>
          </a:extLst>
        </xdr:cNvPr>
        <xdr:cNvSpPr txBox="1">
          <a:spLocks noChangeArrowheads="1"/>
        </xdr:cNvSpPr>
      </xdr:nvSpPr>
      <xdr:spPr bwMode="auto">
        <a:xfrm>
          <a:off x="2116455" y="68961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37</xdr:row>
      <xdr:rowOff>0</xdr:rowOff>
    </xdr:from>
    <xdr:ext cx="284630" cy="151836"/>
    <xdr:sp macro="" textlink="">
      <xdr:nvSpPr>
        <xdr:cNvPr id="27" name="Text Box 141">
          <a:extLst>
            <a:ext uri="{FF2B5EF4-FFF2-40B4-BE49-F238E27FC236}">
              <a16:creationId xmlns:a16="http://schemas.microsoft.com/office/drawing/2014/main" xmlns="" id="{00000000-0008-0000-0300-00001B000000}"/>
            </a:ext>
          </a:extLst>
        </xdr:cNvPr>
        <xdr:cNvSpPr txBox="1">
          <a:spLocks noChangeArrowheads="1"/>
        </xdr:cNvSpPr>
      </xdr:nvSpPr>
      <xdr:spPr bwMode="auto">
        <a:xfrm>
          <a:off x="2419350" y="68961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37</xdr:row>
      <xdr:rowOff>0</xdr:rowOff>
    </xdr:from>
    <xdr:ext cx="167225" cy="151836"/>
    <xdr:sp macro="" textlink="">
      <xdr:nvSpPr>
        <xdr:cNvPr id="28" name="Text Box 142">
          <a:extLst>
            <a:ext uri="{FF2B5EF4-FFF2-40B4-BE49-F238E27FC236}">
              <a16:creationId xmlns:a16="http://schemas.microsoft.com/office/drawing/2014/main" xmlns="" id="{00000000-0008-0000-0300-00001C000000}"/>
            </a:ext>
          </a:extLst>
        </xdr:cNvPr>
        <xdr:cNvSpPr txBox="1">
          <a:spLocks noChangeArrowheads="1"/>
        </xdr:cNvSpPr>
      </xdr:nvSpPr>
      <xdr:spPr bwMode="auto">
        <a:xfrm>
          <a:off x="2821305" y="68961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38</xdr:row>
      <xdr:rowOff>0</xdr:rowOff>
    </xdr:from>
    <xdr:ext cx="18531" cy="174984"/>
    <xdr:sp macro="" textlink="">
      <xdr:nvSpPr>
        <xdr:cNvPr id="29" name="Text Box 143">
          <a:extLst>
            <a:ext uri="{FF2B5EF4-FFF2-40B4-BE49-F238E27FC236}">
              <a16:creationId xmlns:a16="http://schemas.microsoft.com/office/drawing/2014/main" xmlns="" id="{00000000-0008-0000-0300-00001D000000}"/>
            </a:ext>
          </a:extLst>
        </xdr:cNvPr>
        <xdr:cNvSpPr txBox="1">
          <a:spLocks noChangeArrowheads="1"/>
        </xdr:cNvSpPr>
      </xdr:nvSpPr>
      <xdr:spPr bwMode="auto">
        <a:xfrm>
          <a:off x="2002155" y="7086600"/>
          <a:ext cx="18531" cy="174984"/>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endParaRPr lang="ja-JP" altLang="en-US"/>
        </a:p>
      </xdr:txBody>
    </xdr:sp>
    <xdr:clientData/>
  </xdr:oneCellAnchor>
  <xdr:oneCellAnchor>
    <xdr:from>
      <xdr:col>48</xdr:col>
      <xdr:colOff>20955</xdr:colOff>
      <xdr:row>38</xdr:row>
      <xdr:rowOff>0</xdr:rowOff>
    </xdr:from>
    <xdr:ext cx="121380" cy="201850"/>
    <xdr:sp macro="" textlink="">
      <xdr:nvSpPr>
        <xdr:cNvPr id="30" name="Text Box 153">
          <a:extLst>
            <a:ext uri="{FF2B5EF4-FFF2-40B4-BE49-F238E27FC236}">
              <a16:creationId xmlns:a16="http://schemas.microsoft.com/office/drawing/2014/main" xmlns="" id="{00000000-0008-0000-0300-00001E000000}"/>
            </a:ext>
          </a:extLst>
        </xdr:cNvPr>
        <xdr:cNvSpPr txBox="1">
          <a:spLocks noChangeArrowheads="1"/>
        </xdr:cNvSpPr>
      </xdr:nvSpPr>
      <xdr:spPr bwMode="auto">
        <a:xfrm>
          <a:off x="5488305" y="7086600"/>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twoCellAnchor editAs="oneCell">
    <xdr:from>
      <xdr:col>8</xdr:col>
      <xdr:colOff>87630</xdr:colOff>
      <xdr:row>38</xdr:row>
      <xdr:rowOff>0</xdr:rowOff>
    </xdr:from>
    <xdr:to>
      <xdr:col>11</xdr:col>
      <xdr:colOff>44</xdr:colOff>
      <xdr:row>39</xdr:row>
      <xdr:rowOff>99423</xdr:rowOff>
    </xdr:to>
    <xdr:sp macro="" textlink="">
      <xdr:nvSpPr>
        <xdr:cNvPr id="31" name="Text Box 191">
          <a:extLst>
            <a:ext uri="{FF2B5EF4-FFF2-40B4-BE49-F238E27FC236}">
              <a16:creationId xmlns:a16="http://schemas.microsoft.com/office/drawing/2014/main" xmlns="" id="{00000000-0008-0000-0300-00001F000000}"/>
            </a:ext>
          </a:extLst>
        </xdr:cNvPr>
        <xdr:cNvSpPr txBox="1">
          <a:spLocks noChangeArrowheads="1"/>
        </xdr:cNvSpPr>
      </xdr:nvSpPr>
      <xdr:spPr bwMode="auto">
        <a:xfrm>
          <a:off x="982980" y="7086600"/>
          <a:ext cx="255314" cy="28039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　　</a:t>
          </a:r>
          <a:endParaRPr lang="ja-JP" altLang="en-US"/>
        </a:p>
      </xdr:txBody>
    </xdr:sp>
    <xdr:clientData/>
  </xdr:twoCellAnchor>
  <xdr:oneCellAnchor>
    <xdr:from>
      <xdr:col>54</xdr:col>
      <xdr:colOff>30480</xdr:colOff>
      <xdr:row>38</xdr:row>
      <xdr:rowOff>0</xdr:rowOff>
    </xdr:from>
    <xdr:ext cx="121380" cy="201850"/>
    <xdr:sp macro="" textlink="">
      <xdr:nvSpPr>
        <xdr:cNvPr id="32" name="Text Box 204">
          <a:extLst>
            <a:ext uri="{FF2B5EF4-FFF2-40B4-BE49-F238E27FC236}">
              <a16:creationId xmlns:a16="http://schemas.microsoft.com/office/drawing/2014/main" xmlns="" id="{00000000-0008-0000-0300-000020000000}"/>
            </a:ext>
          </a:extLst>
        </xdr:cNvPr>
        <xdr:cNvSpPr txBox="1">
          <a:spLocks noChangeArrowheads="1"/>
        </xdr:cNvSpPr>
      </xdr:nvSpPr>
      <xdr:spPr bwMode="auto">
        <a:xfrm>
          <a:off x="6183630" y="7086600"/>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48</xdr:col>
      <xdr:colOff>20955</xdr:colOff>
      <xdr:row>38</xdr:row>
      <xdr:rowOff>0</xdr:rowOff>
    </xdr:from>
    <xdr:ext cx="121380" cy="201850"/>
    <xdr:sp macro="" textlink="">
      <xdr:nvSpPr>
        <xdr:cNvPr id="33" name="Text Box 205">
          <a:extLst>
            <a:ext uri="{FF2B5EF4-FFF2-40B4-BE49-F238E27FC236}">
              <a16:creationId xmlns:a16="http://schemas.microsoft.com/office/drawing/2014/main" xmlns="" id="{00000000-0008-0000-0300-000021000000}"/>
            </a:ext>
          </a:extLst>
        </xdr:cNvPr>
        <xdr:cNvSpPr txBox="1">
          <a:spLocks noChangeArrowheads="1"/>
        </xdr:cNvSpPr>
      </xdr:nvSpPr>
      <xdr:spPr bwMode="auto">
        <a:xfrm>
          <a:off x="5488305" y="7086600"/>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18</xdr:col>
      <xdr:colOff>78105</xdr:colOff>
      <xdr:row>33</xdr:row>
      <xdr:rowOff>0</xdr:rowOff>
    </xdr:from>
    <xdr:ext cx="203261" cy="151836"/>
    <xdr:sp macro="" textlink="">
      <xdr:nvSpPr>
        <xdr:cNvPr id="34" name="Text Box 210">
          <a:extLst>
            <a:ext uri="{FF2B5EF4-FFF2-40B4-BE49-F238E27FC236}">
              <a16:creationId xmlns:a16="http://schemas.microsoft.com/office/drawing/2014/main" xmlns="" id="{00000000-0008-0000-0300-000022000000}"/>
            </a:ext>
          </a:extLst>
        </xdr:cNvPr>
        <xdr:cNvSpPr txBox="1">
          <a:spLocks noChangeArrowheads="1"/>
        </xdr:cNvSpPr>
      </xdr:nvSpPr>
      <xdr:spPr bwMode="auto">
        <a:xfrm>
          <a:off x="2116455" y="615315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33</xdr:row>
      <xdr:rowOff>0</xdr:rowOff>
    </xdr:from>
    <xdr:ext cx="284630" cy="151836"/>
    <xdr:sp macro="" textlink="">
      <xdr:nvSpPr>
        <xdr:cNvPr id="35" name="Text Box 211">
          <a:extLst>
            <a:ext uri="{FF2B5EF4-FFF2-40B4-BE49-F238E27FC236}">
              <a16:creationId xmlns:a16="http://schemas.microsoft.com/office/drawing/2014/main" xmlns="" id="{00000000-0008-0000-0300-000023000000}"/>
            </a:ext>
          </a:extLst>
        </xdr:cNvPr>
        <xdr:cNvSpPr txBox="1">
          <a:spLocks noChangeArrowheads="1"/>
        </xdr:cNvSpPr>
      </xdr:nvSpPr>
      <xdr:spPr bwMode="auto">
        <a:xfrm>
          <a:off x="2419350" y="615315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33</xdr:row>
      <xdr:rowOff>0</xdr:rowOff>
    </xdr:from>
    <xdr:ext cx="167225" cy="151836"/>
    <xdr:sp macro="" textlink="">
      <xdr:nvSpPr>
        <xdr:cNvPr id="36" name="Text Box 212">
          <a:extLst>
            <a:ext uri="{FF2B5EF4-FFF2-40B4-BE49-F238E27FC236}">
              <a16:creationId xmlns:a16="http://schemas.microsoft.com/office/drawing/2014/main" xmlns="" id="{00000000-0008-0000-0300-000024000000}"/>
            </a:ext>
          </a:extLst>
        </xdr:cNvPr>
        <xdr:cNvSpPr txBox="1">
          <a:spLocks noChangeArrowheads="1"/>
        </xdr:cNvSpPr>
      </xdr:nvSpPr>
      <xdr:spPr bwMode="auto">
        <a:xfrm>
          <a:off x="2821305" y="615315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31</xdr:row>
      <xdr:rowOff>0</xdr:rowOff>
    </xdr:from>
    <xdr:ext cx="203261" cy="151836"/>
    <xdr:sp macro="" textlink="">
      <xdr:nvSpPr>
        <xdr:cNvPr id="37" name="Text Box 137">
          <a:extLst>
            <a:ext uri="{FF2B5EF4-FFF2-40B4-BE49-F238E27FC236}">
              <a16:creationId xmlns:a16="http://schemas.microsoft.com/office/drawing/2014/main" xmlns="" id="{00000000-0008-0000-0300-000025000000}"/>
            </a:ext>
          </a:extLst>
        </xdr:cNvPr>
        <xdr:cNvSpPr txBox="1">
          <a:spLocks noChangeArrowheads="1"/>
        </xdr:cNvSpPr>
      </xdr:nvSpPr>
      <xdr:spPr bwMode="auto">
        <a:xfrm>
          <a:off x="2116455" y="577215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31</xdr:row>
      <xdr:rowOff>0</xdr:rowOff>
    </xdr:from>
    <xdr:ext cx="284630" cy="151836"/>
    <xdr:sp macro="" textlink="">
      <xdr:nvSpPr>
        <xdr:cNvPr id="38" name="Text Box 138">
          <a:extLst>
            <a:ext uri="{FF2B5EF4-FFF2-40B4-BE49-F238E27FC236}">
              <a16:creationId xmlns:a16="http://schemas.microsoft.com/office/drawing/2014/main" xmlns="" id="{00000000-0008-0000-0300-000026000000}"/>
            </a:ext>
          </a:extLst>
        </xdr:cNvPr>
        <xdr:cNvSpPr txBox="1">
          <a:spLocks noChangeArrowheads="1"/>
        </xdr:cNvSpPr>
      </xdr:nvSpPr>
      <xdr:spPr bwMode="auto">
        <a:xfrm>
          <a:off x="2419350" y="577215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31</xdr:row>
      <xdr:rowOff>0</xdr:rowOff>
    </xdr:from>
    <xdr:ext cx="167225" cy="151836"/>
    <xdr:sp macro="" textlink="">
      <xdr:nvSpPr>
        <xdr:cNvPr id="39" name="Text Box 139">
          <a:extLst>
            <a:ext uri="{FF2B5EF4-FFF2-40B4-BE49-F238E27FC236}">
              <a16:creationId xmlns:a16="http://schemas.microsoft.com/office/drawing/2014/main" xmlns="" id="{00000000-0008-0000-0300-000027000000}"/>
            </a:ext>
          </a:extLst>
        </xdr:cNvPr>
        <xdr:cNvSpPr txBox="1">
          <a:spLocks noChangeArrowheads="1"/>
        </xdr:cNvSpPr>
      </xdr:nvSpPr>
      <xdr:spPr bwMode="auto">
        <a:xfrm>
          <a:off x="2821305" y="577215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29</xdr:row>
      <xdr:rowOff>0</xdr:rowOff>
    </xdr:from>
    <xdr:ext cx="203261" cy="151836"/>
    <xdr:sp macro="" textlink="">
      <xdr:nvSpPr>
        <xdr:cNvPr id="40" name="Text Box 210">
          <a:extLst>
            <a:ext uri="{FF2B5EF4-FFF2-40B4-BE49-F238E27FC236}">
              <a16:creationId xmlns:a16="http://schemas.microsoft.com/office/drawing/2014/main" xmlns="" id="{00000000-0008-0000-0300-000028000000}"/>
            </a:ext>
          </a:extLst>
        </xdr:cNvPr>
        <xdr:cNvSpPr txBox="1">
          <a:spLocks noChangeArrowheads="1"/>
        </xdr:cNvSpPr>
      </xdr:nvSpPr>
      <xdr:spPr bwMode="auto">
        <a:xfrm>
          <a:off x="2116455" y="5400675"/>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29</xdr:row>
      <xdr:rowOff>0</xdr:rowOff>
    </xdr:from>
    <xdr:ext cx="284630" cy="151836"/>
    <xdr:sp macro="" textlink="">
      <xdr:nvSpPr>
        <xdr:cNvPr id="41" name="Text Box 211">
          <a:extLst>
            <a:ext uri="{FF2B5EF4-FFF2-40B4-BE49-F238E27FC236}">
              <a16:creationId xmlns:a16="http://schemas.microsoft.com/office/drawing/2014/main" xmlns="" id="{00000000-0008-0000-0300-000029000000}"/>
            </a:ext>
          </a:extLst>
        </xdr:cNvPr>
        <xdr:cNvSpPr txBox="1">
          <a:spLocks noChangeArrowheads="1"/>
        </xdr:cNvSpPr>
      </xdr:nvSpPr>
      <xdr:spPr bwMode="auto">
        <a:xfrm>
          <a:off x="2419350" y="5400675"/>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29</xdr:row>
      <xdr:rowOff>0</xdr:rowOff>
    </xdr:from>
    <xdr:ext cx="167225" cy="151836"/>
    <xdr:sp macro="" textlink="">
      <xdr:nvSpPr>
        <xdr:cNvPr id="42" name="Text Box 212">
          <a:extLst>
            <a:ext uri="{FF2B5EF4-FFF2-40B4-BE49-F238E27FC236}">
              <a16:creationId xmlns:a16="http://schemas.microsoft.com/office/drawing/2014/main" xmlns="" id="{00000000-0008-0000-0300-00002A000000}"/>
            </a:ext>
          </a:extLst>
        </xdr:cNvPr>
        <xdr:cNvSpPr txBox="1">
          <a:spLocks noChangeArrowheads="1"/>
        </xdr:cNvSpPr>
      </xdr:nvSpPr>
      <xdr:spPr bwMode="auto">
        <a:xfrm>
          <a:off x="2821305" y="5400675"/>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27</xdr:row>
      <xdr:rowOff>0</xdr:rowOff>
    </xdr:from>
    <xdr:ext cx="203261" cy="151836"/>
    <xdr:sp macro="" textlink="">
      <xdr:nvSpPr>
        <xdr:cNvPr id="43" name="Text Box 137">
          <a:extLst>
            <a:ext uri="{FF2B5EF4-FFF2-40B4-BE49-F238E27FC236}">
              <a16:creationId xmlns:a16="http://schemas.microsoft.com/office/drawing/2014/main" xmlns="" id="{00000000-0008-0000-0300-00002B000000}"/>
            </a:ext>
          </a:extLst>
        </xdr:cNvPr>
        <xdr:cNvSpPr txBox="1">
          <a:spLocks noChangeArrowheads="1"/>
        </xdr:cNvSpPr>
      </xdr:nvSpPr>
      <xdr:spPr bwMode="auto">
        <a:xfrm>
          <a:off x="2116455" y="5019675"/>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27</xdr:row>
      <xdr:rowOff>0</xdr:rowOff>
    </xdr:from>
    <xdr:ext cx="284630" cy="151836"/>
    <xdr:sp macro="" textlink="">
      <xdr:nvSpPr>
        <xdr:cNvPr id="44" name="Text Box 138">
          <a:extLst>
            <a:ext uri="{FF2B5EF4-FFF2-40B4-BE49-F238E27FC236}">
              <a16:creationId xmlns:a16="http://schemas.microsoft.com/office/drawing/2014/main" xmlns="" id="{00000000-0008-0000-0300-00002C000000}"/>
            </a:ext>
          </a:extLst>
        </xdr:cNvPr>
        <xdr:cNvSpPr txBox="1">
          <a:spLocks noChangeArrowheads="1"/>
        </xdr:cNvSpPr>
      </xdr:nvSpPr>
      <xdr:spPr bwMode="auto">
        <a:xfrm>
          <a:off x="2419350" y="5019675"/>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27</xdr:row>
      <xdr:rowOff>0</xdr:rowOff>
    </xdr:from>
    <xdr:ext cx="167225" cy="151836"/>
    <xdr:sp macro="" textlink="">
      <xdr:nvSpPr>
        <xdr:cNvPr id="45" name="Text Box 139">
          <a:extLst>
            <a:ext uri="{FF2B5EF4-FFF2-40B4-BE49-F238E27FC236}">
              <a16:creationId xmlns:a16="http://schemas.microsoft.com/office/drawing/2014/main" xmlns="" id="{00000000-0008-0000-0300-00002D000000}"/>
            </a:ext>
          </a:extLst>
        </xdr:cNvPr>
        <xdr:cNvSpPr txBox="1">
          <a:spLocks noChangeArrowheads="1"/>
        </xdr:cNvSpPr>
      </xdr:nvSpPr>
      <xdr:spPr bwMode="auto">
        <a:xfrm>
          <a:off x="2821305" y="5019675"/>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18</xdr:col>
      <xdr:colOff>78105</xdr:colOff>
      <xdr:row>25</xdr:row>
      <xdr:rowOff>0</xdr:rowOff>
    </xdr:from>
    <xdr:ext cx="203261" cy="151836"/>
    <xdr:sp macro="" textlink="">
      <xdr:nvSpPr>
        <xdr:cNvPr id="46" name="Text Box 210">
          <a:extLst>
            <a:ext uri="{FF2B5EF4-FFF2-40B4-BE49-F238E27FC236}">
              <a16:creationId xmlns:a16="http://schemas.microsoft.com/office/drawing/2014/main" xmlns="" id="{00000000-0008-0000-0300-00002E000000}"/>
            </a:ext>
          </a:extLst>
        </xdr:cNvPr>
        <xdr:cNvSpPr txBox="1">
          <a:spLocks noChangeArrowheads="1"/>
        </xdr:cNvSpPr>
      </xdr:nvSpPr>
      <xdr:spPr bwMode="auto">
        <a:xfrm>
          <a:off x="2116455" y="46482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21</xdr:col>
      <xdr:colOff>38100</xdr:colOff>
      <xdr:row>25</xdr:row>
      <xdr:rowOff>0</xdr:rowOff>
    </xdr:from>
    <xdr:ext cx="284630" cy="151836"/>
    <xdr:sp macro="" textlink="">
      <xdr:nvSpPr>
        <xdr:cNvPr id="47" name="Text Box 211">
          <a:extLst>
            <a:ext uri="{FF2B5EF4-FFF2-40B4-BE49-F238E27FC236}">
              <a16:creationId xmlns:a16="http://schemas.microsoft.com/office/drawing/2014/main" xmlns="" id="{00000000-0008-0000-0300-00002F000000}"/>
            </a:ext>
          </a:extLst>
        </xdr:cNvPr>
        <xdr:cNvSpPr txBox="1">
          <a:spLocks noChangeArrowheads="1"/>
        </xdr:cNvSpPr>
      </xdr:nvSpPr>
      <xdr:spPr bwMode="auto">
        <a:xfrm>
          <a:off x="2419350" y="46482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24</xdr:col>
      <xdr:colOff>97155</xdr:colOff>
      <xdr:row>25</xdr:row>
      <xdr:rowOff>0</xdr:rowOff>
    </xdr:from>
    <xdr:ext cx="167225" cy="151836"/>
    <xdr:sp macro="" textlink="">
      <xdr:nvSpPr>
        <xdr:cNvPr id="48" name="Text Box 212">
          <a:extLst>
            <a:ext uri="{FF2B5EF4-FFF2-40B4-BE49-F238E27FC236}">
              <a16:creationId xmlns:a16="http://schemas.microsoft.com/office/drawing/2014/main" xmlns="" id="{00000000-0008-0000-0300-000030000000}"/>
            </a:ext>
          </a:extLst>
        </xdr:cNvPr>
        <xdr:cNvSpPr txBox="1">
          <a:spLocks noChangeArrowheads="1"/>
        </xdr:cNvSpPr>
      </xdr:nvSpPr>
      <xdr:spPr bwMode="auto">
        <a:xfrm>
          <a:off x="2821305" y="46482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43</xdr:row>
      <xdr:rowOff>0</xdr:rowOff>
    </xdr:from>
    <xdr:ext cx="203261" cy="151836"/>
    <xdr:sp macro="" textlink="">
      <xdr:nvSpPr>
        <xdr:cNvPr id="49" name="Text Box 143">
          <a:extLst>
            <a:ext uri="{FF2B5EF4-FFF2-40B4-BE49-F238E27FC236}">
              <a16:creationId xmlns:a16="http://schemas.microsoft.com/office/drawing/2014/main" xmlns="" id="{00000000-0008-0000-0300-000031000000}"/>
            </a:ext>
          </a:extLst>
        </xdr:cNvPr>
        <xdr:cNvSpPr txBox="1">
          <a:spLocks noChangeArrowheads="1"/>
        </xdr:cNvSpPr>
      </xdr:nvSpPr>
      <xdr:spPr bwMode="auto">
        <a:xfrm>
          <a:off x="2002155" y="79629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43</xdr:row>
      <xdr:rowOff>0</xdr:rowOff>
    </xdr:from>
    <xdr:ext cx="284630" cy="151836"/>
    <xdr:sp macro="" textlink="">
      <xdr:nvSpPr>
        <xdr:cNvPr id="50" name="Text Box 144">
          <a:extLst>
            <a:ext uri="{FF2B5EF4-FFF2-40B4-BE49-F238E27FC236}">
              <a16:creationId xmlns:a16="http://schemas.microsoft.com/office/drawing/2014/main" xmlns="" id="{00000000-0008-0000-0300-000032000000}"/>
            </a:ext>
          </a:extLst>
        </xdr:cNvPr>
        <xdr:cNvSpPr txBox="1">
          <a:spLocks noChangeArrowheads="1"/>
        </xdr:cNvSpPr>
      </xdr:nvSpPr>
      <xdr:spPr bwMode="auto">
        <a:xfrm>
          <a:off x="2305050" y="79629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43</xdr:row>
      <xdr:rowOff>0</xdr:rowOff>
    </xdr:from>
    <xdr:ext cx="167225" cy="151836"/>
    <xdr:sp macro="" textlink="">
      <xdr:nvSpPr>
        <xdr:cNvPr id="51" name="Text Box 145">
          <a:extLst>
            <a:ext uri="{FF2B5EF4-FFF2-40B4-BE49-F238E27FC236}">
              <a16:creationId xmlns:a16="http://schemas.microsoft.com/office/drawing/2014/main" xmlns="" id="{00000000-0008-0000-0300-000033000000}"/>
            </a:ext>
          </a:extLst>
        </xdr:cNvPr>
        <xdr:cNvSpPr txBox="1">
          <a:spLocks noChangeArrowheads="1"/>
        </xdr:cNvSpPr>
      </xdr:nvSpPr>
      <xdr:spPr bwMode="auto">
        <a:xfrm>
          <a:off x="2707005" y="79629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49</xdr:row>
      <xdr:rowOff>0</xdr:rowOff>
    </xdr:from>
    <xdr:ext cx="203261" cy="151836"/>
    <xdr:sp macro="" textlink="">
      <xdr:nvSpPr>
        <xdr:cNvPr id="52" name="Text Box 146">
          <a:extLst>
            <a:ext uri="{FF2B5EF4-FFF2-40B4-BE49-F238E27FC236}">
              <a16:creationId xmlns:a16="http://schemas.microsoft.com/office/drawing/2014/main" xmlns="" id="{00000000-0008-0000-0300-000034000000}"/>
            </a:ext>
          </a:extLst>
        </xdr:cNvPr>
        <xdr:cNvSpPr txBox="1">
          <a:spLocks noChangeArrowheads="1"/>
        </xdr:cNvSpPr>
      </xdr:nvSpPr>
      <xdr:spPr bwMode="auto">
        <a:xfrm>
          <a:off x="2002155" y="904875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49</xdr:row>
      <xdr:rowOff>0</xdr:rowOff>
    </xdr:from>
    <xdr:ext cx="284630" cy="151836"/>
    <xdr:sp macro="" textlink="">
      <xdr:nvSpPr>
        <xdr:cNvPr id="53" name="Text Box 147">
          <a:extLst>
            <a:ext uri="{FF2B5EF4-FFF2-40B4-BE49-F238E27FC236}">
              <a16:creationId xmlns:a16="http://schemas.microsoft.com/office/drawing/2014/main" xmlns="" id="{00000000-0008-0000-0300-000035000000}"/>
            </a:ext>
          </a:extLst>
        </xdr:cNvPr>
        <xdr:cNvSpPr txBox="1">
          <a:spLocks noChangeArrowheads="1"/>
        </xdr:cNvSpPr>
      </xdr:nvSpPr>
      <xdr:spPr bwMode="auto">
        <a:xfrm>
          <a:off x="2305050" y="904875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49</xdr:row>
      <xdr:rowOff>0</xdr:rowOff>
    </xdr:from>
    <xdr:ext cx="167225" cy="151836"/>
    <xdr:sp macro="" textlink="">
      <xdr:nvSpPr>
        <xdr:cNvPr id="54" name="Text Box 148">
          <a:extLst>
            <a:ext uri="{FF2B5EF4-FFF2-40B4-BE49-F238E27FC236}">
              <a16:creationId xmlns:a16="http://schemas.microsoft.com/office/drawing/2014/main" xmlns="" id="{00000000-0008-0000-0300-000036000000}"/>
            </a:ext>
          </a:extLst>
        </xdr:cNvPr>
        <xdr:cNvSpPr txBox="1">
          <a:spLocks noChangeArrowheads="1"/>
        </xdr:cNvSpPr>
      </xdr:nvSpPr>
      <xdr:spPr bwMode="auto">
        <a:xfrm>
          <a:off x="2707005" y="904875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51</xdr:row>
      <xdr:rowOff>0</xdr:rowOff>
    </xdr:from>
    <xdr:ext cx="203261" cy="151836"/>
    <xdr:sp macro="" textlink="">
      <xdr:nvSpPr>
        <xdr:cNvPr id="55" name="Text Box 149">
          <a:extLst>
            <a:ext uri="{FF2B5EF4-FFF2-40B4-BE49-F238E27FC236}">
              <a16:creationId xmlns:a16="http://schemas.microsoft.com/office/drawing/2014/main" xmlns="" id="{00000000-0008-0000-0300-000037000000}"/>
            </a:ext>
          </a:extLst>
        </xdr:cNvPr>
        <xdr:cNvSpPr txBox="1">
          <a:spLocks noChangeArrowheads="1"/>
        </xdr:cNvSpPr>
      </xdr:nvSpPr>
      <xdr:spPr bwMode="auto">
        <a:xfrm>
          <a:off x="2002155" y="94107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51</xdr:row>
      <xdr:rowOff>0</xdr:rowOff>
    </xdr:from>
    <xdr:ext cx="284630" cy="151836"/>
    <xdr:sp macro="" textlink="">
      <xdr:nvSpPr>
        <xdr:cNvPr id="56" name="Text Box 150">
          <a:extLst>
            <a:ext uri="{FF2B5EF4-FFF2-40B4-BE49-F238E27FC236}">
              <a16:creationId xmlns:a16="http://schemas.microsoft.com/office/drawing/2014/main" xmlns="" id="{00000000-0008-0000-0300-000038000000}"/>
            </a:ext>
          </a:extLst>
        </xdr:cNvPr>
        <xdr:cNvSpPr txBox="1">
          <a:spLocks noChangeArrowheads="1"/>
        </xdr:cNvSpPr>
      </xdr:nvSpPr>
      <xdr:spPr bwMode="auto">
        <a:xfrm>
          <a:off x="2305050" y="94107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51</xdr:row>
      <xdr:rowOff>0</xdr:rowOff>
    </xdr:from>
    <xdr:ext cx="167225" cy="151836"/>
    <xdr:sp macro="" textlink="">
      <xdr:nvSpPr>
        <xdr:cNvPr id="57" name="Text Box 151">
          <a:extLst>
            <a:ext uri="{FF2B5EF4-FFF2-40B4-BE49-F238E27FC236}">
              <a16:creationId xmlns:a16="http://schemas.microsoft.com/office/drawing/2014/main" xmlns="" id="{00000000-0008-0000-0300-000039000000}"/>
            </a:ext>
          </a:extLst>
        </xdr:cNvPr>
        <xdr:cNvSpPr txBox="1">
          <a:spLocks noChangeArrowheads="1"/>
        </xdr:cNvSpPr>
      </xdr:nvSpPr>
      <xdr:spPr bwMode="auto">
        <a:xfrm>
          <a:off x="2707005" y="94107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47</xdr:row>
      <xdr:rowOff>0</xdr:rowOff>
    </xdr:from>
    <xdr:ext cx="203261" cy="151836"/>
    <xdr:sp macro="" textlink="">
      <xdr:nvSpPr>
        <xdr:cNvPr id="58" name="Text Box 146">
          <a:extLst>
            <a:ext uri="{FF2B5EF4-FFF2-40B4-BE49-F238E27FC236}">
              <a16:creationId xmlns:a16="http://schemas.microsoft.com/office/drawing/2014/main" xmlns="" id="{00000000-0008-0000-0300-00003A000000}"/>
            </a:ext>
          </a:extLst>
        </xdr:cNvPr>
        <xdr:cNvSpPr txBox="1">
          <a:spLocks noChangeArrowheads="1"/>
        </xdr:cNvSpPr>
      </xdr:nvSpPr>
      <xdr:spPr bwMode="auto">
        <a:xfrm>
          <a:off x="2002155" y="868680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47</xdr:row>
      <xdr:rowOff>0</xdr:rowOff>
    </xdr:from>
    <xdr:ext cx="284630" cy="151836"/>
    <xdr:sp macro="" textlink="">
      <xdr:nvSpPr>
        <xdr:cNvPr id="59" name="Text Box 147">
          <a:extLst>
            <a:ext uri="{FF2B5EF4-FFF2-40B4-BE49-F238E27FC236}">
              <a16:creationId xmlns:a16="http://schemas.microsoft.com/office/drawing/2014/main" xmlns="" id="{00000000-0008-0000-0300-00003B000000}"/>
            </a:ext>
          </a:extLst>
        </xdr:cNvPr>
        <xdr:cNvSpPr txBox="1">
          <a:spLocks noChangeArrowheads="1"/>
        </xdr:cNvSpPr>
      </xdr:nvSpPr>
      <xdr:spPr bwMode="auto">
        <a:xfrm>
          <a:off x="2305050" y="868680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47</xdr:row>
      <xdr:rowOff>0</xdr:rowOff>
    </xdr:from>
    <xdr:ext cx="167225" cy="151836"/>
    <xdr:sp macro="" textlink="">
      <xdr:nvSpPr>
        <xdr:cNvPr id="60" name="Text Box 148">
          <a:extLst>
            <a:ext uri="{FF2B5EF4-FFF2-40B4-BE49-F238E27FC236}">
              <a16:creationId xmlns:a16="http://schemas.microsoft.com/office/drawing/2014/main" xmlns="" id="{00000000-0008-0000-0300-00003C000000}"/>
            </a:ext>
          </a:extLst>
        </xdr:cNvPr>
        <xdr:cNvSpPr txBox="1">
          <a:spLocks noChangeArrowheads="1"/>
        </xdr:cNvSpPr>
      </xdr:nvSpPr>
      <xdr:spPr bwMode="auto">
        <a:xfrm>
          <a:off x="2707005" y="868680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oneCellAnchor>
    <xdr:from>
      <xdr:col>17</xdr:col>
      <xdr:colOff>78105</xdr:colOff>
      <xdr:row>45</xdr:row>
      <xdr:rowOff>0</xdr:rowOff>
    </xdr:from>
    <xdr:ext cx="203261" cy="151836"/>
    <xdr:sp macro="" textlink="">
      <xdr:nvSpPr>
        <xdr:cNvPr id="61" name="Text Box 146">
          <a:extLst>
            <a:ext uri="{FF2B5EF4-FFF2-40B4-BE49-F238E27FC236}">
              <a16:creationId xmlns:a16="http://schemas.microsoft.com/office/drawing/2014/main" xmlns="" id="{00000000-0008-0000-0300-00003D000000}"/>
            </a:ext>
          </a:extLst>
        </xdr:cNvPr>
        <xdr:cNvSpPr txBox="1">
          <a:spLocks noChangeArrowheads="1"/>
        </xdr:cNvSpPr>
      </xdr:nvSpPr>
      <xdr:spPr bwMode="auto">
        <a:xfrm>
          <a:off x="2002155" y="8324850"/>
          <a:ext cx="203261"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year</a:t>
          </a:r>
          <a:endParaRPr lang="ja-JP" altLang="en-US"/>
        </a:p>
      </xdr:txBody>
    </xdr:sp>
    <xdr:clientData/>
  </xdr:oneCellAnchor>
  <xdr:oneCellAnchor>
    <xdr:from>
      <xdr:col>20</xdr:col>
      <xdr:colOff>38100</xdr:colOff>
      <xdr:row>45</xdr:row>
      <xdr:rowOff>0</xdr:rowOff>
    </xdr:from>
    <xdr:ext cx="284630" cy="151836"/>
    <xdr:sp macro="" textlink="">
      <xdr:nvSpPr>
        <xdr:cNvPr id="62" name="Text Box 147">
          <a:extLst>
            <a:ext uri="{FF2B5EF4-FFF2-40B4-BE49-F238E27FC236}">
              <a16:creationId xmlns:a16="http://schemas.microsoft.com/office/drawing/2014/main" xmlns="" id="{00000000-0008-0000-0300-00003E000000}"/>
            </a:ext>
          </a:extLst>
        </xdr:cNvPr>
        <xdr:cNvSpPr txBox="1">
          <a:spLocks noChangeArrowheads="1"/>
        </xdr:cNvSpPr>
      </xdr:nvSpPr>
      <xdr:spPr bwMode="auto">
        <a:xfrm>
          <a:off x="2305050" y="8324850"/>
          <a:ext cx="284630"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month</a:t>
          </a:r>
          <a:endParaRPr lang="ja-JP" altLang="en-US"/>
        </a:p>
      </xdr:txBody>
    </xdr:sp>
    <xdr:clientData/>
  </xdr:oneCellAnchor>
  <xdr:oneCellAnchor>
    <xdr:from>
      <xdr:col>23</xdr:col>
      <xdr:colOff>97155</xdr:colOff>
      <xdr:row>45</xdr:row>
      <xdr:rowOff>0</xdr:rowOff>
    </xdr:from>
    <xdr:ext cx="167225" cy="151836"/>
    <xdr:sp macro="" textlink="">
      <xdr:nvSpPr>
        <xdr:cNvPr id="63" name="Text Box 148">
          <a:extLst>
            <a:ext uri="{FF2B5EF4-FFF2-40B4-BE49-F238E27FC236}">
              <a16:creationId xmlns:a16="http://schemas.microsoft.com/office/drawing/2014/main" xmlns="" id="{00000000-0008-0000-0300-00003F000000}"/>
            </a:ext>
          </a:extLst>
        </xdr:cNvPr>
        <xdr:cNvSpPr txBox="1">
          <a:spLocks noChangeArrowheads="1"/>
        </xdr:cNvSpPr>
      </xdr:nvSpPr>
      <xdr:spPr bwMode="auto">
        <a:xfrm>
          <a:off x="2707005" y="8324850"/>
          <a:ext cx="167225" cy="151836"/>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18288" tIns="18288" rIns="0" bIns="0" anchor="t" upright="1">
          <a:spAutoFit/>
        </a:bodyPr>
        <a:lstStyle/>
        <a:p>
          <a:pPr algn="l" rtl="0">
            <a:defRPr sz="1000"/>
          </a:pPr>
          <a:r>
            <a:rPr lang="ja-JP" altLang="en-US" sz="800" b="0" i="0" u="none" strike="noStrike" baseline="0">
              <a:solidFill>
                <a:srgbClr val="000000"/>
              </a:solidFill>
              <a:latin typeface="ＭＳ Ｐゴシック"/>
              <a:ea typeface="ＭＳ Ｐゴシック"/>
            </a:rPr>
            <a:t>day</a:t>
          </a:r>
          <a:endParaRPr lang="ja-JP" altLang="en-US"/>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61</xdr:col>
      <xdr:colOff>0</xdr:colOff>
      <xdr:row>22</xdr:row>
      <xdr:rowOff>0</xdr:rowOff>
    </xdr:from>
    <xdr:to>
      <xdr:col>61</xdr:col>
      <xdr:colOff>171864</xdr:colOff>
      <xdr:row>23</xdr:row>
      <xdr:rowOff>26872</xdr:rowOff>
    </xdr:to>
    <xdr:sp macro="" textlink="">
      <xdr:nvSpPr>
        <xdr:cNvPr id="3" name="Text Box 40">
          <a:extLst>
            <a:ext uri="{FF2B5EF4-FFF2-40B4-BE49-F238E27FC236}">
              <a16:creationId xmlns:a16="http://schemas.microsoft.com/office/drawing/2014/main" xmlns="" id="{00000000-0008-0000-0500-000003000000}"/>
            </a:ext>
          </a:extLst>
        </xdr:cNvPr>
        <xdr:cNvSpPr txBox="1">
          <a:spLocks noChangeArrowheads="1"/>
        </xdr:cNvSpPr>
      </xdr:nvSpPr>
      <xdr:spPr bwMode="auto">
        <a:xfrm>
          <a:off x="9201150" y="1266825"/>
          <a:ext cx="171864" cy="21778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twoCellAnchor>
  <xdr:twoCellAnchor editAs="oneCell">
    <xdr:from>
      <xdr:col>49</xdr:col>
      <xdr:colOff>104775</xdr:colOff>
      <xdr:row>61</xdr:row>
      <xdr:rowOff>0</xdr:rowOff>
    </xdr:from>
    <xdr:to>
      <xdr:col>59</xdr:col>
      <xdr:colOff>28575</xdr:colOff>
      <xdr:row>62</xdr:row>
      <xdr:rowOff>81269</xdr:rowOff>
    </xdr:to>
    <xdr:sp macro="" textlink="">
      <xdr:nvSpPr>
        <xdr:cNvPr id="5" name="Text Box 53">
          <a:extLst>
            <a:ext uri="{FF2B5EF4-FFF2-40B4-BE49-F238E27FC236}">
              <a16:creationId xmlns:a16="http://schemas.microsoft.com/office/drawing/2014/main" xmlns="" id="{00000000-0008-0000-0500-000005000000}"/>
            </a:ext>
          </a:extLst>
        </xdr:cNvPr>
        <xdr:cNvSpPr txBox="1">
          <a:spLocks noChangeArrowheads="1"/>
        </xdr:cNvSpPr>
      </xdr:nvSpPr>
      <xdr:spPr bwMode="auto">
        <a:xfrm>
          <a:off x="6153150" y="11391900"/>
          <a:ext cx="1162050" cy="25520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22860" rIns="0" bIns="0" anchor="t" upright="1"/>
        <a:lstStyle/>
        <a:p>
          <a:pPr algn="l" rtl="0">
            <a:defRPr sz="1000"/>
          </a:pPr>
          <a:r>
            <a:rPr lang="ja-JP" altLang="en-US" sz="1400" b="0" i="0" u="none" strike="noStrike" baseline="0">
              <a:solidFill>
                <a:srgbClr val="000000"/>
              </a:solidFill>
              <a:latin typeface="ＭＳ Ｐゴシック"/>
              <a:ea typeface="ＭＳ Ｐゴシック"/>
            </a:rPr>
            <a:t>　</a:t>
          </a:r>
          <a:endParaRPr lang="ja-JP" altLang="en-US"/>
        </a:p>
      </xdr:txBody>
    </xdr:sp>
    <xdr:clientData/>
  </xdr:twoCellAnchor>
  <xdr:oneCellAnchor>
    <xdr:from>
      <xdr:col>48</xdr:col>
      <xdr:colOff>20955</xdr:colOff>
      <xdr:row>61</xdr:row>
      <xdr:rowOff>0</xdr:rowOff>
    </xdr:from>
    <xdr:ext cx="121380" cy="201850"/>
    <xdr:sp macro="" textlink="">
      <xdr:nvSpPr>
        <xdr:cNvPr id="39" name="Text Box 153">
          <a:extLst>
            <a:ext uri="{FF2B5EF4-FFF2-40B4-BE49-F238E27FC236}">
              <a16:creationId xmlns:a16="http://schemas.microsoft.com/office/drawing/2014/main" xmlns="" id="{00000000-0008-0000-0500-000027000000}"/>
            </a:ext>
          </a:extLst>
        </xdr:cNvPr>
        <xdr:cNvSpPr txBox="1">
          <a:spLocks noChangeArrowheads="1"/>
        </xdr:cNvSpPr>
      </xdr:nvSpPr>
      <xdr:spPr bwMode="auto">
        <a:xfrm>
          <a:off x="5945505" y="21364575"/>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twoCellAnchor editAs="oneCell">
    <xdr:from>
      <xdr:col>8</xdr:col>
      <xdr:colOff>87630</xdr:colOff>
      <xdr:row>61</xdr:row>
      <xdr:rowOff>0</xdr:rowOff>
    </xdr:from>
    <xdr:to>
      <xdr:col>11</xdr:col>
      <xdr:colOff>44</xdr:colOff>
      <xdr:row>62</xdr:row>
      <xdr:rowOff>102289</xdr:rowOff>
    </xdr:to>
    <xdr:sp macro="" textlink="">
      <xdr:nvSpPr>
        <xdr:cNvPr id="40" name="Text Box 191">
          <a:extLst>
            <a:ext uri="{FF2B5EF4-FFF2-40B4-BE49-F238E27FC236}">
              <a16:creationId xmlns:a16="http://schemas.microsoft.com/office/drawing/2014/main" xmlns="" id="{00000000-0008-0000-0500-000028000000}"/>
            </a:ext>
          </a:extLst>
        </xdr:cNvPr>
        <xdr:cNvSpPr txBox="1">
          <a:spLocks noChangeArrowheads="1"/>
        </xdr:cNvSpPr>
      </xdr:nvSpPr>
      <xdr:spPr bwMode="auto">
        <a:xfrm>
          <a:off x="1059180" y="11182350"/>
          <a:ext cx="283889" cy="2762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　　</a:t>
          </a:r>
          <a:endParaRPr lang="ja-JP" altLang="en-US"/>
        </a:p>
      </xdr:txBody>
    </xdr:sp>
    <xdr:clientData/>
  </xdr:twoCellAnchor>
  <xdr:oneCellAnchor>
    <xdr:from>
      <xdr:col>54</xdr:col>
      <xdr:colOff>30480</xdr:colOff>
      <xdr:row>61</xdr:row>
      <xdr:rowOff>0</xdr:rowOff>
    </xdr:from>
    <xdr:ext cx="121380" cy="201850"/>
    <xdr:sp macro="" textlink="">
      <xdr:nvSpPr>
        <xdr:cNvPr id="41" name="Text Box 204">
          <a:extLst>
            <a:ext uri="{FF2B5EF4-FFF2-40B4-BE49-F238E27FC236}">
              <a16:creationId xmlns:a16="http://schemas.microsoft.com/office/drawing/2014/main" xmlns="" id="{00000000-0008-0000-0500-000029000000}"/>
            </a:ext>
          </a:extLst>
        </xdr:cNvPr>
        <xdr:cNvSpPr txBox="1">
          <a:spLocks noChangeArrowheads="1"/>
        </xdr:cNvSpPr>
      </xdr:nvSpPr>
      <xdr:spPr bwMode="auto">
        <a:xfrm>
          <a:off x="6697980" y="21364575"/>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48</xdr:col>
      <xdr:colOff>20955</xdr:colOff>
      <xdr:row>61</xdr:row>
      <xdr:rowOff>0</xdr:rowOff>
    </xdr:from>
    <xdr:ext cx="121380" cy="201850"/>
    <xdr:sp macro="" textlink="">
      <xdr:nvSpPr>
        <xdr:cNvPr id="42" name="Text Box 205">
          <a:extLst>
            <a:ext uri="{FF2B5EF4-FFF2-40B4-BE49-F238E27FC236}">
              <a16:creationId xmlns:a16="http://schemas.microsoft.com/office/drawing/2014/main" xmlns="" id="{00000000-0008-0000-0500-00002A000000}"/>
            </a:ext>
          </a:extLst>
        </xdr:cNvPr>
        <xdr:cNvSpPr txBox="1">
          <a:spLocks noChangeArrowheads="1"/>
        </xdr:cNvSpPr>
      </xdr:nvSpPr>
      <xdr:spPr bwMode="auto">
        <a:xfrm>
          <a:off x="5945505" y="21364575"/>
          <a:ext cx="121380" cy="2018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endParaRPr lang="ja-JP" altLang="en-US"/>
        </a:p>
      </xdr:txBody>
    </xdr:sp>
    <xdr:clientData/>
  </xdr:oneCellAnchor>
  <xdr:oneCellAnchor>
    <xdr:from>
      <xdr:col>61</xdr:col>
      <xdr:colOff>22412</xdr:colOff>
      <xdr:row>11</xdr:row>
      <xdr:rowOff>100852</xdr:rowOff>
    </xdr:from>
    <xdr:ext cx="5356412" cy="1125330"/>
    <xdr:sp macro="" textlink="">
      <xdr:nvSpPr>
        <xdr:cNvPr id="8" name="テキスト ボックス 7">
          <a:extLst>
            <a:ext uri="{FF2B5EF4-FFF2-40B4-BE49-F238E27FC236}">
              <a16:creationId xmlns:a16="http://schemas.microsoft.com/office/drawing/2014/main" xmlns="" id="{00000000-0008-0000-0500-000008000000}"/>
            </a:ext>
          </a:extLst>
        </xdr:cNvPr>
        <xdr:cNvSpPr txBox="1"/>
      </xdr:nvSpPr>
      <xdr:spPr>
        <a:xfrm>
          <a:off x="7429500" y="2241176"/>
          <a:ext cx="5356412" cy="112533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endParaRPr lang="ja-JP" altLang="ja-JP" sz="900">
            <a:effectLst/>
          </a:endParaRPr>
        </a:p>
        <a:p>
          <a:endParaRPr kumimoji="1" lang="en-US" altLang="ja-JP" sz="900" baseline="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rgbClr val="FF0000"/>
              </a:solidFill>
              <a:effectLst/>
              <a:latin typeface="+mn-lt"/>
              <a:ea typeface="+mn-ea"/>
              <a:cs typeface="+mn-cs"/>
            </a:rPr>
            <a:t>Nội</a:t>
          </a:r>
          <a:r>
            <a:rPr kumimoji="1" lang="en-US" altLang="ja-JP" sz="1100" baseline="0">
              <a:solidFill>
                <a:srgbClr val="FF0000"/>
              </a:solidFill>
              <a:effectLst/>
              <a:latin typeface="+mn-lt"/>
              <a:ea typeface="+mn-ea"/>
              <a:cs typeface="+mn-cs"/>
            </a:rPr>
            <a:t> dung ghi bằng tiếng Việt sẽ tự động hiện lên ở những bảng dưới đây.</a:t>
          </a: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baseline="0">
              <a:solidFill>
                <a:srgbClr val="FF0000"/>
              </a:solidFill>
              <a:effectLst/>
              <a:latin typeface="+mn-lt"/>
              <a:ea typeface="+mn-ea"/>
              <a:cs typeface="+mn-cs"/>
            </a:rPr>
            <a:t>Các bạn hãy dịch sang tiếng Nhật, điền phần dịch vào những ô tương ứng.</a:t>
          </a:r>
          <a:endParaRPr kumimoji="1" lang="en-US" altLang="ja-JP" sz="900"/>
        </a:p>
      </xdr:txBody>
    </xdr:sp>
    <xdr:clientData/>
  </xdr:oneCellAnchor>
  <xdr:oneCellAnchor>
    <xdr:from>
      <xdr:col>61</xdr:col>
      <xdr:colOff>62752</xdr:colOff>
      <xdr:row>55</xdr:row>
      <xdr:rowOff>168088</xdr:rowOff>
    </xdr:from>
    <xdr:ext cx="5356412" cy="526677"/>
    <xdr:sp macro="" textlink="">
      <xdr:nvSpPr>
        <xdr:cNvPr id="9" name="テキスト ボックス 8">
          <a:extLst>
            <a:ext uri="{FF2B5EF4-FFF2-40B4-BE49-F238E27FC236}">
              <a16:creationId xmlns:a16="http://schemas.microsoft.com/office/drawing/2014/main" xmlns="" id="{00000000-0008-0000-0500-000009000000}"/>
            </a:ext>
          </a:extLst>
        </xdr:cNvPr>
        <xdr:cNvSpPr txBox="1"/>
      </xdr:nvSpPr>
      <xdr:spPr>
        <a:xfrm>
          <a:off x="7469840" y="10746441"/>
          <a:ext cx="5356412" cy="526677"/>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kumimoji="1" lang="en-US" altLang="ja-JP" sz="900"/>
            <a:t>Ghi</a:t>
          </a:r>
          <a:r>
            <a:rPr kumimoji="1" lang="en-US" altLang="ja-JP" sz="900" baseline="0"/>
            <a:t> rõ họ và tên bằng chữ in, không dấu của người phiên dịch.</a:t>
          </a:r>
          <a:endParaRPr kumimoji="1" lang="en-US" altLang="ja-JP" sz="9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36</xdr:col>
      <xdr:colOff>209550</xdr:colOff>
      <xdr:row>20</xdr:row>
      <xdr:rowOff>9524</xdr:rowOff>
    </xdr:from>
    <xdr:to>
      <xdr:col>38</xdr:col>
      <xdr:colOff>47625</xdr:colOff>
      <xdr:row>22</xdr:row>
      <xdr:rowOff>38100</xdr:rowOff>
    </xdr:to>
    <xdr:sp macro="" textlink="">
      <xdr:nvSpPr>
        <xdr:cNvPr id="2" name="円/楕円 1">
          <a:extLst>
            <a:ext uri="{FF2B5EF4-FFF2-40B4-BE49-F238E27FC236}">
              <a16:creationId xmlns:a16="http://schemas.microsoft.com/office/drawing/2014/main" xmlns="" id="{00000000-0008-0000-0700-000002000000}"/>
            </a:ext>
          </a:extLst>
        </xdr:cNvPr>
        <xdr:cNvSpPr/>
      </xdr:nvSpPr>
      <xdr:spPr>
        <a:xfrm>
          <a:off x="8096250" y="3419474"/>
          <a:ext cx="276225" cy="238126"/>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209551</xdr:colOff>
      <xdr:row>19</xdr:row>
      <xdr:rowOff>171449</xdr:rowOff>
    </xdr:from>
    <xdr:to>
      <xdr:col>6</xdr:col>
      <xdr:colOff>9525</xdr:colOff>
      <xdr:row>22</xdr:row>
      <xdr:rowOff>47625</xdr:rowOff>
    </xdr:to>
    <xdr:sp macro="" textlink="">
      <xdr:nvSpPr>
        <xdr:cNvPr id="3" name="円/楕円 2">
          <a:extLst>
            <a:ext uri="{FF2B5EF4-FFF2-40B4-BE49-F238E27FC236}">
              <a16:creationId xmlns:a16="http://schemas.microsoft.com/office/drawing/2014/main" xmlns="" id="{00000000-0008-0000-0700-000003000000}"/>
            </a:ext>
          </a:extLst>
        </xdr:cNvPr>
        <xdr:cNvSpPr/>
      </xdr:nvSpPr>
      <xdr:spPr>
        <a:xfrm>
          <a:off x="1085851" y="3409949"/>
          <a:ext cx="238124" cy="257176"/>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200025</xdr:colOff>
      <xdr:row>48</xdr:row>
      <xdr:rowOff>152400</xdr:rowOff>
    </xdr:from>
    <xdr:to>
      <xdr:col>34</xdr:col>
      <xdr:colOff>47624</xdr:colOff>
      <xdr:row>51</xdr:row>
      <xdr:rowOff>57151</xdr:rowOff>
    </xdr:to>
    <xdr:sp macro="" textlink="">
      <xdr:nvSpPr>
        <xdr:cNvPr id="4" name="円/楕円 3">
          <a:extLst>
            <a:ext uri="{FF2B5EF4-FFF2-40B4-BE49-F238E27FC236}">
              <a16:creationId xmlns:a16="http://schemas.microsoft.com/office/drawing/2014/main" xmlns="" id="{00000000-0008-0000-0700-000004000000}"/>
            </a:ext>
          </a:extLst>
        </xdr:cNvPr>
        <xdr:cNvSpPr/>
      </xdr:nvSpPr>
      <xdr:spPr>
        <a:xfrm>
          <a:off x="7210425" y="7400925"/>
          <a:ext cx="285749" cy="247651"/>
        </a:xfrm>
        <a:prstGeom prst="ellipse">
          <a:avLst/>
        </a:prstGeom>
        <a:no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14</xdr:col>
      <xdr:colOff>171451</xdr:colOff>
      <xdr:row>55</xdr:row>
      <xdr:rowOff>9525</xdr:rowOff>
    </xdr:from>
    <xdr:to>
      <xdr:col>16</xdr:col>
      <xdr:colOff>38101</xdr:colOff>
      <xdr:row>57</xdr:row>
      <xdr:rowOff>66675</xdr:rowOff>
    </xdr:to>
    <xdr:sp macro="" textlink="">
      <xdr:nvSpPr>
        <xdr:cNvPr id="5" name="円/楕円 4">
          <a:extLst>
            <a:ext uri="{FF2B5EF4-FFF2-40B4-BE49-F238E27FC236}">
              <a16:creationId xmlns:a16="http://schemas.microsoft.com/office/drawing/2014/main" xmlns="" id="{00000000-0008-0000-0700-000005000000}"/>
            </a:ext>
          </a:extLst>
        </xdr:cNvPr>
        <xdr:cNvSpPr/>
      </xdr:nvSpPr>
      <xdr:spPr>
        <a:xfrm>
          <a:off x="3238501" y="8105775"/>
          <a:ext cx="304800" cy="266700"/>
        </a:xfrm>
        <a:prstGeom prst="ellipse">
          <a:avLst/>
        </a:prstGeom>
        <a:no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32</xdr:col>
      <xdr:colOff>66675</xdr:colOff>
      <xdr:row>3</xdr:row>
      <xdr:rowOff>123825</xdr:rowOff>
    </xdr:from>
    <xdr:to>
      <xdr:col>38</xdr:col>
      <xdr:colOff>123825</xdr:colOff>
      <xdr:row>14</xdr:row>
      <xdr:rowOff>152400</xdr:rowOff>
    </xdr:to>
    <xdr:sp macro="" textlink="">
      <xdr:nvSpPr>
        <xdr:cNvPr id="6" name="正方形/長方形 5">
          <a:extLst>
            <a:ext uri="{FF2B5EF4-FFF2-40B4-BE49-F238E27FC236}">
              <a16:creationId xmlns:a16="http://schemas.microsoft.com/office/drawing/2014/main" xmlns="" id="{00000000-0008-0000-0700-000006000000}"/>
            </a:ext>
          </a:extLst>
        </xdr:cNvPr>
        <xdr:cNvSpPr/>
      </xdr:nvSpPr>
      <xdr:spPr>
        <a:xfrm>
          <a:off x="7077075" y="647700"/>
          <a:ext cx="1371600" cy="1885950"/>
        </a:xfrm>
        <a:prstGeom prst="rect">
          <a:avLst/>
        </a:prstGeom>
        <a:solidFill>
          <a:sysClr val="window" lastClr="FFFFFF"/>
        </a:solidFill>
        <a:ln w="1270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endParaRPr kumimoji="1" lang="en-US" altLang="ja-JP" sz="1100"/>
        </a:p>
        <a:p>
          <a:pPr algn="ctr"/>
          <a:endParaRPr kumimoji="1" lang="en-US" altLang="ja-JP" sz="1100"/>
        </a:p>
        <a:p>
          <a:pPr algn="ctr"/>
          <a:endParaRPr kumimoji="1" lang="en-US" altLang="ja-JP" sz="1100"/>
        </a:p>
        <a:p>
          <a:pPr algn="ctr"/>
          <a:r>
            <a:rPr kumimoji="1" lang="ja-JP" altLang="en-US" sz="1100"/>
            <a:t>写真</a:t>
          </a:r>
          <a:endParaRPr kumimoji="1" lang="en-US" altLang="ja-JP" sz="1100"/>
        </a:p>
        <a:p>
          <a:pPr algn="ctr"/>
          <a:endParaRPr kumimoji="1" lang="en-US" altLang="ja-JP" sz="1100"/>
        </a:p>
        <a:p>
          <a:pPr algn="ctr"/>
          <a:r>
            <a:rPr kumimoji="1" lang="en-US" altLang="ja-JP" sz="1100"/>
            <a:t>Photo</a:t>
          </a:r>
        </a:p>
        <a:p>
          <a:pPr algn="ctr"/>
          <a:endParaRPr kumimoji="1" lang="en-US" altLang="ja-JP" sz="1100"/>
        </a:p>
        <a:p>
          <a:pPr algn="ctr"/>
          <a:r>
            <a:rPr kumimoji="1" lang="en-US" altLang="ja-JP" sz="1100"/>
            <a:t>40mm×30mm</a:t>
          </a:r>
          <a:endParaRPr kumimoji="1" lang="ja-JP" altLang="en-US" sz="1100"/>
        </a:p>
      </xdr:txBody>
    </xdr:sp>
    <xdr:clientData/>
  </xdr:twoCellAnchor>
  <xdr:twoCellAnchor>
    <xdr:from>
      <xdr:col>34</xdr:col>
      <xdr:colOff>19050</xdr:colOff>
      <xdr:row>63</xdr:row>
      <xdr:rowOff>0</xdr:rowOff>
    </xdr:from>
    <xdr:to>
      <xdr:col>35</xdr:col>
      <xdr:colOff>0</xdr:colOff>
      <xdr:row>64</xdr:row>
      <xdr:rowOff>38100</xdr:rowOff>
    </xdr:to>
    <xdr:sp macro="" textlink="">
      <xdr:nvSpPr>
        <xdr:cNvPr id="7" name="円/楕円 6">
          <a:extLst>
            <a:ext uri="{FF2B5EF4-FFF2-40B4-BE49-F238E27FC236}">
              <a16:creationId xmlns:a16="http://schemas.microsoft.com/office/drawing/2014/main" xmlns="" id="{00000000-0008-0000-0700-000007000000}"/>
            </a:ext>
          </a:extLst>
        </xdr:cNvPr>
        <xdr:cNvSpPr/>
      </xdr:nvSpPr>
      <xdr:spPr>
        <a:xfrm>
          <a:off x="7467600" y="9115425"/>
          <a:ext cx="200025" cy="209550"/>
        </a:xfrm>
        <a:prstGeom prst="ellipse">
          <a:avLst/>
        </a:prstGeom>
        <a:no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21</xdr:col>
      <xdr:colOff>28575</xdr:colOff>
      <xdr:row>65</xdr:row>
      <xdr:rowOff>28575</xdr:rowOff>
    </xdr:from>
    <xdr:to>
      <xdr:col>22</xdr:col>
      <xdr:colOff>9525</xdr:colOff>
      <xdr:row>67</xdr:row>
      <xdr:rowOff>19050</xdr:rowOff>
    </xdr:to>
    <xdr:sp macro="" textlink="">
      <xdr:nvSpPr>
        <xdr:cNvPr id="8" name="円/楕円 7">
          <a:extLst>
            <a:ext uri="{FF2B5EF4-FFF2-40B4-BE49-F238E27FC236}">
              <a16:creationId xmlns:a16="http://schemas.microsoft.com/office/drawing/2014/main" xmlns="" id="{00000000-0008-0000-0700-000008000000}"/>
            </a:ext>
          </a:extLst>
        </xdr:cNvPr>
        <xdr:cNvSpPr/>
      </xdr:nvSpPr>
      <xdr:spPr>
        <a:xfrm>
          <a:off x="4629150" y="9458325"/>
          <a:ext cx="200025" cy="209550"/>
        </a:xfrm>
        <a:prstGeom prst="ellipse">
          <a:avLst/>
        </a:prstGeom>
        <a:no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oneCellAnchor>
    <xdr:from>
      <xdr:col>39</xdr:col>
      <xdr:colOff>133350</xdr:colOff>
      <xdr:row>80</xdr:row>
      <xdr:rowOff>133350</xdr:rowOff>
    </xdr:from>
    <xdr:ext cx="2019300" cy="642484"/>
    <xdr:sp macro="" textlink="">
      <xdr:nvSpPr>
        <xdr:cNvPr id="9" name="テキスト ボックス 8">
          <a:extLst>
            <a:ext uri="{FF2B5EF4-FFF2-40B4-BE49-F238E27FC236}">
              <a16:creationId xmlns:a16="http://schemas.microsoft.com/office/drawing/2014/main" xmlns="" id="{00000000-0008-0000-0700-000009000000}"/>
            </a:ext>
          </a:extLst>
        </xdr:cNvPr>
        <xdr:cNvSpPr txBox="1"/>
      </xdr:nvSpPr>
      <xdr:spPr>
        <a:xfrm>
          <a:off x="8677275" y="11896725"/>
          <a:ext cx="2019300" cy="64248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ja-JP" sz="1100">
              <a:solidFill>
                <a:schemeClr val="tx1"/>
              </a:solidFill>
              <a:effectLst/>
              <a:latin typeface="+mn-lt"/>
              <a:ea typeface="+mn-ea"/>
              <a:cs typeface="+mn-cs"/>
            </a:rPr>
            <a:t>入学願書には３名までしか欄がないので、４名以上いる場合は反映されない。</a:t>
          </a:r>
          <a:endParaRPr lang="ja-JP" altLang="ja-JP">
            <a:effectLst/>
          </a:endParaRPr>
        </a:p>
      </xdr:txBody>
    </xdr:sp>
    <xdr:clientData/>
  </xdr:oneCellAnchor>
  <xdr:oneCellAnchor>
    <xdr:from>
      <xdr:col>40</xdr:col>
      <xdr:colOff>57150</xdr:colOff>
      <xdr:row>57</xdr:row>
      <xdr:rowOff>95250</xdr:rowOff>
    </xdr:from>
    <xdr:ext cx="2019300" cy="459100"/>
    <xdr:sp macro="" textlink="">
      <xdr:nvSpPr>
        <xdr:cNvPr id="10" name="テキスト ボックス 9">
          <a:extLst>
            <a:ext uri="{FF2B5EF4-FFF2-40B4-BE49-F238E27FC236}">
              <a16:creationId xmlns:a16="http://schemas.microsoft.com/office/drawing/2014/main" xmlns="" id="{00000000-0008-0000-0700-00000A000000}"/>
            </a:ext>
          </a:extLst>
        </xdr:cNvPr>
        <xdr:cNvSpPr txBox="1"/>
      </xdr:nvSpPr>
      <xdr:spPr>
        <a:xfrm>
          <a:off x="8820150" y="8391525"/>
          <a:ext cx="2019300" cy="4591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kumimoji="1" lang="ja-JP" altLang="ja-JP" sz="1100">
              <a:solidFill>
                <a:schemeClr val="tx1"/>
              </a:solidFill>
              <a:effectLst/>
              <a:latin typeface="+mn-lt"/>
              <a:ea typeface="+mn-ea"/>
              <a:cs typeface="+mn-cs"/>
            </a:rPr>
            <a:t>入出国歴がある場合は手入力が必要</a:t>
          </a:r>
          <a:endParaRPr lang="ja-JP" altLang="ja-JP">
            <a:effectLst/>
          </a:endParaRPr>
        </a:p>
      </xdr:txBody>
    </xdr:sp>
    <xdr:clientData/>
  </xdr:oneCellAnchor>
  <xdr:oneCellAnchor>
    <xdr:from>
      <xdr:col>40</xdr:col>
      <xdr:colOff>66675</xdr:colOff>
      <xdr:row>64</xdr:row>
      <xdr:rowOff>38100</xdr:rowOff>
    </xdr:from>
    <xdr:ext cx="2019300" cy="459100"/>
    <xdr:sp macro="" textlink="">
      <xdr:nvSpPr>
        <xdr:cNvPr id="11" name="テキスト ボックス 10">
          <a:extLst>
            <a:ext uri="{FF2B5EF4-FFF2-40B4-BE49-F238E27FC236}">
              <a16:creationId xmlns:a16="http://schemas.microsoft.com/office/drawing/2014/main" xmlns="" id="{00000000-0008-0000-0700-00000B000000}"/>
            </a:ext>
          </a:extLst>
        </xdr:cNvPr>
        <xdr:cNvSpPr txBox="1"/>
      </xdr:nvSpPr>
      <xdr:spPr>
        <a:xfrm>
          <a:off x="8829675" y="9315450"/>
          <a:ext cx="2019300" cy="45910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kumimoji="1" lang="ja-JP" altLang="en-US" sz="1100">
              <a:solidFill>
                <a:schemeClr val="tx1"/>
              </a:solidFill>
              <a:effectLst/>
              <a:latin typeface="+mn-lt"/>
              <a:ea typeface="+mn-ea"/>
              <a:cs typeface="+mn-cs"/>
            </a:rPr>
            <a:t>犯罪</a:t>
          </a:r>
          <a:r>
            <a:rPr kumimoji="1" lang="ja-JP" altLang="ja-JP" sz="1100">
              <a:solidFill>
                <a:schemeClr val="tx1"/>
              </a:solidFill>
              <a:effectLst/>
              <a:latin typeface="+mn-lt"/>
              <a:ea typeface="+mn-ea"/>
              <a:cs typeface="+mn-cs"/>
            </a:rPr>
            <a:t>歴がある場合は手入力が必要</a:t>
          </a:r>
          <a:endParaRPr lang="ja-JP" altLang="ja-JP">
            <a:effectLst/>
          </a:endParaRPr>
        </a:p>
      </xdr:txBody>
    </xdr:sp>
    <xdr:clientData/>
  </xdr:oneCellAnchor>
  <xdr:oneCellAnchor>
    <xdr:from>
      <xdr:col>39</xdr:col>
      <xdr:colOff>57150</xdr:colOff>
      <xdr:row>24</xdr:row>
      <xdr:rowOff>28575</xdr:rowOff>
    </xdr:from>
    <xdr:ext cx="2019300" cy="642484"/>
    <xdr:sp macro="" textlink="">
      <xdr:nvSpPr>
        <xdr:cNvPr id="12" name="テキスト ボックス 11">
          <a:extLst>
            <a:ext uri="{FF2B5EF4-FFF2-40B4-BE49-F238E27FC236}">
              <a16:creationId xmlns:a16="http://schemas.microsoft.com/office/drawing/2014/main" xmlns="" id="{00000000-0008-0000-0700-00000C000000}"/>
            </a:ext>
          </a:extLst>
        </xdr:cNvPr>
        <xdr:cNvSpPr txBox="1"/>
      </xdr:nvSpPr>
      <xdr:spPr>
        <a:xfrm>
          <a:off x="8601075" y="3857625"/>
          <a:ext cx="2019300" cy="64248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kumimoji="1" lang="ja-JP" altLang="ja-JP" sz="1100">
              <a:solidFill>
                <a:schemeClr val="tx1"/>
              </a:solidFill>
              <a:effectLst/>
              <a:latin typeface="+mn-lt"/>
              <a:ea typeface="+mn-ea"/>
              <a:cs typeface="+mn-cs"/>
            </a:rPr>
            <a:t>性別、配偶者の有無</a:t>
          </a:r>
          <a:endParaRPr lang="ja-JP" altLang="ja-JP">
            <a:effectLst/>
          </a:endParaRPr>
        </a:p>
        <a:p>
          <a:pPr eaLnBrk="1" fontAlgn="auto" latinLnBrk="0" hangingPunct="1"/>
          <a:r>
            <a:rPr kumimoji="1" lang="ja-JP" altLang="ja-JP" sz="1100">
              <a:solidFill>
                <a:schemeClr val="tx1"/>
              </a:solidFill>
              <a:effectLst/>
              <a:latin typeface="+mn-lt"/>
              <a:ea typeface="+mn-ea"/>
              <a:cs typeface="+mn-cs"/>
            </a:rPr>
            <a:t>は上記を確認しながら</a:t>
          </a:r>
          <a:endParaRPr lang="ja-JP" altLang="ja-JP">
            <a:effectLst/>
          </a:endParaRPr>
        </a:p>
        <a:p>
          <a:pPr eaLnBrk="1" fontAlgn="auto" latinLnBrk="0" hangingPunct="1"/>
          <a:r>
            <a:rPr kumimoji="1" lang="ja-JP" altLang="ja-JP" sz="1100">
              <a:solidFill>
                <a:schemeClr val="tx1"/>
              </a:solidFill>
              <a:effectLst/>
              <a:latin typeface="+mn-lt"/>
              <a:ea typeface="+mn-ea"/>
              <a:cs typeface="+mn-cs"/>
            </a:rPr>
            <a:t>○を動かす</a:t>
          </a:r>
          <a:endParaRPr lang="ja-JP" altLang="ja-JP">
            <a:effectLst/>
          </a:endParaRPr>
        </a:p>
      </xdr:txBody>
    </xdr:sp>
    <xdr:clientData/>
  </xdr:oneCellAnchor>
  <xdr:oneCellAnchor>
    <xdr:from>
      <xdr:col>39</xdr:col>
      <xdr:colOff>57150</xdr:colOff>
      <xdr:row>46</xdr:row>
      <xdr:rowOff>76200</xdr:rowOff>
    </xdr:from>
    <xdr:ext cx="2019300" cy="975780"/>
    <xdr:sp macro="" textlink="">
      <xdr:nvSpPr>
        <xdr:cNvPr id="13" name="テキスト ボックス 12">
          <a:extLst>
            <a:ext uri="{FF2B5EF4-FFF2-40B4-BE49-F238E27FC236}">
              <a16:creationId xmlns:a16="http://schemas.microsoft.com/office/drawing/2014/main" xmlns="" id="{00000000-0008-0000-0700-00000D000000}"/>
            </a:ext>
          </a:extLst>
        </xdr:cNvPr>
        <xdr:cNvSpPr txBox="1"/>
      </xdr:nvSpPr>
      <xdr:spPr>
        <a:xfrm>
          <a:off x="8601075" y="7019925"/>
          <a:ext cx="2019300" cy="97578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kumimoji="1" lang="ja-JP" altLang="ja-JP" sz="1100">
              <a:solidFill>
                <a:schemeClr val="tx1"/>
              </a:solidFill>
              <a:effectLst/>
              <a:latin typeface="+mn-lt"/>
              <a:ea typeface="+mn-ea"/>
              <a:cs typeface="+mn-cs"/>
            </a:rPr>
            <a:t>査証申請予定地がわからない場合は下記を確認する。</a:t>
          </a:r>
          <a:endParaRPr lang="ja-JP" altLang="ja-JP">
            <a:effectLst/>
          </a:endParaRPr>
        </a:p>
        <a:p>
          <a:pPr eaLnBrk="1" fontAlgn="auto" latinLnBrk="0" hangingPunct="1"/>
          <a:r>
            <a:rPr kumimoji="1" lang="en-US" altLang="ja-JP" sz="1100">
              <a:solidFill>
                <a:schemeClr val="tx1"/>
              </a:solidFill>
              <a:effectLst/>
              <a:latin typeface="+mn-lt"/>
              <a:ea typeface="+mn-ea"/>
              <a:cs typeface="+mn-cs"/>
            </a:rPr>
            <a:t>http://www.cn.emb-japan.go.jp/aboutus_j.htm#kankatsu</a:t>
          </a:r>
          <a:endParaRPr lang="ja-JP" altLang="ja-JP">
            <a:effectLst/>
          </a:endParaRPr>
        </a:p>
      </xdr:txBody>
    </xdr:sp>
    <xdr:clientData/>
  </xdr:oneCellAnchor>
  <xdr:twoCellAnchor>
    <xdr:from>
      <xdr:col>39</xdr:col>
      <xdr:colOff>76200</xdr:colOff>
      <xdr:row>74</xdr:row>
      <xdr:rowOff>28575</xdr:rowOff>
    </xdr:from>
    <xdr:to>
      <xdr:col>40</xdr:col>
      <xdr:colOff>133350</xdr:colOff>
      <xdr:row>74</xdr:row>
      <xdr:rowOff>266701</xdr:rowOff>
    </xdr:to>
    <xdr:sp macro="" textlink="">
      <xdr:nvSpPr>
        <xdr:cNvPr id="14" name="円/楕円 13">
          <a:extLst>
            <a:ext uri="{FF2B5EF4-FFF2-40B4-BE49-F238E27FC236}">
              <a16:creationId xmlns:a16="http://schemas.microsoft.com/office/drawing/2014/main" xmlns="" id="{00000000-0008-0000-0700-00000E000000}"/>
            </a:ext>
          </a:extLst>
        </xdr:cNvPr>
        <xdr:cNvSpPr/>
      </xdr:nvSpPr>
      <xdr:spPr>
        <a:xfrm>
          <a:off x="8620125" y="10763250"/>
          <a:ext cx="276225" cy="238126"/>
        </a:xfrm>
        <a:prstGeom prst="ellipse">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11</xdr:col>
      <xdr:colOff>76200</xdr:colOff>
      <xdr:row>72</xdr:row>
      <xdr:rowOff>28575</xdr:rowOff>
    </xdr:from>
    <xdr:ext cx="171714" cy="168508"/>
    <xdr:sp macro="" textlink="">
      <xdr:nvSpPr>
        <xdr:cNvPr id="2" name="Text Box 67">
          <a:extLst>
            <a:ext uri="{FF2B5EF4-FFF2-40B4-BE49-F238E27FC236}">
              <a16:creationId xmlns:a16="http://schemas.microsoft.com/office/drawing/2014/main" xmlns="" id="{00000000-0008-0000-0800-000002000000}"/>
            </a:ext>
          </a:extLst>
        </xdr:cNvPr>
        <xdr:cNvSpPr txBox="1">
          <a:spLocks noChangeArrowheads="1"/>
        </xdr:cNvSpPr>
      </xdr:nvSpPr>
      <xdr:spPr bwMode="auto">
        <a:xfrm>
          <a:off x="2276475" y="10696575"/>
          <a:ext cx="171714" cy="168508"/>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ＭＳ Ｐゴシック"/>
              <a:ea typeface="ＭＳ Ｐゴシック"/>
            </a:rPr>
            <a:t>　　</a:t>
          </a:r>
        </a:p>
      </xdr:txBody>
    </xdr:sp>
    <xdr:clientData/>
  </xdr:oneCellAnchor>
  <xdr:oneCellAnchor>
    <xdr:from>
      <xdr:col>6</xdr:col>
      <xdr:colOff>104775</xdr:colOff>
      <xdr:row>74</xdr:row>
      <xdr:rowOff>76200</xdr:rowOff>
    </xdr:from>
    <xdr:ext cx="205826" cy="201850"/>
    <xdr:sp macro="" textlink="">
      <xdr:nvSpPr>
        <xdr:cNvPr id="3" name="Text Box 68">
          <a:extLst>
            <a:ext uri="{FF2B5EF4-FFF2-40B4-BE49-F238E27FC236}">
              <a16:creationId xmlns:a16="http://schemas.microsoft.com/office/drawing/2014/main" xmlns="" id="{00000000-0008-0000-0800-000003000000}"/>
            </a:ext>
          </a:extLst>
        </xdr:cNvPr>
        <xdr:cNvSpPr txBox="1">
          <a:spLocks noChangeArrowheads="1"/>
        </xdr:cNvSpPr>
      </xdr:nvSpPr>
      <xdr:spPr bwMode="auto">
        <a:xfrm>
          <a:off x="1304925" y="11087100"/>
          <a:ext cx="205826" cy="201850"/>
        </a:xfrm>
        <a:prstGeom prst="rect">
          <a:avLst/>
        </a:prstGeom>
        <a:noFill/>
        <a:ln w="9525">
          <a:no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　　</a:t>
          </a:r>
        </a:p>
      </xdr:txBody>
    </xdr:sp>
    <xdr:clientData/>
  </xdr:oneCellAnchor>
  <xdr:oneCellAnchor>
    <xdr:from>
      <xdr:col>25</xdr:col>
      <xdr:colOff>99391</xdr:colOff>
      <xdr:row>20</xdr:row>
      <xdr:rowOff>140804</xdr:rowOff>
    </xdr:from>
    <xdr:ext cx="362407" cy="210058"/>
    <xdr:sp macro="" textlink="">
      <xdr:nvSpPr>
        <xdr:cNvPr id="4" name="テキスト ボックス 3">
          <a:extLst>
            <a:ext uri="{FF2B5EF4-FFF2-40B4-BE49-F238E27FC236}">
              <a16:creationId xmlns:a16="http://schemas.microsoft.com/office/drawing/2014/main" xmlns="" id="{00000000-0008-0000-0800-000004000000}"/>
            </a:ext>
          </a:extLst>
        </xdr:cNvPr>
        <xdr:cNvSpPr txBox="1"/>
      </xdr:nvSpPr>
      <xdr:spPr>
        <a:xfrm>
          <a:off x="5100016" y="2988779"/>
          <a:ext cx="362407" cy="210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latin typeface="Arial Narrow" pitchFamily="34" charset="0"/>
            </a:rPr>
            <a:t>Year</a:t>
          </a:r>
          <a:endParaRPr kumimoji="1" lang="ja-JP" altLang="en-US" sz="800">
            <a:latin typeface="Arial Narrow" pitchFamily="34" charset="0"/>
          </a:endParaRPr>
        </a:p>
      </xdr:txBody>
    </xdr:sp>
    <xdr:clientData/>
  </xdr:oneCellAnchor>
  <xdr:oneCellAnchor>
    <xdr:from>
      <xdr:col>28</xdr:col>
      <xdr:colOff>115957</xdr:colOff>
      <xdr:row>20</xdr:row>
      <xdr:rowOff>165652</xdr:rowOff>
    </xdr:from>
    <xdr:ext cx="418576" cy="210058"/>
    <xdr:sp macro="" textlink="">
      <xdr:nvSpPr>
        <xdr:cNvPr id="5" name="テキスト ボックス 4">
          <a:extLst>
            <a:ext uri="{FF2B5EF4-FFF2-40B4-BE49-F238E27FC236}">
              <a16:creationId xmlns:a16="http://schemas.microsoft.com/office/drawing/2014/main" xmlns="" id="{00000000-0008-0000-0800-000005000000}"/>
            </a:ext>
          </a:extLst>
        </xdr:cNvPr>
        <xdr:cNvSpPr txBox="1"/>
      </xdr:nvSpPr>
      <xdr:spPr>
        <a:xfrm>
          <a:off x="5716657" y="3013627"/>
          <a:ext cx="418576" cy="210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latin typeface="Arial Narrow" pitchFamily="34" charset="0"/>
            </a:rPr>
            <a:t>Month</a:t>
          </a:r>
          <a:endParaRPr kumimoji="1" lang="ja-JP" altLang="en-US" sz="800">
            <a:latin typeface="Arial Narrow" pitchFamily="34" charset="0"/>
          </a:endParaRPr>
        </a:p>
      </xdr:txBody>
    </xdr:sp>
    <xdr:clientData/>
  </xdr:oneCellAnchor>
  <xdr:oneCellAnchor>
    <xdr:from>
      <xdr:col>31</xdr:col>
      <xdr:colOff>132521</xdr:colOff>
      <xdr:row>20</xdr:row>
      <xdr:rowOff>157369</xdr:rowOff>
    </xdr:from>
    <xdr:ext cx="334259" cy="210058"/>
    <xdr:sp macro="" textlink="">
      <xdr:nvSpPr>
        <xdr:cNvPr id="6" name="テキスト ボックス 5">
          <a:extLst>
            <a:ext uri="{FF2B5EF4-FFF2-40B4-BE49-F238E27FC236}">
              <a16:creationId xmlns:a16="http://schemas.microsoft.com/office/drawing/2014/main" xmlns="" id="{00000000-0008-0000-0800-000006000000}"/>
            </a:ext>
          </a:extLst>
        </xdr:cNvPr>
        <xdr:cNvSpPr txBox="1"/>
      </xdr:nvSpPr>
      <xdr:spPr>
        <a:xfrm>
          <a:off x="6333296" y="3005344"/>
          <a:ext cx="334259" cy="210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latin typeface="Arial Narrow" pitchFamily="34" charset="0"/>
            </a:rPr>
            <a:t>Day</a:t>
          </a:r>
          <a:endParaRPr kumimoji="1" lang="ja-JP" altLang="en-US" sz="800">
            <a:latin typeface="Arial Narrow" pitchFamily="34" charset="0"/>
          </a:endParaRPr>
        </a:p>
      </xdr:txBody>
    </xdr:sp>
    <xdr:clientData/>
  </xdr:oneCellAnchor>
  <xdr:oneCellAnchor>
    <xdr:from>
      <xdr:col>34</xdr:col>
      <xdr:colOff>149087</xdr:colOff>
      <xdr:row>68</xdr:row>
      <xdr:rowOff>115956</xdr:rowOff>
    </xdr:from>
    <xdr:ext cx="2019300" cy="998094"/>
    <xdr:sp macro="" textlink="">
      <xdr:nvSpPr>
        <xdr:cNvPr id="8" name="テキスト ボックス 7">
          <a:extLst>
            <a:ext uri="{FF2B5EF4-FFF2-40B4-BE49-F238E27FC236}">
              <a16:creationId xmlns:a16="http://schemas.microsoft.com/office/drawing/2014/main" xmlns="" id="{00000000-0008-0000-0800-000008000000}"/>
            </a:ext>
          </a:extLst>
        </xdr:cNvPr>
        <xdr:cNvSpPr txBox="1"/>
      </xdr:nvSpPr>
      <xdr:spPr>
        <a:xfrm>
          <a:off x="6907696" y="10195891"/>
          <a:ext cx="2019300" cy="99809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p>
        <a:p>
          <a:r>
            <a:rPr kumimoji="1" lang="ja-JP" altLang="en-US" sz="1100"/>
            <a:t>経費支弁者が２人以上の場合、</a:t>
          </a:r>
          <a:endParaRPr kumimoji="1" lang="en-US" altLang="ja-JP" sz="1100"/>
        </a:p>
        <a:p>
          <a:r>
            <a:rPr kumimoji="1" lang="ja-JP" altLang="en-US" sz="1100"/>
            <a:t>各欄を</a:t>
          </a:r>
          <a:endParaRPr kumimoji="1" lang="en-US" altLang="ja-JP" sz="1100"/>
        </a:p>
        <a:p>
          <a:r>
            <a:rPr kumimoji="1" lang="ja-JP" altLang="en-US" sz="1100"/>
            <a:t>コピー→値貼り付け</a:t>
          </a:r>
          <a:endParaRPr kumimoji="1" lang="en-US" altLang="ja-JP" sz="1100"/>
        </a:p>
        <a:p>
          <a:r>
            <a:rPr kumimoji="1" lang="ja-JP" altLang="en-US" sz="1100"/>
            <a:t>して、体裁を整える。</a:t>
          </a:r>
          <a:endParaRPr kumimoji="1" lang="en-US" altLang="ja-JP" sz="1100"/>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223630</xdr:colOff>
      <xdr:row>11</xdr:row>
      <xdr:rowOff>49695</xdr:rowOff>
    </xdr:from>
    <xdr:ext cx="2019300" cy="998094"/>
    <xdr:sp macro="" textlink="">
      <xdr:nvSpPr>
        <xdr:cNvPr id="2" name="テキスト ボックス 1">
          <a:extLst>
            <a:ext uri="{FF2B5EF4-FFF2-40B4-BE49-F238E27FC236}">
              <a16:creationId xmlns:a16="http://schemas.microsoft.com/office/drawing/2014/main" xmlns="" id="{00000000-0008-0000-0B00-000002000000}"/>
            </a:ext>
          </a:extLst>
        </xdr:cNvPr>
        <xdr:cNvSpPr txBox="1"/>
      </xdr:nvSpPr>
      <xdr:spPr>
        <a:xfrm>
          <a:off x="1540565" y="1962978"/>
          <a:ext cx="2019300" cy="998094"/>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t>現地通貨で収入を入力してください。</a:t>
          </a:r>
          <a:endParaRPr kumimoji="1" lang="en-US" altLang="ja-JP" sz="1100"/>
        </a:p>
        <a:p>
          <a:endParaRPr kumimoji="1" lang="en-US" altLang="ja-JP" sz="1100"/>
        </a:p>
        <a:p>
          <a:r>
            <a:rPr kumimoji="1" lang="en-US" altLang="ja-JP" sz="1100"/>
            <a:t>※</a:t>
          </a:r>
          <a:r>
            <a:rPr kumimoji="1" lang="ja-JP" altLang="en-US" sz="1100"/>
            <a:t>レートは初期設定で入力しておきます。</a:t>
          </a:r>
          <a:endParaRPr kumimoji="1" lang="en-US" altLang="ja-JP" sz="1100"/>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65298;"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65299;"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7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２"/>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３"/>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70"/>
    </sheet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O10"/>
  <sheetViews>
    <sheetView zoomScale="115" zoomScaleNormal="115" workbookViewId="0">
      <selection activeCell="B4" sqref="B4:D4"/>
    </sheetView>
  </sheetViews>
  <sheetFormatPr defaultRowHeight="13.5"/>
  <cols>
    <col min="1" max="1" width="17.25" bestFit="1" customWidth="1"/>
    <col min="3" max="3" width="3.375" bestFit="1" customWidth="1"/>
    <col min="4" max="4" width="9.125" customWidth="1"/>
    <col min="5" max="5" width="3.375" bestFit="1" customWidth="1"/>
    <col min="7" max="7" width="3.375" bestFit="1" customWidth="1"/>
    <col min="10" max="10" width="10.25" bestFit="1" customWidth="1"/>
    <col min="11" max="11" width="14.125" bestFit="1" customWidth="1"/>
    <col min="14" max="14" width="6" customWidth="1"/>
    <col min="15" max="15" width="5.75" customWidth="1"/>
  </cols>
  <sheetData>
    <row r="1" spans="1:15">
      <c r="B1" s="840"/>
      <c r="C1" s="840"/>
      <c r="D1" s="840"/>
      <c r="E1" s="840"/>
      <c r="F1" s="641"/>
    </row>
    <row r="2" spans="1:15">
      <c r="B2" s="840"/>
      <c r="C2" s="840"/>
      <c r="D2" s="840"/>
      <c r="E2" s="840"/>
      <c r="F2" s="641"/>
    </row>
    <row r="3" spans="1:15">
      <c r="A3" s="634" t="s">
        <v>1035</v>
      </c>
      <c r="L3" t="s">
        <v>1015</v>
      </c>
    </row>
    <row r="4" spans="1:15">
      <c r="A4" t="s">
        <v>1030</v>
      </c>
      <c r="B4" s="838" t="s">
        <v>1020</v>
      </c>
      <c r="C4" s="838"/>
      <c r="D4" s="838"/>
      <c r="J4" s="625"/>
      <c r="O4" t="s">
        <v>1050</v>
      </c>
    </row>
    <row r="5" spans="1:15">
      <c r="K5" s="630"/>
      <c r="L5" s="630"/>
      <c r="M5" s="630"/>
      <c r="O5">
        <f>VLOOKUP(B4,K6:M9,3,FALSE)</f>
        <v>1.5</v>
      </c>
    </row>
    <row r="6" spans="1:15">
      <c r="A6" t="s">
        <v>1029</v>
      </c>
      <c r="B6" s="832">
        <v>2017</v>
      </c>
      <c r="C6" t="s">
        <v>4</v>
      </c>
      <c r="D6" s="832">
        <v>10</v>
      </c>
      <c r="E6" t="s">
        <v>9</v>
      </c>
      <c r="F6" s="833">
        <v>11</v>
      </c>
      <c r="G6" t="s">
        <v>530</v>
      </c>
      <c r="K6" s="640" t="s">
        <v>1020</v>
      </c>
      <c r="L6" s="640" t="s">
        <v>1016</v>
      </c>
      <c r="M6" s="630">
        <v>1.5</v>
      </c>
    </row>
    <row r="7" spans="1:15">
      <c r="A7" s="627"/>
      <c r="B7" s="627"/>
      <c r="C7" s="627"/>
      <c r="D7" s="627"/>
      <c r="E7" s="627"/>
      <c r="F7" s="627"/>
      <c r="G7" s="627"/>
      <c r="K7" s="640" t="s">
        <v>1021</v>
      </c>
      <c r="L7" s="640" t="s">
        <v>1017</v>
      </c>
      <c r="M7" s="630">
        <v>1.75</v>
      </c>
    </row>
    <row r="8" spans="1:15">
      <c r="A8" t="s">
        <v>1028</v>
      </c>
      <c r="B8" s="832">
        <v>2017</v>
      </c>
      <c r="C8" t="s">
        <v>4</v>
      </c>
      <c r="D8" s="832">
        <v>10</v>
      </c>
      <c r="E8" t="s">
        <v>9</v>
      </c>
      <c r="F8" s="834">
        <v>18</v>
      </c>
      <c r="G8" t="s">
        <v>530</v>
      </c>
      <c r="K8" s="640" t="s">
        <v>1022</v>
      </c>
      <c r="L8" s="640" t="s">
        <v>1018</v>
      </c>
      <c r="M8" s="630">
        <v>2</v>
      </c>
    </row>
    <row r="9" spans="1:15">
      <c r="A9" s="627"/>
      <c r="B9" s="627"/>
      <c r="C9" s="627"/>
      <c r="D9" s="627"/>
      <c r="E9" s="627"/>
      <c r="F9" s="627"/>
      <c r="G9" s="627"/>
      <c r="K9" s="630"/>
      <c r="L9" s="630"/>
      <c r="M9" s="630"/>
    </row>
    <row r="10" spans="1:15">
      <c r="A10" t="s">
        <v>1027</v>
      </c>
      <c r="B10" s="628">
        <v>10000</v>
      </c>
      <c r="C10" s="839" t="s">
        <v>1129</v>
      </c>
      <c r="D10" s="839"/>
      <c r="E10" s="629" t="s">
        <v>1019</v>
      </c>
      <c r="F10" s="835">
        <v>50</v>
      </c>
      <c r="G10" s="630" t="s">
        <v>573</v>
      </c>
    </row>
  </sheetData>
  <mergeCells count="4">
    <mergeCell ref="B4:D4"/>
    <mergeCell ref="C10:D10"/>
    <mergeCell ref="B1:C2"/>
    <mergeCell ref="D1:E2"/>
  </mergeCells>
  <phoneticPr fontId="5"/>
  <dataValidations count="2">
    <dataValidation type="list" allowBlank="1" showInputMessage="1" showErrorMessage="1" sqref="B5">
      <formula1>$L$5:$L$9</formula1>
    </dataValidation>
    <dataValidation type="list" allowBlank="1" showInputMessage="1" showErrorMessage="1" sqref="B4">
      <formula1>$K$5:$K$9</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54"/>
  <sheetViews>
    <sheetView view="pageBreakPreview" zoomScale="55" zoomScaleNormal="60" zoomScaleSheetLayoutView="55" workbookViewId="0">
      <pane xSplit="1" ySplit="8" topLeftCell="B9" activePane="bottomRight" state="frozen"/>
      <selection activeCell="AS147" sqref="AS147:AY148"/>
      <selection pane="topRight" activeCell="AS147" sqref="AS147:AY148"/>
      <selection pane="bottomLeft" activeCell="AS147" sqref="AS147:AY148"/>
      <selection pane="bottomRight" activeCell="O12" sqref="O12"/>
    </sheetView>
  </sheetViews>
  <sheetFormatPr defaultRowHeight="36.75" customHeight="1"/>
  <cols>
    <col min="1" max="1" width="1" style="641" customWidth="1"/>
    <col min="2" max="2" width="9.625" style="712" customWidth="1"/>
    <col min="3" max="4" width="31.125" style="713" customWidth="1"/>
    <col min="5" max="6" width="19.375" style="713" customWidth="1"/>
    <col min="7" max="8" width="11.125" style="713" customWidth="1"/>
    <col min="9" max="9" width="14.125" style="713" customWidth="1"/>
    <col min="10" max="10" width="16.125" style="713" customWidth="1"/>
    <col min="11" max="11" width="24.5" style="713" customWidth="1"/>
    <col min="12" max="254" width="9" style="641"/>
    <col min="255" max="255" width="1" style="641" customWidth="1"/>
    <col min="256" max="256" width="8.25" style="641" customWidth="1"/>
    <col min="257" max="257" width="5.625" style="641" customWidth="1"/>
    <col min="258" max="258" width="9.625" style="641" customWidth="1"/>
    <col min="259" max="260" width="31.125" style="641" customWidth="1"/>
    <col min="261" max="262" width="19.375" style="641" customWidth="1"/>
    <col min="263" max="264" width="11.125" style="641" customWidth="1"/>
    <col min="265" max="265" width="14.125" style="641" customWidth="1"/>
    <col min="266" max="266" width="16.125" style="641" customWidth="1"/>
    <col min="267" max="267" width="24.5" style="641" customWidth="1"/>
    <col min="268" max="510" width="9" style="641"/>
    <col min="511" max="511" width="1" style="641" customWidth="1"/>
    <col min="512" max="512" width="8.25" style="641" customWidth="1"/>
    <col min="513" max="513" width="5.625" style="641" customWidth="1"/>
    <col min="514" max="514" width="9.625" style="641" customWidth="1"/>
    <col min="515" max="516" width="31.125" style="641" customWidth="1"/>
    <col min="517" max="518" width="19.375" style="641" customWidth="1"/>
    <col min="519" max="520" width="11.125" style="641" customWidth="1"/>
    <col min="521" max="521" width="14.125" style="641" customWidth="1"/>
    <col min="522" max="522" width="16.125" style="641" customWidth="1"/>
    <col min="523" max="523" width="24.5" style="641" customWidth="1"/>
    <col min="524" max="766" width="9" style="641"/>
    <col min="767" max="767" width="1" style="641" customWidth="1"/>
    <col min="768" max="768" width="8.25" style="641" customWidth="1"/>
    <col min="769" max="769" width="5.625" style="641" customWidth="1"/>
    <col min="770" max="770" width="9.625" style="641" customWidth="1"/>
    <col min="771" max="772" width="31.125" style="641" customWidth="1"/>
    <col min="773" max="774" width="19.375" style="641" customWidth="1"/>
    <col min="775" max="776" width="11.125" style="641" customWidth="1"/>
    <col min="777" max="777" width="14.125" style="641" customWidth="1"/>
    <col min="778" max="778" width="16.125" style="641" customWidth="1"/>
    <col min="779" max="779" width="24.5" style="641" customWidth="1"/>
    <col min="780" max="1022" width="9" style="641"/>
    <col min="1023" max="1023" width="1" style="641" customWidth="1"/>
    <col min="1024" max="1024" width="8.25" style="641" customWidth="1"/>
    <col min="1025" max="1025" width="5.625" style="641" customWidth="1"/>
    <col min="1026" max="1026" width="9.625" style="641" customWidth="1"/>
    <col min="1027" max="1028" width="31.125" style="641" customWidth="1"/>
    <col min="1029" max="1030" width="19.375" style="641" customWidth="1"/>
    <col min="1031" max="1032" width="11.125" style="641" customWidth="1"/>
    <col min="1033" max="1033" width="14.125" style="641" customWidth="1"/>
    <col min="1034" max="1034" width="16.125" style="641" customWidth="1"/>
    <col min="1035" max="1035" width="24.5" style="641" customWidth="1"/>
    <col min="1036" max="1278" width="9" style="641"/>
    <col min="1279" max="1279" width="1" style="641" customWidth="1"/>
    <col min="1280" max="1280" width="8.25" style="641" customWidth="1"/>
    <col min="1281" max="1281" width="5.625" style="641" customWidth="1"/>
    <col min="1282" max="1282" width="9.625" style="641" customWidth="1"/>
    <col min="1283" max="1284" width="31.125" style="641" customWidth="1"/>
    <col min="1285" max="1286" width="19.375" style="641" customWidth="1"/>
    <col min="1287" max="1288" width="11.125" style="641" customWidth="1"/>
    <col min="1289" max="1289" width="14.125" style="641" customWidth="1"/>
    <col min="1290" max="1290" width="16.125" style="641" customWidth="1"/>
    <col min="1291" max="1291" width="24.5" style="641" customWidth="1"/>
    <col min="1292" max="1534" width="9" style="641"/>
    <col min="1535" max="1535" width="1" style="641" customWidth="1"/>
    <col min="1536" max="1536" width="8.25" style="641" customWidth="1"/>
    <col min="1537" max="1537" width="5.625" style="641" customWidth="1"/>
    <col min="1538" max="1538" width="9.625" style="641" customWidth="1"/>
    <col min="1539" max="1540" width="31.125" style="641" customWidth="1"/>
    <col min="1541" max="1542" width="19.375" style="641" customWidth="1"/>
    <col min="1543" max="1544" width="11.125" style="641" customWidth="1"/>
    <col min="1545" max="1545" width="14.125" style="641" customWidth="1"/>
    <col min="1546" max="1546" width="16.125" style="641" customWidth="1"/>
    <col min="1547" max="1547" width="24.5" style="641" customWidth="1"/>
    <col min="1548" max="1790" width="9" style="641"/>
    <col min="1791" max="1791" width="1" style="641" customWidth="1"/>
    <col min="1792" max="1792" width="8.25" style="641" customWidth="1"/>
    <col min="1793" max="1793" width="5.625" style="641" customWidth="1"/>
    <col min="1794" max="1794" width="9.625" style="641" customWidth="1"/>
    <col min="1795" max="1796" width="31.125" style="641" customWidth="1"/>
    <col min="1797" max="1798" width="19.375" style="641" customWidth="1"/>
    <col min="1799" max="1800" width="11.125" style="641" customWidth="1"/>
    <col min="1801" max="1801" width="14.125" style="641" customWidth="1"/>
    <col min="1802" max="1802" width="16.125" style="641" customWidth="1"/>
    <col min="1803" max="1803" width="24.5" style="641" customWidth="1"/>
    <col min="1804" max="2046" width="9" style="641"/>
    <col min="2047" max="2047" width="1" style="641" customWidth="1"/>
    <col min="2048" max="2048" width="8.25" style="641" customWidth="1"/>
    <col min="2049" max="2049" width="5.625" style="641" customWidth="1"/>
    <col min="2050" max="2050" width="9.625" style="641" customWidth="1"/>
    <col min="2051" max="2052" width="31.125" style="641" customWidth="1"/>
    <col min="2053" max="2054" width="19.375" style="641" customWidth="1"/>
    <col min="2055" max="2056" width="11.125" style="641" customWidth="1"/>
    <col min="2057" max="2057" width="14.125" style="641" customWidth="1"/>
    <col min="2058" max="2058" width="16.125" style="641" customWidth="1"/>
    <col min="2059" max="2059" width="24.5" style="641" customWidth="1"/>
    <col min="2060" max="2302" width="9" style="641"/>
    <col min="2303" max="2303" width="1" style="641" customWidth="1"/>
    <col min="2304" max="2304" width="8.25" style="641" customWidth="1"/>
    <col min="2305" max="2305" width="5.625" style="641" customWidth="1"/>
    <col min="2306" max="2306" width="9.625" style="641" customWidth="1"/>
    <col min="2307" max="2308" width="31.125" style="641" customWidth="1"/>
    <col min="2309" max="2310" width="19.375" style="641" customWidth="1"/>
    <col min="2311" max="2312" width="11.125" style="641" customWidth="1"/>
    <col min="2313" max="2313" width="14.125" style="641" customWidth="1"/>
    <col min="2314" max="2314" width="16.125" style="641" customWidth="1"/>
    <col min="2315" max="2315" width="24.5" style="641" customWidth="1"/>
    <col min="2316" max="2558" width="9" style="641"/>
    <col min="2559" max="2559" width="1" style="641" customWidth="1"/>
    <col min="2560" max="2560" width="8.25" style="641" customWidth="1"/>
    <col min="2561" max="2561" width="5.625" style="641" customWidth="1"/>
    <col min="2562" max="2562" width="9.625" style="641" customWidth="1"/>
    <col min="2563" max="2564" width="31.125" style="641" customWidth="1"/>
    <col min="2565" max="2566" width="19.375" style="641" customWidth="1"/>
    <col min="2567" max="2568" width="11.125" style="641" customWidth="1"/>
    <col min="2569" max="2569" width="14.125" style="641" customWidth="1"/>
    <col min="2570" max="2570" width="16.125" style="641" customWidth="1"/>
    <col min="2571" max="2571" width="24.5" style="641" customWidth="1"/>
    <col min="2572" max="2814" width="9" style="641"/>
    <col min="2815" max="2815" width="1" style="641" customWidth="1"/>
    <col min="2816" max="2816" width="8.25" style="641" customWidth="1"/>
    <col min="2817" max="2817" width="5.625" style="641" customWidth="1"/>
    <col min="2818" max="2818" width="9.625" style="641" customWidth="1"/>
    <col min="2819" max="2820" width="31.125" style="641" customWidth="1"/>
    <col min="2821" max="2822" width="19.375" style="641" customWidth="1"/>
    <col min="2823" max="2824" width="11.125" style="641" customWidth="1"/>
    <col min="2825" max="2825" width="14.125" style="641" customWidth="1"/>
    <col min="2826" max="2826" width="16.125" style="641" customWidth="1"/>
    <col min="2827" max="2827" width="24.5" style="641" customWidth="1"/>
    <col min="2828" max="3070" width="9" style="641"/>
    <col min="3071" max="3071" width="1" style="641" customWidth="1"/>
    <col min="3072" max="3072" width="8.25" style="641" customWidth="1"/>
    <col min="3073" max="3073" width="5.625" style="641" customWidth="1"/>
    <col min="3074" max="3074" width="9.625" style="641" customWidth="1"/>
    <col min="3075" max="3076" width="31.125" style="641" customWidth="1"/>
    <col min="3077" max="3078" width="19.375" style="641" customWidth="1"/>
    <col min="3079" max="3080" width="11.125" style="641" customWidth="1"/>
    <col min="3081" max="3081" width="14.125" style="641" customWidth="1"/>
    <col min="3082" max="3082" width="16.125" style="641" customWidth="1"/>
    <col min="3083" max="3083" width="24.5" style="641" customWidth="1"/>
    <col min="3084" max="3326" width="9" style="641"/>
    <col min="3327" max="3327" width="1" style="641" customWidth="1"/>
    <col min="3328" max="3328" width="8.25" style="641" customWidth="1"/>
    <col min="3329" max="3329" width="5.625" style="641" customWidth="1"/>
    <col min="3330" max="3330" width="9.625" style="641" customWidth="1"/>
    <col min="3331" max="3332" width="31.125" style="641" customWidth="1"/>
    <col min="3333" max="3334" width="19.375" style="641" customWidth="1"/>
    <col min="3335" max="3336" width="11.125" style="641" customWidth="1"/>
    <col min="3337" max="3337" width="14.125" style="641" customWidth="1"/>
    <col min="3338" max="3338" width="16.125" style="641" customWidth="1"/>
    <col min="3339" max="3339" width="24.5" style="641" customWidth="1"/>
    <col min="3340" max="3582" width="9" style="641"/>
    <col min="3583" max="3583" width="1" style="641" customWidth="1"/>
    <col min="3584" max="3584" width="8.25" style="641" customWidth="1"/>
    <col min="3585" max="3585" width="5.625" style="641" customWidth="1"/>
    <col min="3586" max="3586" width="9.625" style="641" customWidth="1"/>
    <col min="3587" max="3588" width="31.125" style="641" customWidth="1"/>
    <col min="3589" max="3590" width="19.375" style="641" customWidth="1"/>
    <col min="3591" max="3592" width="11.125" style="641" customWidth="1"/>
    <col min="3593" max="3593" width="14.125" style="641" customWidth="1"/>
    <col min="3594" max="3594" width="16.125" style="641" customWidth="1"/>
    <col min="3595" max="3595" width="24.5" style="641" customWidth="1"/>
    <col min="3596" max="3838" width="9" style="641"/>
    <col min="3839" max="3839" width="1" style="641" customWidth="1"/>
    <col min="3840" max="3840" width="8.25" style="641" customWidth="1"/>
    <col min="3841" max="3841" width="5.625" style="641" customWidth="1"/>
    <col min="3842" max="3842" width="9.625" style="641" customWidth="1"/>
    <col min="3843" max="3844" width="31.125" style="641" customWidth="1"/>
    <col min="3845" max="3846" width="19.375" style="641" customWidth="1"/>
    <col min="3847" max="3848" width="11.125" style="641" customWidth="1"/>
    <col min="3849" max="3849" width="14.125" style="641" customWidth="1"/>
    <col min="3850" max="3850" width="16.125" style="641" customWidth="1"/>
    <col min="3851" max="3851" width="24.5" style="641" customWidth="1"/>
    <col min="3852" max="4094" width="9" style="641"/>
    <col min="4095" max="4095" width="1" style="641" customWidth="1"/>
    <col min="4096" max="4096" width="8.25" style="641" customWidth="1"/>
    <col min="4097" max="4097" width="5.625" style="641" customWidth="1"/>
    <col min="4098" max="4098" width="9.625" style="641" customWidth="1"/>
    <col min="4099" max="4100" width="31.125" style="641" customWidth="1"/>
    <col min="4101" max="4102" width="19.375" style="641" customWidth="1"/>
    <col min="4103" max="4104" width="11.125" style="641" customWidth="1"/>
    <col min="4105" max="4105" width="14.125" style="641" customWidth="1"/>
    <col min="4106" max="4106" width="16.125" style="641" customWidth="1"/>
    <col min="4107" max="4107" width="24.5" style="641" customWidth="1"/>
    <col min="4108" max="4350" width="9" style="641"/>
    <col min="4351" max="4351" width="1" style="641" customWidth="1"/>
    <col min="4352" max="4352" width="8.25" style="641" customWidth="1"/>
    <col min="4353" max="4353" width="5.625" style="641" customWidth="1"/>
    <col min="4354" max="4354" width="9.625" style="641" customWidth="1"/>
    <col min="4355" max="4356" width="31.125" style="641" customWidth="1"/>
    <col min="4357" max="4358" width="19.375" style="641" customWidth="1"/>
    <col min="4359" max="4360" width="11.125" style="641" customWidth="1"/>
    <col min="4361" max="4361" width="14.125" style="641" customWidth="1"/>
    <col min="4362" max="4362" width="16.125" style="641" customWidth="1"/>
    <col min="4363" max="4363" width="24.5" style="641" customWidth="1"/>
    <col min="4364" max="4606" width="9" style="641"/>
    <col min="4607" max="4607" width="1" style="641" customWidth="1"/>
    <col min="4608" max="4608" width="8.25" style="641" customWidth="1"/>
    <col min="4609" max="4609" width="5.625" style="641" customWidth="1"/>
    <col min="4610" max="4610" width="9.625" style="641" customWidth="1"/>
    <col min="4611" max="4612" width="31.125" style="641" customWidth="1"/>
    <col min="4613" max="4614" width="19.375" style="641" customWidth="1"/>
    <col min="4615" max="4616" width="11.125" style="641" customWidth="1"/>
    <col min="4617" max="4617" width="14.125" style="641" customWidth="1"/>
    <col min="4618" max="4618" width="16.125" style="641" customWidth="1"/>
    <col min="4619" max="4619" width="24.5" style="641" customWidth="1"/>
    <col min="4620" max="4862" width="9" style="641"/>
    <col min="4863" max="4863" width="1" style="641" customWidth="1"/>
    <col min="4864" max="4864" width="8.25" style="641" customWidth="1"/>
    <col min="4865" max="4865" width="5.625" style="641" customWidth="1"/>
    <col min="4866" max="4866" width="9.625" style="641" customWidth="1"/>
    <col min="4867" max="4868" width="31.125" style="641" customWidth="1"/>
    <col min="4869" max="4870" width="19.375" style="641" customWidth="1"/>
    <col min="4871" max="4872" width="11.125" style="641" customWidth="1"/>
    <col min="4873" max="4873" width="14.125" style="641" customWidth="1"/>
    <col min="4874" max="4874" width="16.125" style="641" customWidth="1"/>
    <col min="4875" max="4875" width="24.5" style="641" customWidth="1"/>
    <col min="4876" max="5118" width="9" style="641"/>
    <col min="5119" max="5119" width="1" style="641" customWidth="1"/>
    <col min="5120" max="5120" width="8.25" style="641" customWidth="1"/>
    <col min="5121" max="5121" width="5.625" style="641" customWidth="1"/>
    <col min="5122" max="5122" width="9.625" style="641" customWidth="1"/>
    <col min="5123" max="5124" width="31.125" style="641" customWidth="1"/>
    <col min="5125" max="5126" width="19.375" style="641" customWidth="1"/>
    <col min="5127" max="5128" width="11.125" style="641" customWidth="1"/>
    <col min="5129" max="5129" width="14.125" style="641" customWidth="1"/>
    <col min="5130" max="5130" width="16.125" style="641" customWidth="1"/>
    <col min="5131" max="5131" width="24.5" style="641" customWidth="1"/>
    <col min="5132" max="5374" width="9" style="641"/>
    <col min="5375" max="5375" width="1" style="641" customWidth="1"/>
    <col min="5376" max="5376" width="8.25" style="641" customWidth="1"/>
    <col min="5377" max="5377" width="5.625" style="641" customWidth="1"/>
    <col min="5378" max="5378" width="9.625" style="641" customWidth="1"/>
    <col min="5379" max="5380" width="31.125" style="641" customWidth="1"/>
    <col min="5381" max="5382" width="19.375" style="641" customWidth="1"/>
    <col min="5383" max="5384" width="11.125" style="641" customWidth="1"/>
    <col min="5385" max="5385" width="14.125" style="641" customWidth="1"/>
    <col min="5386" max="5386" width="16.125" style="641" customWidth="1"/>
    <col min="5387" max="5387" width="24.5" style="641" customWidth="1"/>
    <col min="5388" max="5630" width="9" style="641"/>
    <col min="5631" max="5631" width="1" style="641" customWidth="1"/>
    <col min="5632" max="5632" width="8.25" style="641" customWidth="1"/>
    <col min="5633" max="5633" width="5.625" style="641" customWidth="1"/>
    <col min="5634" max="5634" width="9.625" style="641" customWidth="1"/>
    <col min="5635" max="5636" width="31.125" style="641" customWidth="1"/>
    <col min="5637" max="5638" width="19.375" style="641" customWidth="1"/>
    <col min="5639" max="5640" width="11.125" style="641" customWidth="1"/>
    <col min="5641" max="5641" width="14.125" style="641" customWidth="1"/>
    <col min="5642" max="5642" width="16.125" style="641" customWidth="1"/>
    <col min="5643" max="5643" width="24.5" style="641" customWidth="1"/>
    <col min="5644" max="5886" width="9" style="641"/>
    <col min="5887" max="5887" width="1" style="641" customWidth="1"/>
    <col min="5888" max="5888" width="8.25" style="641" customWidth="1"/>
    <col min="5889" max="5889" width="5.625" style="641" customWidth="1"/>
    <col min="5890" max="5890" width="9.625" style="641" customWidth="1"/>
    <col min="5891" max="5892" width="31.125" style="641" customWidth="1"/>
    <col min="5893" max="5894" width="19.375" style="641" customWidth="1"/>
    <col min="5895" max="5896" width="11.125" style="641" customWidth="1"/>
    <col min="5897" max="5897" width="14.125" style="641" customWidth="1"/>
    <col min="5898" max="5898" width="16.125" style="641" customWidth="1"/>
    <col min="5899" max="5899" width="24.5" style="641" customWidth="1"/>
    <col min="5900" max="6142" width="9" style="641"/>
    <col min="6143" max="6143" width="1" style="641" customWidth="1"/>
    <col min="6144" max="6144" width="8.25" style="641" customWidth="1"/>
    <col min="6145" max="6145" width="5.625" style="641" customWidth="1"/>
    <col min="6146" max="6146" width="9.625" style="641" customWidth="1"/>
    <col min="6147" max="6148" width="31.125" style="641" customWidth="1"/>
    <col min="6149" max="6150" width="19.375" style="641" customWidth="1"/>
    <col min="6151" max="6152" width="11.125" style="641" customWidth="1"/>
    <col min="6153" max="6153" width="14.125" style="641" customWidth="1"/>
    <col min="6154" max="6154" width="16.125" style="641" customWidth="1"/>
    <col min="6155" max="6155" width="24.5" style="641" customWidth="1"/>
    <col min="6156" max="6398" width="9" style="641"/>
    <col min="6399" max="6399" width="1" style="641" customWidth="1"/>
    <col min="6400" max="6400" width="8.25" style="641" customWidth="1"/>
    <col min="6401" max="6401" width="5.625" style="641" customWidth="1"/>
    <col min="6402" max="6402" width="9.625" style="641" customWidth="1"/>
    <col min="6403" max="6404" width="31.125" style="641" customWidth="1"/>
    <col min="6405" max="6406" width="19.375" style="641" customWidth="1"/>
    <col min="6407" max="6408" width="11.125" style="641" customWidth="1"/>
    <col min="6409" max="6409" width="14.125" style="641" customWidth="1"/>
    <col min="6410" max="6410" width="16.125" style="641" customWidth="1"/>
    <col min="6411" max="6411" width="24.5" style="641" customWidth="1"/>
    <col min="6412" max="6654" width="9" style="641"/>
    <col min="6655" max="6655" width="1" style="641" customWidth="1"/>
    <col min="6656" max="6656" width="8.25" style="641" customWidth="1"/>
    <col min="6657" max="6657" width="5.625" style="641" customWidth="1"/>
    <col min="6658" max="6658" width="9.625" style="641" customWidth="1"/>
    <col min="6659" max="6660" width="31.125" style="641" customWidth="1"/>
    <col min="6661" max="6662" width="19.375" style="641" customWidth="1"/>
    <col min="6663" max="6664" width="11.125" style="641" customWidth="1"/>
    <col min="6665" max="6665" width="14.125" style="641" customWidth="1"/>
    <col min="6666" max="6666" width="16.125" style="641" customWidth="1"/>
    <col min="6667" max="6667" width="24.5" style="641" customWidth="1"/>
    <col min="6668" max="6910" width="9" style="641"/>
    <col min="6911" max="6911" width="1" style="641" customWidth="1"/>
    <col min="6912" max="6912" width="8.25" style="641" customWidth="1"/>
    <col min="6913" max="6913" width="5.625" style="641" customWidth="1"/>
    <col min="6914" max="6914" width="9.625" style="641" customWidth="1"/>
    <col min="6915" max="6916" width="31.125" style="641" customWidth="1"/>
    <col min="6917" max="6918" width="19.375" style="641" customWidth="1"/>
    <col min="6919" max="6920" width="11.125" style="641" customWidth="1"/>
    <col min="6921" max="6921" width="14.125" style="641" customWidth="1"/>
    <col min="6922" max="6922" width="16.125" style="641" customWidth="1"/>
    <col min="6923" max="6923" width="24.5" style="641" customWidth="1"/>
    <col min="6924" max="7166" width="9" style="641"/>
    <col min="7167" max="7167" width="1" style="641" customWidth="1"/>
    <col min="7168" max="7168" width="8.25" style="641" customWidth="1"/>
    <col min="7169" max="7169" width="5.625" style="641" customWidth="1"/>
    <col min="7170" max="7170" width="9.625" style="641" customWidth="1"/>
    <col min="7171" max="7172" width="31.125" style="641" customWidth="1"/>
    <col min="7173" max="7174" width="19.375" style="641" customWidth="1"/>
    <col min="7175" max="7176" width="11.125" style="641" customWidth="1"/>
    <col min="7177" max="7177" width="14.125" style="641" customWidth="1"/>
    <col min="7178" max="7178" width="16.125" style="641" customWidth="1"/>
    <col min="7179" max="7179" width="24.5" style="641" customWidth="1"/>
    <col min="7180" max="7422" width="9" style="641"/>
    <col min="7423" max="7423" width="1" style="641" customWidth="1"/>
    <col min="7424" max="7424" width="8.25" style="641" customWidth="1"/>
    <col min="7425" max="7425" width="5.625" style="641" customWidth="1"/>
    <col min="7426" max="7426" width="9.625" style="641" customWidth="1"/>
    <col min="7427" max="7428" width="31.125" style="641" customWidth="1"/>
    <col min="7429" max="7430" width="19.375" style="641" customWidth="1"/>
    <col min="7431" max="7432" width="11.125" style="641" customWidth="1"/>
    <col min="7433" max="7433" width="14.125" style="641" customWidth="1"/>
    <col min="7434" max="7434" width="16.125" style="641" customWidth="1"/>
    <col min="7435" max="7435" width="24.5" style="641" customWidth="1"/>
    <col min="7436" max="7678" width="9" style="641"/>
    <col min="7679" max="7679" width="1" style="641" customWidth="1"/>
    <col min="7680" max="7680" width="8.25" style="641" customWidth="1"/>
    <col min="7681" max="7681" width="5.625" style="641" customWidth="1"/>
    <col min="7682" max="7682" width="9.625" style="641" customWidth="1"/>
    <col min="7683" max="7684" width="31.125" style="641" customWidth="1"/>
    <col min="7685" max="7686" width="19.375" style="641" customWidth="1"/>
    <col min="7687" max="7688" width="11.125" style="641" customWidth="1"/>
    <col min="7689" max="7689" width="14.125" style="641" customWidth="1"/>
    <col min="7690" max="7690" width="16.125" style="641" customWidth="1"/>
    <col min="7691" max="7691" width="24.5" style="641" customWidth="1"/>
    <col min="7692" max="7934" width="9" style="641"/>
    <col min="7935" max="7935" width="1" style="641" customWidth="1"/>
    <col min="7936" max="7936" width="8.25" style="641" customWidth="1"/>
    <col min="7937" max="7937" width="5.625" style="641" customWidth="1"/>
    <col min="7938" max="7938" width="9.625" style="641" customWidth="1"/>
    <col min="7939" max="7940" width="31.125" style="641" customWidth="1"/>
    <col min="7941" max="7942" width="19.375" style="641" customWidth="1"/>
    <col min="7943" max="7944" width="11.125" style="641" customWidth="1"/>
    <col min="7945" max="7945" width="14.125" style="641" customWidth="1"/>
    <col min="7946" max="7946" width="16.125" style="641" customWidth="1"/>
    <col min="7947" max="7947" width="24.5" style="641" customWidth="1"/>
    <col min="7948" max="8190" width="9" style="641"/>
    <col min="8191" max="8191" width="1" style="641" customWidth="1"/>
    <col min="8192" max="8192" width="8.25" style="641" customWidth="1"/>
    <col min="8193" max="8193" width="5.625" style="641" customWidth="1"/>
    <col min="8194" max="8194" width="9.625" style="641" customWidth="1"/>
    <col min="8195" max="8196" width="31.125" style="641" customWidth="1"/>
    <col min="8197" max="8198" width="19.375" style="641" customWidth="1"/>
    <col min="8199" max="8200" width="11.125" style="641" customWidth="1"/>
    <col min="8201" max="8201" width="14.125" style="641" customWidth="1"/>
    <col min="8202" max="8202" width="16.125" style="641" customWidth="1"/>
    <col min="8203" max="8203" width="24.5" style="641" customWidth="1"/>
    <col min="8204" max="8446" width="9" style="641"/>
    <col min="8447" max="8447" width="1" style="641" customWidth="1"/>
    <col min="8448" max="8448" width="8.25" style="641" customWidth="1"/>
    <col min="8449" max="8449" width="5.625" style="641" customWidth="1"/>
    <col min="8450" max="8450" width="9.625" style="641" customWidth="1"/>
    <col min="8451" max="8452" width="31.125" style="641" customWidth="1"/>
    <col min="8453" max="8454" width="19.375" style="641" customWidth="1"/>
    <col min="8455" max="8456" width="11.125" style="641" customWidth="1"/>
    <col min="8457" max="8457" width="14.125" style="641" customWidth="1"/>
    <col min="8458" max="8458" width="16.125" style="641" customWidth="1"/>
    <col min="8459" max="8459" width="24.5" style="641" customWidth="1"/>
    <col min="8460" max="8702" width="9" style="641"/>
    <col min="8703" max="8703" width="1" style="641" customWidth="1"/>
    <col min="8704" max="8704" width="8.25" style="641" customWidth="1"/>
    <col min="8705" max="8705" width="5.625" style="641" customWidth="1"/>
    <col min="8706" max="8706" width="9.625" style="641" customWidth="1"/>
    <col min="8707" max="8708" width="31.125" style="641" customWidth="1"/>
    <col min="8709" max="8710" width="19.375" style="641" customWidth="1"/>
    <col min="8711" max="8712" width="11.125" style="641" customWidth="1"/>
    <col min="8713" max="8713" width="14.125" style="641" customWidth="1"/>
    <col min="8714" max="8714" width="16.125" style="641" customWidth="1"/>
    <col min="8715" max="8715" width="24.5" style="641" customWidth="1"/>
    <col min="8716" max="8958" width="9" style="641"/>
    <col min="8959" max="8959" width="1" style="641" customWidth="1"/>
    <col min="8960" max="8960" width="8.25" style="641" customWidth="1"/>
    <col min="8961" max="8961" width="5.625" style="641" customWidth="1"/>
    <col min="8962" max="8962" width="9.625" style="641" customWidth="1"/>
    <col min="8963" max="8964" width="31.125" style="641" customWidth="1"/>
    <col min="8965" max="8966" width="19.375" style="641" customWidth="1"/>
    <col min="8967" max="8968" width="11.125" style="641" customWidth="1"/>
    <col min="8969" max="8969" width="14.125" style="641" customWidth="1"/>
    <col min="8970" max="8970" width="16.125" style="641" customWidth="1"/>
    <col min="8971" max="8971" width="24.5" style="641" customWidth="1"/>
    <col min="8972" max="9214" width="9" style="641"/>
    <col min="9215" max="9215" width="1" style="641" customWidth="1"/>
    <col min="9216" max="9216" width="8.25" style="641" customWidth="1"/>
    <col min="9217" max="9217" width="5.625" style="641" customWidth="1"/>
    <col min="9218" max="9218" width="9.625" style="641" customWidth="1"/>
    <col min="9219" max="9220" width="31.125" style="641" customWidth="1"/>
    <col min="9221" max="9222" width="19.375" style="641" customWidth="1"/>
    <col min="9223" max="9224" width="11.125" style="641" customWidth="1"/>
    <col min="9225" max="9225" width="14.125" style="641" customWidth="1"/>
    <col min="9226" max="9226" width="16.125" style="641" customWidth="1"/>
    <col min="9227" max="9227" width="24.5" style="641" customWidth="1"/>
    <col min="9228" max="9470" width="9" style="641"/>
    <col min="9471" max="9471" width="1" style="641" customWidth="1"/>
    <col min="9472" max="9472" width="8.25" style="641" customWidth="1"/>
    <col min="9473" max="9473" width="5.625" style="641" customWidth="1"/>
    <col min="9474" max="9474" width="9.625" style="641" customWidth="1"/>
    <col min="9475" max="9476" width="31.125" style="641" customWidth="1"/>
    <col min="9477" max="9478" width="19.375" style="641" customWidth="1"/>
    <col min="9479" max="9480" width="11.125" style="641" customWidth="1"/>
    <col min="9481" max="9481" width="14.125" style="641" customWidth="1"/>
    <col min="9482" max="9482" width="16.125" style="641" customWidth="1"/>
    <col min="9483" max="9483" width="24.5" style="641" customWidth="1"/>
    <col min="9484" max="9726" width="9" style="641"/>
    <col min="9727" max="9727" width="1" style="641" customWidth="1"/>
    <col min="9728" max="9728" width="8.25" style="641" customWidth="1"/>
    <col min="9729" max="9729" width="5.625" style="641" customWidth="1"/>
    <col min="9730" max="9730" width="9.625" style="641" customWidth="1"/>
    <col min="9731" max="9732" width="31.125" style="641" customWidth="1"/>
    <col min="9733" max="9734" width="19.375" style="641" customWidth="1"/>
    <col min="9735" max="9736" width="11.125" style="641" customWidth="1"/>
    <col min="9737" max="9737" width="14.125" style="641" customWidth="1"/>
    <col min="9738" max="9738" width="16.125" style="641" customWidth="1"/>
    <col min="9739" max="9739" width="24.5" style="641" customWidth="1"/>
    <col min="9740" max="9982" width="9" style="641"/>
    <col min="9983" max="9983" width="1" style="641" customWidth="1"/>
    <col min="9984" max="9984" width="8.25" style="641" customWidth="1"/>
    <col min="9985" max="9985" width="5.625" style="641" customWidth="1"/>
    <col min="9986" max="9986" width="9.625" style="641" customWidth="1"/>
    <col min="9987" max="9988" width="31.125" style="641" customWidth="1"/>
    <col min="9989" max="9990" width="19.375" style="641" customWidth="1"/>
    <col min="9991" max="9992" width="11.125" style="641" customWidth="1"/>
    <col min="9993" max="9993" width="14.125" style="641" customWidth="1"/>
    <col min="9994" max="9994" width="16.125" style="641" customWidth="1"/>
    <col min="9995" max="9995" width="24.5" style="641" customWidth="1"/>
    <col min="9996" max="10238" width="9" style="641"/>
    <col min="10239" max="10239" width="1" style="641" customWidth="1"/>
    <col min="10240" max="10240" width="8.25" style="641" customWidth="1"/>
    <col min="10241" max="10241" width="5.625" style="641" customWidth="1"/>
    <col min="10242" max="10242" width="9.625" style="641" customWidth="1"/>
    <col min="10243" max="10244" width="31.125" style="641" customWidth="1"/>
    <col min="10245" max="10246" width="19.375" style="641" customWidth="1"/>
    <col min="10247" max="10248" width="11.125" style="641" customWidth="1"/>
    <col min="10249" max="10249" width="14.125" style="641" customWidth="1"/>
    <col min="10250" max="10250" width="16.125" style="641" customWidth="1"/>
    <col min="10251" max="10251" width="24.5" style="641" customWidth="1"/>
    <col min="10252" max="10494" width="9" style="641"/>
    <col min="10495" max="10495" width="1" style="641" customWidth="1"/>
    <col min="10496" max="10496" width="8.25" style="641" customWidth="1"/>
    <col min="10497" max="10497" width="5.625" style="641" customWidth="1"/>
    <col min="10498" max="10498" width="9.625" style="641" customWidth="1"/>
    <col min="10499" max="10500" width="31.125" style="641" customWidth="1"/>
    <col min="10501" max="10502" width="19.375" style="641" customWidth="1"/>
    <col min="10503" max="10504" width="11.125" style="641" customWidth="1"/>
    <col min="10505" max="10505" width="14.125" style="641" customWidth="1"/>
    <col min="10506" max="10506" width="16.125" style="641" customWidth="1"/>
    <col min="10507" max="10507" width="24.5" style="641" customWidth="1"/>
    <col min="10508" max="10750" width="9" style="641"/>
    <col min="10751" max="10751" width="1" style="641" customWidth="1"/>
    <col min="10752" max="10752" width="8.25" style="641" customWidth="1"/>
    <col min="10753" max="10753" width="5.625" style="641" customWidth="1"/>
    <col min="10754" max="10754" width="9.625" style="641" customWidth="1"/>
    <col min="10755" max="10756" width="31.125" style="641" customWidth="1"/>
    <col min="10757" max="10758" width="19.375" style="641" customWidth="1"/>
    <col min="10759" max="10760" width="11.125" style="641" customWidth="1"/>
    <col min="10761" max="10761" width="14.125" style="641" customWidth="1"/>
    <col min="10762" max="10762" width="16.125" style="641" customWidth="1"/>
    <col min="10763" max="10763" width="24.5" style="641" customWidth="1"/>
    <col min="10764" max="11006" width="9" style="641"/>
    <col min="11007" max="11007" width="1" style="641" customWidth="1"/>
    <col min="11008" max="11008" width="8.25" style="641" customWidth="1"/>
    <col min="11009" max="11009" width="5.625" style="641" customWidth="1"/>
    <col min="11010" max="11010" width="9.625" style="641" customWidth="1"/>
    <col min="11011" max="11012" width="31.125" style="641" customWidth="1"/>
    <col min="11013" max="11014" width="19.375" style="641" customWidth="1"/>
    <col min="11015" max="11016" width="11.125" style="641" customWidth="1"/>
    <col min="11017" max="11017" width="14.125" style="641" customWidth="1"/>
    <col min="11018" max="11018" width="16.125" style="641" customWidth="1"/>
    <col min="11019" max="11019" width="24.5" style="641" customWidth="1"/>
    <col min="11020" max="11262" width="9" style="641"/>
    <col min="11263" max="11263" width="1" style="641" customWidth="1"/>
    <col min="11264" max="11264" width="8.25" style="641" customWidth="1"/>
    <col min="11265" max="11265" width="5.625" style="641" customWidth="1"/>
    <col min="11266" max="11266" width="9.625" style="641" customWidth="1"/>
    <col min="11267" max="11268" width="31.125" style="641" customWidth="1"/>
    <col min="11269" max="11270" width="19.375" style="641" customWidth="1"/>
    <col min="11271" max="11272" width="11.125" style="641" customWidth="1"/>
    <col min="11273" max="11273" width="14.125" style="641" customWidth="1"/>
    <col min="11274" max="11274" width="16.125" style="641" customWidth="1"/>
    <col min="11275" max="11275" width="24.5" style="641" customWidth="1"/>
    <col min="11276" max="11518" width="9" style="641"/>
    <col min="11519" max="11519" width="1" style="641" customWidth="1"/>
    <col min="11520" max="11520" width="8.25" style="641" customWidth="1"/>
    <col min="11521" max="11521" width="5.625" style="641" customWidth="1"/>
    <col min="11522" max="11522" width="9.625" style="641" customWidth="1"/>
    <col min="11523" max="11524" width="31.125" style="641" customWidth="1"/>
    <col min="11525" max="11526" width="19.375" style="641" customWidth="1"/>
    <col min="11527" max="11528" width="11.125" style="641" customWidth="1"/>
    <col min="11529" max="11529" width="14.125" style="641" customWidth="1"/>
    <col min="11530" max="11530" width="16.125" style="641" customWidth="1"/>
    <col min="11531" max="11531" width="24.5" style="641" customWidth="1"/>
    <col min="11532" max="11774" width="9" style="641"/>
    <col min="11775" max="11775" width="1" style="641" customWidth="1"/>
    <col min="11776" max="11776" width="8.25" style="641" customWidth="1"/>
    <col min="11777" max="11777" width="5.625" style="641" customWidth="1"/>
    <col min="11778" max="11778" width="9.625" style="641" customWidth="1"/>
    <col min="11779" max="11780" width="31.125" style="641" customWidth="1"/>
    <col min="11781" max="11782" width="19.375" style="641" customWidth="1"/>
    <col min="11783" max="11784" width="11.125" style="641" customWidth="1"/>
    <col min="11785" max="11785" width="14.125" style="641" customWidth="1"/>
    <col min="11786" max="11786" width="16.125" style="641" customWidth="1"/>
    <col min="11787" max="11787" width="24.5" style="641" customWidth="1"/>
    <col min="11788" max="12030" width="9" style="641"/>
    <col min="12031" max="12031" width="1" style="641" customWidth="1"/>
    <col min="12032" max="12032" width="8.25" style="641" customWidth="1"/>
    <col min="12033" max="12033" width="5.625" style="641" customWidth="1"/>
    <col min="12034" max="12034" width="9.625" style="641" customWidth="1"/>
    <col min="12035" max="12036" width="31.125" style="641" customWidth="1"/>
    <col min="12037" max="12038" width="19.375" style="641" customWidth="1"/>
    <col min="12039" max="12040" width="11.125" style="641" customWidth="1"/>
    <col min="12041" max="12041" width="14.125" style="641" customWidth="1"/>
    <col min="12042" max="12042" width="16.125" style="641" customWidth="1"/>
    <col min="12043" max="12043" width="24.5" style="641" customWidth="1"/>
    <col min="12044" max="12286" width="9" style="641"/>
    <col min="12287" max="12287" width="1" style="641" customWidth="1"/>
    <col min="12288" max="12288" width="8.25" style="641" customWidth="1"/>
    <col min="12289" max="12289" width="5.625" style="641" customWidth="1"/>
    <col min="12290" max="12290" width="9.625" style="641" customWidth="1"/>
    <col min="12291" max="12292" width="31.125" style="641" customWidth="1"/>
    <col min="12293" max="12294" width="19.375" style="641" customWidth="1"/>
    <col min="12295" max="12296" width="11.125" style="641" customWidth="1"/>
    <col min="12297" max="12297" width="14.125" style="641" customWidth="1"/>
    <col min="12298" max="12298" width="16.125" style="641" customWidth="1"/>
    <col min="12299" max="12299" width="24.5" style="641" customWidth="1"/>
    <col min="12300" max="12542" width="9" style="641"/>
    <col min="12543" max="12543" width="1" style="641" customWidth="1"/>
    <col min="12544" max="12544" width="8.25" style="641" customWidth="1"/>
    <col min="12545" max="12545" width="5.625" style="641" customWidth="1"/>
    <col min="12546" max="12546" width="9.625" style="641" customWidth="1"/>
    <col min="12547" max="12548" width="31.125" style="641" customWidth="1"/>
    <col min="12549" max="12550" width="19.375" style="641" customWidth="1"/>
    <col min="12551" max="12552" width="11.125" style="641" customWidth="1"/>
    <col min="12553" max="12553" width="14.125" style="641" customWidth="1"/>
    <col min="12554" max="12554" width="16.125" style="641" customWidth="1"/>
    <col min="12555" max="12555" width="24.5" style="641" customWidth="1"/>
    <col min="12556" max="12798" width="9" style="641"/>
    <col min="12799" max="12799" width="1" style="641" customWidth="1"/>
    <col min="12800" max="12800" width="8.25" style="641" customWidth="1"/>
    <col min="12801" max="12801" width="5.625" style="641" customWidth="1"/>
    <col min="12802" max="12802" width="9.625" style="641" customWidth="1"/>
    <col min="12803" max="12804" width="31.125" style="641" customWidth="1"/>
    <col min="12805" max="12806" width="19.375" style="641" customWidth="1"/>
    <col min="12807" max="12808" width="11.125" style="641" customWidth="1"/>
    <col min="12809" max="12809" width="14.125" style="641" customWidth="1"/>
    <col min="12810" max="12810" width="16.125" style="641" customWidth="1"/>
    <col min="12811" max="12811" width="24.5" style="641" customWidth="1"/>
    <col min="12812" max="13054" width="9" style="641"/>
    <col min="13055" max="13055" width="1" style="641" customWidth="1"/>
    <col min="13056" max="13056" width="8.25" style="641" customWidth="1"/>
    <col min="13057" max="13057" width="5.625" style="641" customWidth="1"/>
    <col min="13058" max="13058" width="9.625" style="641" customWidth="1"/>
    <col min="13059" max="13060" width="31.125" style="641" customWidth="1"/>
    <col min="13061" max="13062" width="19.375" style="641" customWidth="1"/>
    <col min="13063" max="13064" width="11.125" style="641" customWidth="1"/>
    <col min="13065" max="13065" width="14.125" style="641" customWidth="1"/>
    <col min="13066" max="13066" width="16.125" style="641" customWidth="1"/>
    <col min="13067" max="13067" width="24.5" style="641" customWidth="1"/>
    <col min="13068" max="13310" width="9" style="641"/>
    <col min="13311" max="13311" width="1" style="641" customWidth="1"/>
    <col min="13312" max="13312" width="8.25" style="641" customWidth="1"/>
    <col min="13313" max="13313" width="5.625" style="641" customWidth="1"/>
    <col min="13314" max="13314" width="9.625" style="641" customWidth="1"/>
    <col min="13315" max="13316" width="31.125" style="641" customWidth="1"/>
    <col min="13317" max="13318" width="19.375" style="641" customWidth="1"/>
    <col min="13319" max="13320" width="11.125" style="641" customWidth="1"/>
    <col min="13321" max="13321" width="14.125" style="641" customWidth="1"/>
    <col min="13322" max="13322" width="16.125" style="641" customWidth="1"/>
    <col min="13323" max="13323" width="24.5" style="641" customWidth="1"/>
    <col min="13324" max="13566" width="9" style="641"/>
    <col min="13567" max="13567" width="1" style="641" customWidth="1"/>
    <col min="13568" max="13568" width="8.25" style="641" customWidth="1"/>
    <col min="13569" max="13569" width="5.625" style="641" customWidth="1"/>
    <col min="13570" max="13570" width="9.625" style="641" customWidth="1"/>
    <col min="13571" max="13572" width="31.125" style="641" customWidth="1"/>
    <col min="13573" max="13574" width="19.375" style="641" customWidth="1"/>
    <col min="13575" max="13576" width="11.125" style="641" customWidth="1"/>
    <col min="13577" max="13577" width="14.125" style="641" customWidth="1"/>
    <col min="13578" max="13578" width="16.125" style="641" customWidth="1"/>
    <col min="13579" max="13579" width="24.5" style="641" customWidth="1"/>
    <col min="13580" max="13822" width="9" style="641"/>
    <col min="13823" max="13823" width="1" style="641" customWidth="1"/>
    <col min="13824" max="13824" width="8.25" style="641" customWidth="1"/>
    <col min="13825" max="13825" width="5.625" style="641" customWidth="1"/>
    <col min="13826" max="13826" width="9.625" style="641" customWidth="1"/>
    <col min="13827" max="13828" width="31.125" style="641" customWidth="1"/>
    <col min="13829" max="13830" width="19.375" style="641" customWidth="1"/>
    <col min="13831" max="13832" width="11.125" style="641" customWidth="1"/>
    <col min="13833" max="13833" width="14.125" style="641" customWidth="1"/>
    <col min="13834" max="13834" width="16.125" style="641" customWidth="1"/>
    <col min="13835" max="13835" width="24.5" style="641" customWidth="1"/>
    <col min="13836" max="14078" width="9" style="641"/>
    <col min="14079" max="14079" width="1" style="641" customWidth="1"/>
    <col min="14080" max="14080" width="8.25" style="641" customWidth="1"/>
    <col min="14081" max="14081" width="5.625" style="641" customWidth="1"/>
    <col min="14082" max="14082" width="9.625" style="641" customWidth="1"/>
    <col min="14083" max="14084" width="31.125" style="641" customWidth="1"/>
    <col min="14085" max="14086" width="19.375" style="641" customWidth="1"/>
    <col min="14087" max="14088" width="11.125" style="641" customWidth="1"/>
    <col min="14089" max="14089" width="14.125" style="641" customWidth="1"/>
    <col min="14090" max="14090" width="16.125" style="641" customWidth="1"/>
    <col min="14091" max="14091" width="24.5" style="641" customWidth="1"/>
    <col min="14092" max="14334" width="9" style="641"/>
    <col min="14335" max="14335" width="1" style="641" customWidth="1"/>
    <col min="14336" max="14336" width="8.25" style="641" customWidth="1"/>
    <col min="14337" max="14337" width="5.625" style="641" customWidth="1"/>
    <col min="14338" max="14338" width="9.625" style="641" customWidth="1"/>
    <col min="14339" max="14340" width="31.125" style="641" customWidth="1"/>
    <col min="14341" max="14342" width="19.375" style="641" customWidth="1"/>
    <col min="14343" max="14344" width="11.125" style="641" customWidth="1"/>
    <col min="14345" max="14345" width="14.125" style="641" customWidth="1"/>
    <col min="14346" max="14346" width="16.125" style="641" customWidth="1"/>
    <col min="14347" max="14347" width="24.5" style="641" customWidth="1"/>
    <col min="14348" max="14590" width="9" style="641"/>
    <col min="14591" max="14591" width="1" style="641" customWidth="1"/>
    <col min="14592" max="14592" width="8.25" style="641" customWidth="1"/>
    <col min="14593" max="14593" width="5.625" style="641" customWidth="1"/>
    <col min="14594" max="14594" width="9.625" style="641" customWidth="1"/>
    <col min="14595" max="14596" width="31.125" style="641" customWidth="1"/>
    <col min="14597" max="14598" width="19.375" style="641" customWidth="1"/>
    <col min="14599" max="14600" width="11.125" style="641" customWidth="1"/>
    <col min="14601" max="14601" width="14.125" style="641" customWidth="1"/>
    <col min="14602" max="14602" width="16.125" style="641" customWidth="1"/>
    <col min="14603" max="14603" width="24.5" style="641" customWidth="1"/>
    <col min="14604" max="14846" width="9" style="641"/>
    <col min="14847" max="14847" width="1" style="641" customWidth="1"/>
    <col min="14848" max="14848" width="8.25" style="641" customWidth="1"/>
    <col min="14849" max="14849" width="5.625" style="641" customWidth="1"/>
    <col min="14850" max="14850" width="9.625" style="641" customWidth="1"/>
    <col min="14851" max="14852" width="31.125" style="641" customWidth="1"/>
    <col min="14853" max="14854" width="19.375" style="641" customWidth="1"/>
    <col min="14855" max="14856" width="11.125" style="641" customWidth="1"/>
    <col min="14857" max="14857" width="14.125" style="641" customWidth="1"/>
    <col min="14858" max="14858" width="16.125" style="641" customWidth="1"/>
    <col min="14859" max="14859" width="24.5" style="641" customWidth="1"/>
    <col min="14860" max="15102" width="9" style="641"/>
    <col min="15103" max="15103" width="1" style="641" customWidth="1"/>
    <col min="15104" max="15104" width="8.25" style="641" customWidth="1"/>
    <col min="15105" max="15105" width="5.625" style="641" customWidth="1"/>
    <col min="15106" max="15106" width="9.625" style="641" customWidth="1"/>
    <col min="15107" max="15108" width="31.125" style="641" customWidth="1"/>
    <col min="15109" max="15110" width="19.375" style="641" customWidth="1"/>
    <col min="15111" max="15112" width="11.125" style="641" customWidth="1"/>
    <col min="15113" max="15113" width="14.125" style="641" customWidth="1"/>
    <col min="15114" max="15114" width="16.125" style="641" customWidth="1"/>
    <col min="15115" max="15115" width="24.5" style="641" customWidth="1"/>
    <col min="15116" max="15358" width="9" style="641"/>
    <col min="15359" max="15359" width="1" style="641" customWidth="1"/>
    <col min="15360" max="15360" width="8.25" style="641" customWidth="1"/>
    <col min="15361" max="15361" width="5.625" style="641" customWidth="1"/>
    <col min="15362" max="15362" width="9.625" style="641" customWidth="1"/>
    <col min="15363" max="15364" width="31.125" style="641" customWidth="1"/>
    <col min="15365" max="15366" width="19.375" style="641" customWidth="1"/>
    <col min="15367" max="15368" width="11.125" style="641" customWidth="1"/>
    <col min="15369" max="15369" width="14.125" style="641" customWidth="1"/>
    <col min="15370" max="15370" width="16.125" style="641" customWidth="1"/>
    <col min="15371" max="15371" width="24.5" style="641" customWidth="1"/>
    <col min="15372" max="15614" width="9" style="641"/>
    <col min="15615" max="15615" width="1" style="641" customWidth="1"/>
    <col min="15616" max="15616" width="8.25" style="641" customWidth="1"/>
    <col min="15617" max="15617" width="5.625" style="641" customWidth="1"/>
    <col min="15618" max="15618" width="9.625" style="641" customWidth="1"/>
    <col min="15619" max="15620" width="31.125" style="641" customWidth="1"/>
    <col min="15621" max="15622" width="19.375" style="641" customWidth="1"/>
    <col min="15623" max="15624" width="11.125" style="641" customWidth="1"/>
    <col min="15625" max="15625" width="14.125" style="641" customWidth="1"/>
    <col min="15626" max="15626" width="16.125" style="641" customWidth="1"/>
    <col min="15627" max="15627" width="24.5" style="641" customWidth="1"/>
    <col min="15628" max="15870" width="9" style="641"/>
    <col min="15871" max="15871" width="1" style="641" customWidth="1"/>
    <col min="15872" max="15872" width="8.25" style="641" customWidth="1"/>
    <col min="15873" max="15873" width="5.625" style="641" customWidth="1"/>
    <col min="15874" max="15874" width="9.625" style="641" customWidth="1"/>
    <col min="15875" max="15876" width="31.125" style="641" customWidth="1"/>
    <col min="15877" max="15878" width="19.375" style="641" customWidth="1"/>
    <col min="15879" max="15880" width="11.125" style="641" customWidth="1"/>
    <col min="15881" max="15881" width="14.125" style="641" customWidth="1"/>
    <col min="15882" max="15882" width="16.125" style="641" customWidth="1"/>
    <col min="15883" max="15883" width="24.5" style="641" customWidth="1"/>
    <col min="15884" max="16126" width="9" style="641"/>
    <col min="16127" max="16127" width="1" style="641" customWidth="1"/>
    <col min="16128" max="16128" width="8.25" style="641" customWidth="1"/>
    <col min="16129" max="16129" width="5.625" style="641" customWidth="1"/>
    <col min="16130" max="16130" width="9.625" style="641" customWidth="1"/>
    <col min="16131" max="16132" width="31.125" style="641" customWidth="1"/>
    <col min="16133" max="16134" width="19.375" style="641" customWidth="1"/>
    <col min="16135" max="16136" width="11.125" style="641" customWidth="1"/>
    <col min="16137" max="16137" width="14.125" style="641" customWidth="1"/>
    <col min="16138" max="16138" width="16.125" style="641" customWidth="1"/>
    <col min="16139" max="16139" width="24.5" style="641" customWidth="1"/>
    <col min="16140" max="16384" width="9" style="641"/>
  </cols>
  <sheetData>
    <row r="1" spans="2:16" ht="48" customHeight="1">
      <c r="B1" s="658" t="s">
        <v>1073</v>
      </c>
      <c r="C1" s="659"/>
      <c r="D1" s="659"/>
      <c r="E1" s="659"/>
      <c r="F1" s="659"/>
      <c r="G1" s="660"/>
      <c r="H1" s="660"/>
      <c r="I1" s="660"/>
      <c r="J1" s="660"/>
      <c r="K1" s="660"/>
    </row>
    <row r="2" spans="2:16" ht="32.25">
      <c r="B2" s="661"/>
      <c r="C2" s="661"/>
      <c r="D2" s="661"/>
      <c r="E2" s="661"/>
      <c r="F2" s="661"/>
      <c r="G2" s="662"/>
      <c r="H2" s="662"/>
      <c r="I2" s="663"/>
      <c r="J2" s="663"/>
      <c r="K2" s="664" t="s">
        <v>1261</v>
      </c>
    </row>
    <row r="3" spans="2:16" ht="36.75" customHeight="1">
      <c r="B3" s="841" t="s">
        <v>1074</v>
      </c>
      <c r="C3" s="841"/>
      <c r="D3" s="841"/>
      <c r="E3" s="841"/>
      <c r="F3" s="665" t="s">
        <v>956</v>
      </c>
      <c r="G3" s="855" t="s">
        <v>960</v>
      </c>
      <c r="H3" s="855"/>
      <c r="I3" s="855" t="s">
        <v>474</v>
      </c>
      <c r="J3" s="855"/>
      <c r="K3" s="855"/>
    </row>
    <row r="4" spans="2:16" ht="36.75" customHeight="1">
      <c r="B4" s="852" t="str">
        <f>'01.入学願書'!AM11&amp;" "&amp;'01.入学願書'!AV11</f>
        <v>BUI VAN HAI</v>
      </c>
      <c r="C4" s="852"/>
      <c r="D4" s="852"/>
      <c r="E4" s="852"/>
      <c r="F4" s="852" t="str">
        <f>'01.入学願書'!H16</f>
        <v>Vietnam</v>
      </c>
      <c r="G4" s="856" t="str">
        <f>IF('01.入学願書'!H14="■","男",IF('01.入学願書'!L14="■","女",""))</f>
        <v>男</v>
      </c>
      <c r="H4" s="856"/>
      <c r="I4" s="857" t="str">
        <f>IF('01.入学願書'!Z14="","",'01.入学願書'!Z14&amp;'01.入学願書'!AG14&amp;'01.入学願書'!AI14&amp;'01.入学願書'!AL14&amp;'01.入学願書'!AN14&amp;'01.入学願書'!AQ14)</f>
        <v>1991年11月05日</v>
      </c>
      <c r="J4" s="857"/>
      <c r="K4" s="857"/>
    </row>
    <row r="5" spans="2:16" ht="36.75" customHeight="1">
      <c r="B5" s="852"/>
      <c r="C5" s="852"/>
      <c r="D5" s="852"/>
      <c r="E5" s="852"/>
      <c r="F5" s="852"/>
      <c r="G5" s="856"/>
      <c r="H5" s="856"/>
      <c r="I5" s="857"/>
      <c r="J5" s="857"/>
      <c r="K5" s="857"/>
    </row>
    <row r="6" spans="2:16" ht="24.75" customHeight="1" thickBot="1">
      <c r="B6" s="661"/>
      <c r="C6" s="661"/>
      <c r="D6" s="661"/>
      <c r="E6" s="661"/>
      <c r="F6" s="661"/>
      <c r="G6" s="662"/>
      <c r="H6" s="662"/>
      <c r="I6" s="662"/>
      <c r="J6" s="662"/>
      <c r="K6" s="662"/>
    </row>
    <row r="7" spans="2:16" s="657" customFormat="1" ht="36.75" customHeight="1">
      <c r="B7" s="842"/>
      <c r="C7" s="844" t="s">
        <v>1075</v>
      </c>
      <c r="D7" s="845"/>
      <c r="E7" s="845"/>
      <c r="F7" s="846"/>
      <c r="G7" s="850" t="s">
        <v>1076</v>
      </c>
      <c r="H7" s="850" t="s">
        <v>1077</v>
      </c>
      <c r="I7" s="844" t="s">
        <v>1078</v>
      </c>
      <c r="J7" s="845"/>
      <c r="K7" s="853"/>
      <c r="M7" s="641"/>
      <c r="N7" s="641"/>
      <c r="O7" s="641"/>
      <c r="P7" s="641"/>
    </row>
    <row r="8" spans="2:16" s="657" customFormat="1" ht="36.75" customHeight="1" thickBot="1">
      <c r="B8" s="843"/>
      <c r="C8" s="847"/>
      <c r="D8" s="848"/>
      <c r="E8" s="848"/>
      <c r="F8" s="849"/>
      <c r="G8" s="851"/>
      <c r="H8" s="851"/>
      <c r="I8" s="847"/>
      <c r="J8" s="848"/>
      <c r="K8" s="854"/>
      <c r="M8" s="641"/>
      <c r="N8" s="641"/>
      <c r="O8" s="641"/>
      <c r="P8" s="641"/>
    </row>
    <row r="9" spans="2:16" s="657" customFormat="1" ht="65.25" customHeight="1">
      <c r="B9" s="809">
        <v>1</v>
      </c>
      <c r="C9" s="867" t="s">
        <v>1079</v>
      </c>
      <c r="D9" s="868"/>
      <c r="E9" s="868"/>
      <c r="F9" s="869"/>
      <c r="G9" s="666"/>
      <c r="H9" s="667" t="s">
        <v>1080</v>
      </c>
      <c r="I9" s="668"/>
      <c r="J9" s="669"/>
      <c r="K9" s="670"/>
      <c r="M9" s="641"/>
      <c r="N9" s="641"/>
      <c r="O9" s="641"/>
      <c r="P9" s="641"/>
    </row>
    <row r="10" spans="2:16" ht="65.25" customHeight="1">
      <c r="B10" s="810">
        <v>2</v>
      </c>
      <c r="C10" s="870" t="s">
        <v>1238</v>
      </c>
      <c r="D10" s="871"/>
      <c r="E10" s="871"/>
      <c r="F10" s="872"/>
      <c r="G10" s="805"/>
      <c r="H10" s="677"/>
      <c r="I10" s="805"/>
      <c r="J10" s="806"/>
      <c r="K10" s="807"/>
    </row>
    <row r="11" spans="2:16" ht="65.25" customHeight="1">
      <c r="B11" s="810">
        <v>3</v>
      </c>
      <c r="C11" s="873" t="s">
        <v>1237</v>
      </c>
      <c r="D11" s="874"/>
      <c r="E11" s="874"/>
      <c r="F11" s="875"/>
      <c r="G11" s="801"/>
      <c r="H11" s="802" t="s">
        <v>1241</v>
      </c>
      <c r="I11" s="801"/>
      <c r="J11" s="803"/>
      <c r="K11" s="804"/>
    </row>
    <row r="12" spans="2:16" ht="65.25" customHeight="1">
      <c r="B12" s="810">
        <v>4</v>
      </c>
      <c r="C12" s="870" t="s">
        <v>1236</v>
      </c>
      <c r="D12" s="871"/>
      <c r="E12" s="871"/>
      <c r="F12" s="872"/>
      <c r="G12" s="673"/>
      <c r="H12" s="673"/>
      <c r="I12" s="673"/>
      <c r="J12" s="674"/>
      <c r="K12" s="675"/>
    </row>
    <row r="13" spans="2:16" ht="65.25" customHeight="1">
      <c r="B13" s="810">
        <v>5</v>
      </c>
      <c r="C13" s="870" t="s">
        <v>1082</v>
      </c>
      <c r="D13" s="871"/>
      <c r="E13" s="871"/>
      <c r="F13" s="872"/>
      <c r="G13" s="676"/>
      <c r="H13" s="677"/>
      <c r="I13" s="676"/>
      <c r="J13" s="678"/>
      <c r="K13" s="679"/>
    </row>
    <row r="14" spans="2:16" ht="65.25" customHeight="1">
      <c r="B14" s="810">
        <v>6</v>
      </c>
      <c r="C14" s="870" t="s">
        <v>1083</v>
      </c>
      <c r="D14" s="871"/>
      <c r="E14" s="871"/>
      <c r="F14" s="872"/>
      <c r="G14" s="676"/>
      <c r="H14" s="671"/>
      <c r="I14" s="676"/>
      <c r="J14" s="678"/>
      <c r="K14" s="679"/>
    </row>
    <row r="15" spans="2:16" ht="65.25" customHeight="1">
      <c r="B15" s="810">
        <v>7</v>
      </c>
      <c r="C15" s="861" t="s">
        <v>1084</v>
      </c>
      <c r="D15" s="862"/>
      <c r="E15" s="862"/>
      <c r="F15" s="863"/>
      <c r="G15" s="676"/>
      <c r="H15" s="680" t="s">
        <v>1081</v>
      </c>
      <c r="I15" s="676"/>
      <c r="J15" s="678"/>
      <c r="K15" s="679"/>
    </row>
    <row r="16" spans="2:16" ht="65.25" customHeight="1">
      <c r="B16" s="810">
        <v>8</v>
      </c>
      <c r="C16" s="870" t="s">
        <v>1085</v>
      </c>
      <c r="D16" s="871"/>
      <c r="E16" s="871"/>
      <c r="F16" s="872"/>
      <c r="G16" s="676"/>
      <c r="H16" s="680" t="s">
        <v>1081</v>
      </c>
      <c r="I16" s="676"/>
      <c r="J16" s="678"/>
      <c r="K16" s="679"/>
    </row>
    <row r="17" spans="2:11" ht="65.25" customHeight="1">
      <c r="B17" s="810">
        <v>9</v>
      </c>
      <c r="C17" s="870" t="s">
        <v>1086</v>
      </c>
      <c r="D17" s="871"/>
      <c r="E17" s="871"/>
      <c r="F17" s="872"/>
      <c r="G17" s="676"/>
      <c r="H17" s="680" t="s">
        <v>1081</v>
      </c>
      <c r="I17" s="676"/>
      <c r="J17" s="678"/>
      <c r="K17" s="679"/>
    </row>
    <row r="18" spans="2:11" ht="65.25" customHeight="1">
      <c r="B18" s="810">
        <v>10</v>
      </c>
      <c r="C18" s="861" t="s">
        <v>1087</v>
      </c>
      <c r="D18" s="862"/>
      <c r="E18" s="862"/>
      <c r="F18" s="863"/>
      <c r="G18" s="681"/>
      <c r="H18" s="671"/>
      <c r="I18" s="681"/>
      <c r="J18" s="682"/>
      <c r="K18" s="683"/>
    </row>
    <row r="19" spans="2:11" ht="65.25" customHeight="1" thickBot="1">
      <c r="B19" s="811"/>
      <c r="C19" s="684"/>
      <c r="D19" s="685"/>
      <c r="E19" s="685"/>
      <c r="F19" s="686"/>
      <c r="G19" s="687"/>
      <c r="H19" s="688"/>
      <c r="I19" s="687"/>
      <c r="J19" s="689"/>
      <c r="K19" s="690"/>
    </row>
    <row r="20" spans="2:11" ht="65.25" customHeight="1">
      <c r="B20" s="809">
        <v>11</v>
      </c>
      <c r="C20" s="867" t="s">
        <v>1088</v>
      </c>
      <c r="D20" s="868"/>
      <c r="E20" s="868"/>
      <c r="F20" s="869"/>
      <c r="G20" s="691"/>
      <c r="H20" s="672"/>
      <c r="I20" s="691"/>
      <c r="J20" s="692"/>
      <c r="K20" s="693"/>
    </row>
    <row r="21" spans="2:11" ht="65.25" customHeight="1">
      <c r="B21" s="812">
        <v>12</v>
      </c>
      <c r="C21" s="870" t="s">
        <v>1089</v>
      </c>
      <c r="D21" s="871"/>
      <c r="E21" s="871"/>
      <c r="F21" s="872"/>
      <c r="G21" s="676"/>
      <c r="H21" s="680"/>
      <c r="I21" s="676"/>
      <c r="J21" s="678"/>
      <c r="K21" s="679"/>
    </row>
    <row r="22" spans="2:11" ht="65.25" customHeight="1">
      <c r="B22" s="810">
        <v>13</v>
      </c>
      <c r="C22" s="870" t="s">
        <v>1090</v>
      </c>
      <c r="D22" s="871"/>
      <c r="E22" s="871"/>
      <c r="F22" s="872"/>
      <c r="G22" s="676"/>
      <c r="H22" s="671" t="s">
        <v>1241</v>
      </c>
      <c r="I22" s="676"/>
      <c r="J22" s="678"/>
      <c r="K22" s="679"/>
    </row>
    <row r="23" spans="2:11" ht="65.25" customHeight="1">
      <c r="B23" s="810">
        <v>14</v>
      </c>
      <c r="C23" s="861" t="s">
        <v>1239</v>
      </c>
      <c r="D23" s="862"/>
      <c r="E23" s="862"/>
      <c r="F23" s="863"/>
      <c r="G23" s="676"/>
      <c r="H23" s="676"/>
      <c r="I23" s="676"/>
      <c r="J23" s="678"/>
      <c r="K23" s="679"/>
    </row>
    <row r="24" spans="2:11" ht="65.25" customHeight="1">
      <c r="B24" s="810">
        <v>15</v>
      </c>
      <c r="C24" s="861" t="s">
        <v>1240</v>
      </c>
      <c r="D24" s="862"/>
      <c r="E24" s="862"/>
      <c r="F24" s="863"/>
      <c r="G24" s="694"/>
      <c r="H24" s="680"/>
      <c r="I24" s="694"/>
      <c r="J24" s="695"/>
      <c r="K24" s="696"/>
    </row>
    <row r="25" spans="2:11" ht="65.25" customHeight="1" thickBot="1">
      <c r="B25" s="813"/>
      <c r="C25" s="697"/>
      <c r="D25" s="698"/>
      <c r="E25" s="698"/>
      <c r="F25" s="699"/>
      <c r="G25" s="700"/>
      <c r="H25" s="701"/>
      <c r="I25" s="700"/>
      <c r="J25" s="702"/>
      <c r="K25" s="703"/>
    </row>
    <row r="26" spans="2:11" ht="65.25" customHeight="1">
      <c r="B26" s="814">
        <v>16</v>
      </c>
      <c r="C26" s="858" t="s">
        <v>1091</v>
      </c>
      <c r="D26" s="859"/>
      <c r="E26" s="859"/>
      <c r="F26" s="860"/>
      <c r="G26" s="704"/>
      <c r="H26" s="705" t="s">
        <v>1080</v>
      </c>
      <c r="I26" s="704"/>
      <c r="J26" s="706"/>
      <c r="K26" s="707"/>
    </row>
    <row r="27" spans="2:11" ht="65.25" customHeight="1">
      <c r="B27" s="810">
        <v>17</v>
      </c>
      <c r="C27" s="861" t="s">
        <v>1092</v>
      </c>
      <c r="D27" s="862"/>
      <c r="E27" s="862"/>
      <c r="F27" s="863"/>
      <c r="G27" s="676"/>
      <c r="H27" s="677" t="s">
        <v>1080</v>
      </c>
      <c r="I27" s="676"/>
      <c r="J27" s="678"/>
      <c r="K27" s="679"/>
    </row>
    <row r="28" spans="2:11" ht="65.25" customHeight="1" thickBot="1">
      <c r="B28" s="815"/>
      <c r="C28" s="864"/>
      <c r="D28" s="865"/>
      <c r="E28" s="865"/>
      <c r="F28" s="866"/>
      <c r="G28" s="708"/>
      <c r="H28" s="709"/>
      <c r="I28" s="708"/>
      <c r="J28" s="710"/>
      <c r="K28" s="711"/>
    </row>
    <row r="30" spans="2:11" ht="36.75" customHeight="1">
      <c r="B30" s="659"/>
      <c r="C30" s="659"/>
      <c r="D30" s="659"/>
      <c r="E30" s="659"/>
      <c r="F30" s="659"/>
      <c r="G30" s="660"/>
      <c r="H30" s="660"/>
      <c r="I30" s="660"/>
      <c r="J30" s="660"/>
      <c r="K30" s="660"/>
    </row>
    <row r="31" spans="2:11" ht="36.75" customHeight="1">
      <c r="B31" s="641"/>
      <c r="C31" s="641"/>
      <c r="D31" s="641"/>
      <c r="E31" s="641"/>
      <c r="F31" s="641"/>
      <c r="G31" s="641"/>
      <c r="H31" s="641"/>
      <c r="I31" s="641"/>
      <c r="J31" s="641"/>
      <c r="K31" s="641"/>
    </row>
    <row r="32" spans="2:11" ht="36.75" customHeight="1">
      <c r="B32" s="641"/>
      <c r="C32" s="641"/>
      <c r="D32" s="641"/>
      <c r="E32" s="641"/>
      <c r="F32" s="641"/>
      <c r="G32" s="641"/>
      <c r="H32" s="641"/>
      <c r="I32" s="641"/>
      <c r="J32" s="641"/>
      <c r="K32" s="641"/>
    </row>
    <row r="33" spans="2:11" ht="36.75" customHeight="1">
      <c r="B33" s="641"/>
      <c r="C33" s="641"/>
      <c r="D33" s="641"/>
      <c r="E33" s="641"/>
      <c r="F33" s="641"/>
      <c r="G33" s="641"/>
      <c r="H33" s="641"/>
      <c r="I33" s="641"/>
      <c r="J33" s="641"/>
      <c r="K33" s="641"/>
    </row>
    <row r="34" spans="2:11" ht="36.75" customHeight="1">
      <c r="B34" s="641"/>
      <c r="C34" s="641"/>
      <c r="D34" s="641"/>
      <c r="E34" s="641"/>
      <c r="F34" s="641"/>
      <c r="G34" s="641"/>
      <c r="H34" s="641"/>
      <c r="I34" s="641"/>
      <c r="J34" s="641"/>
      <c r="K34" s="641"/>
    </row>
    <row r="35" spans="2:11" ht="36.75" customHeight="1">
      <c r="B35" s="641"/>
      <c r="C35" s="641"/>
      <c r="D35" s="641"/>
      <c r="E35" s="641"/>
      <c r="F35" s="641"/>
      <c r="G35" s="641"/>
      <c r="H35" s="641"/>
      <c r="I35" s="641"/>
      <c r="J35" s="641"/>
      <c r="K35" s="641"/>
    </row>
    <row r="36" spans="2:11" ht="36.75" customHeight="1">
      <c r="B36" s="641"/>
      <c r="C36" s="641"/>
      <c r="D36" s="641"/>
      <c r="E36" s="641"/>
      <c r="F36" s="641"/>
      <c r="G36" s="641"/>
      <c r="H36" s="641"/>
      <c r="I36" s="641"/>
      <c r="J36" s="641"/>
      <c r="K36" s="641"/>
    </row>
    <row r="37" spans="2:11" ht="112.5" customHeight="1">
      <c r="B37" s="641"/>
      <c r="C37" s="641"/>
      <c r="D37" s="641"/>
      <c r="E37" s="641"/>
      <c r="F37" s="641"/>
      <c r="G37" s="641"/>
      <c r="H37" s="641"/>
      <c r="I37" s="641"/>
      <c r="J37" s="641"/>
      <c r="K37" s="641"/>
    </row>
    <row r="38" spans="2:11" ht="114.75" customHeight="1">
      <c r="B38" s="641"/>
      <c r="C38" s="641"/>
      <c r="D38" s="641"/>
      <c r="E38" s="641"/>
      <c r="F38" s="641"/>
      <c r="G38" s="641"/>
      <c r="H38" s="641"/>
      <c r="I38" s="641"/>
      <c r="J38" s="641"/>
      <c r="K38" s="641"/>
    </row>
    <row r="39" spans="2:11" ht="67.5" customHeight="1">
      <c r="B39" s="641"/>
      <c r="C39" s="641"/>
      <c r="D39" s="641"/>
      <c r="E39" s="641"/>
      <c r="F39" s="641"/>
      <c r="G39" s="641"/>
      <c r="H39" s="641"/>
      <c r="I39" s="641"/>
      <c r="J39" s="641"/>
      <c r="K39" s="641"/>
    </row>
    <row r="40" spans="2:11" ht="96" customHeight="1">
      <c r="B40" s="641"/>
      <c r="C40" s="641"/>
      <c r="D40" s="641"/>
      <c r="E40" s="641"/>
      <c r="F40" s="641"/>
      <c r="G40" s="641"/>
      <c r="H40" s="641"/>
      <c r="I40" s="641"/>
      <c r="J40" s="641"/>
      <c r="K40" s="641"/>
    </row>
    <row r="41" spans="2:11" ht="42.75" customHeight="1">
      <c r="B41" s="641"/>
      <c r="C41" s="641"/>
      <c r="D41" s="641"/>
      <c r="E41" s="641"/>
      <c r="F41" s="641"/>
      <c r="G41" s="641"/>
      <c r="H41" s="641"/>
      <c r="I41" s="641"/>
      <c r="J41" s="641"/>
      <c r="K41" s="641"/>
    </row>
    <row r="42" spans="2:11" ht="138.75" customHeight="1">
      <c r="B42" s="641"/>
      <c r="C42" s="641"/>
      <c r="D42" s="641"/>
      <c r="E42" s="641"/>
      <c r="F42" s="641"/>
      <c r="G42" s="641"/>
      <c r="H42" s="641"/>
      <c r="I42" s="641"/>
      <c r="J42" s="641"/>
      <c r="K42" s="641"/>
    </row>
    <row r="43" spans="2:11" ht="46.5" customHeight="1">
      <c r="B43" s="641"/>
      <c r="C43" s="641"/>
      <c r="D43" s="641"/>
      <c r="E43" s="641"/>
      <c r="F43" s="641"/>
      <c r="G43" s="641"/>
      <c r="H43" s="641"/>
      <c r="I43" s="641"/>
      <c r="J43" s="641"/>
      <c r="K43" s="641"/>
    </row>
    <row r="44" spans="2:11" ht="108" customHeight="1">
      <c r="B44" s="641"/>
      <c r="C44" s="641"/>
      <c r="D44" s="641"/>
      <c r="E44" s="641"/>
      <c r="F44" s="641"/>
      <c r="G44" s="641"/>
      <c r="H44" s="641"/>
      <c r="I44" s="641"/>
      <c r="J44" s="641"/>
      <c r="K44" s="641"/>
    </row>
    <row r="45" spans="2:11" ht="93.75" customHeight="1">
      <c r="B45" s="641"/>
      <c r="C45" s="641"/>
      <c r="D45" s="641"/>
      <c r="E45" s="641"/>
      <c r="F45" s="641"/>
      <c r="G45" s="641"/>
      <c r="H45" s="641"/>
      <c r="I45" s="641"/>
      <c r="J45" s="641"/>
      <c r="K45" s="641"/>
    </row>
    <row r="46" spans="2:11" ht="132" customHeight="1">
      <c r="B46" s="641"/>
      <c r="C46" s="641"/>
      <c r="D46" s="641"/>
      <c r="E46" s="641"/>
      <c r="F46" s="641"/>
      <c r="G46" s="641"/>
      <c r="H46" s="641"/>
      <c r="I46" s="641"/>
      <c r="J46" s="641"/>
      <c r="K46" s="641"/>
    </row>
    <row r="47" spans="2:11" ht="112.5" customHeight="1">
      <c r="B47" s="641"/>
      <c r="C47" s="641"/>
      <c r="D47" s="641"/>
      <c r="E47" s="641"/>
      <c r="F47" s="641"/>
      <c r="G47" s="641"/>
      <c r="H47" s="641"/>
      <c r="I47" s="641"/>
      <c r="J47" s="641"/>
      <c r="K47" s="641"/>
    </row>
    <row r="48" spans="2:11" ht="108.75" customHeight="1">
      <c r="B48" s="641"/>
      <c r="C48" s="641"/>
      <c r="D48" s="641"/>
      <c r="E48" s="641"/>
      <c r="F48" s="641"/>
      <c r="G48" s="641"/>
      <c r="H48" s="641"/>
      <c r="I48" s="641"/>
      <c r="J48" s="641"/>
      <c r="K48" s="641"/>
    </row>
    <row r="49" spans="2:11" ht="114.75" customHeight="1">
      <c r="B49" s="641"/>
      <c r="C49" s="641"/>
      <c r="D49" s="641"/>
      <c r="E49" s="641"/>
      <c r="F49" s="641"/>
      <c r="G49" s="641"/>
      <c r="H49" s="641"/>
      <c r="I49" s="641"/>
      <c r="J49" s="641"/>
      <c r="K49" s="641"/>
    </row>
    <row r="50" spans="2:11" ht="93.75" customHeight="1">
      <c r="B50" s="641"/>
      <c r="C50" s="641"/>
      <c r="D50" s="641"/>
      <c r="E50" s="641"/>
      <c r="F50" s="641"/>
      <c r="G50" s="641"/>
      <c r="H50" s="641"/>
      <c r="I50" s="641"/>
      <c r="J50" s="641"/>
      <c r="K50" s="641"/>
    </row>
    <row r="51" spans="2:11" ht="36.75" customHeight="1">
      <c r="B51" s="641"/>
      <c r="C51" s="641"/>
      <c r="D51" s="641"/>
      <c r="E51" s="641"/>
      <c r="F51" s="641"/>
      <c r="G51" s="641"/>
      <c r="H51" s="641"/>
      <c r="I51" s="641"/>
      <c r="J51" s="641"/>
      <c r="K51" s="641"/>
    </row>
    <row r="52" spans="2:11" ht="36.75" customHeight="1">
      <c r="B52" s="641"/>
      <c r="C52" s="641"/>
      <c r="D52" s="641"/>
      <c r="E52" s="641"/>
      <c r="F52" s="641"/>
      <c r="G52" s="641"/>
      <c r="H52" s="641"/>
      <c r="I52" s="641"/>
      <c r="J52" s="641"/>
      <c r="K52" s="641"/>
    </row>
    <row r="53" spans="2:11" ht="36.75" customHeight="1">
      <c r="B53" s="641"/>
      <c r="C53" s="641"/>
      <c r="D53" s="641"/>
      <c r="E53" s="641"/>
      <c r="F53" s="641"/>
      <c r="G53" s="641"/>
      <c r="H53" s="641"/>
      <c r="I53" s="641"/>
      <c r="J53" s="641"/>
      <c r="K53" s="641"/>
    </row>
    <row r="54" spans="2:11" ht="36.75" customHeight="1">
      <c r="B54" s="641"/>
      <c r="C54" s="641"/>
      <c r="D54" s="641"/>
      <c r="E54" s="641"/>
      <c r="F54" s="641"/>
      <c r="G54" s="641"/>
      <c r="H54" s="641"/>
      <c r="I54" s="641"/>
      <c r="J54" s="641"/>
      <c r="K54" s="641"/>
    </row>
  </sheetData>
  <mergeCells count="30">
    <mergeCell ref="C18:F18"/>
    <mergeCell ref="C9:F9"/>
    <mergeCell ref="C10:F10"/>
    <mergeCell ref="C11:F11"/>
    <mergeCell ref="C12:F12"/>
    <mergeCell ref="C13:F13"/>
    <mergeCell ref="C14:F14"/>
    <mergeCell ref="C15:F15"/>
    <mergeCell ref="C16:F16"/>
    <mergeCell ref="C17:F17"/>
    <mergeCell ref="C26:F26"/>
    <mergeCell ref="C27:F27"/>
    <mergeCell ref="C28:F28"/>
    <mergeCell ref="C20:F20"/>
    <mergeCell ref="C21:F21"/>
    <mergeCell ref="C22:F22"/>
    <mergeCell ref="C23:F23"/>
    <mergeCell ref="C24:F24"/>
    <mergeCell ref="I7:K8"/>
    <mergeCell ref="G3:H3"/>
    <mergeCell ref="I3:K3"/>
    <mergeCell ref="F4:F5"/>
    <mergeCell ref="G4:H5"/>
    <mergeCell ref="I4:K5"/>
    <mergeCell ref="B3:E3"/>
    <mergeCell ref="B7:B8"/>
    <mergeCell ref="C7:F8"/>
    <mergeCell ref="G7:G8"/>
    <mergeCell ref="H7:H8"/>
    <mergeCell ref="B4:E5"/>
  </mergeCells>
  <phoneticPr fontId="5"/>
  <dataValidations disablePrompts="1" count="1">
    <dataValidation type="list" allowBlank="1" showInputMessage="1" showErrorMessage="1" sqref="WVK983072:WVM983073 IY4:JA5 SU4:SW5 ACQ4:ACS5 AMM4:AMO5 AWI4:AWK5 BGE4:BGG5 BQA4:BQC5 BZW4:BZY5 CJS4:CJU5 CTO4:CTQ5 DDK4:DDM5 DNG4:DNI5 DXC4:DXE5 EGY4:EHA5 EQU4:EQW5 FAQ4:FAS5 FKM4:FKO5 FUI4:FUK5 GEE4:GEG5 GOA4:GOC5 GXW4:GXY5 HHS4:HHU5 HRO4:HRQ5 IBK4:IBM5 ILG4:ILI5 IVC4:IVE5 JEY4:JFA5 JOU4:JOW5 JYQ4:JYS5 KIM4:KIO5 KSI4:KSK5 LCE4:LCG5 LMA4:LMC5 LVW4:LVY5 MFS4:MFU5 MPO4:MPQ5 MZK4:MZM5 NJG4:NJI5 NTC4:NTE5 OCY4:ODA5 OMU4:OMW5 OWQ4:OWS5 PGM4:PGO5 PQI4:PQK5 QAE4:QAG5 QKA4:QKC5 QTW4:QTY5 RDS4:RDU5 RNO4:RNQ5 RXK4:RXM5 SHG4:SHI5 SRC4:SRE5 TAY4:TBA5 TKU4:TKW5 TUQ4:TUS5 UEM4:UEO5 UOI4:UOK5 UYE4:UYG5 VIA4:VIC5 VRW4:VRY5 WBS4:WBU5 WLO4:WLQ5 WVK4:WVM5 C65538:E65539 IY65538:JA65539 SU65538:SW65539 ACQ65538:ACS65539 AMM65538:AMO65539 AWI65538:AWK65539 BGE65538:BGG65539 BQA65538:BQC65539 BZW65538:BZY65539 CJS65538:CJU65539 CTO65538:CTQ65539 DDK65538:DDM65539 DNG65538:DNI65539 DXC65538:DXE65539 EGY65538:EHA65539 EQU65538:EQW65539 FAQ65538:FAS65539 FKM65538:FKO65539 FUI65538:FUK65539 GEE65538:GEG65539 GOA65538:GOC65539 GXW65538:GXY65539 HHS65538:HHU65539 HRO65538:HRQ65539 IBK65538:IBM65539 ILG65538:ILI65539 IVC65538:IVE65539 JEY65538:JFA65539 JOU65538:JOW65539 JYQ65538:JYS65539 KIM65538:KIO65539 KSI65538:KSK65539 LCE65538:LCG65539 LMA65538:LMC65539 LVW65538:LVY65539 MFS65538:MFU65539 MPO65538:MPQ65539 MZK65538:MZM65539 NJG65538:NJI65539 NTC65538:NTE65539 OCY65538:ODA65539 OMU65538:OMW65539 OWQ65538:OWS65539 PGM65538:PGO65539 PQI65538:PQK65539 QAE65538:QAG65539 QKA65538:QKC65539 QTW65538:QTY65539 RDS65538:RDU65539 RNO65538:RNQ65539 RXK65538:RXM65539 SHG65538:SHI65539 SRC65538:SRE65539 TAY65538:TBA65539 TKU65538:TKW65539 TUQ65538:TUS65539 UEM65538:UEO65539 UOI65538:UOK65539 UYE65538:UYG65539 VIA65538:VIC65539 VRW65538:VRY65539 WBS65538:WBU65539 WLO65538:WLQ65539 WVK65538:WVM65539 C131074:E131075 IY131074:JA131075 SU131074:SW131075 ACQ131074:ACS131075 AMM131074:AMO131075 AWI131074:AWK131075 BGE131074:BGG131075 BQA131074:BQC131075 BZW131074:BZY131075 CJS131074:CJU131075 CTO131074:CTQ131075 DDK131074:DDM131075 DNG131074:DNI131075 DXC131074:DXE131075 EGY131074:EHA131075 EQU131074:EQW131075 FAQ131074:FAS131075 FKM131074:FKO131075 FUI131074:FUK131075 GEE131074:GEG131075 GOA131074:GOC131075 GXW131074:GXY131075 HHS131074:HHU131075 HRO131074:HRQ131075 IBK131074:IBM131075 ILG131074:ILI131075 IVC131074:IVE131075 JEY131074:JFA131075 JOU131074:JOW131075 JYQ131074:JYS131075 KIM131074:KIO131075 KSI131074:KSK131075 LCE131074:LCG131075 LMA131074:LMC131075 LVW131074:LVY131075 MFS131074:MFU131075 MPO131074:MPQ131075 MZK131074:MZM131075 NJG131074:NJI131075 NTC131074:NTE131075 OCY131074:ODA131075 OMU131074:OMW131075 OWQ131074:OWS131075 PGM131074:PGO131075 PQI131074:PQK131075 QAE131074:QAG131075 QKA131074:QKC131075 QTW131074:QTY131075 RDS131074:RDU131075 RNO131074:RNQ131075 RXK131074:RXM131075 SHG131074:SHI131075 SRC131074:SRE131075 TAY131074:TBA131075 TKU131074:TKW131075 TUQ131074:TUS131075 UEM131074:UEO131075 UOI131074:UOK131075 UYE131074:UYG131075 VIA131074:VIC131075 VRW131074:VRY131075 WBS131074:WBU131075 WLO131074:WLQ131075 WVK131074:WVM131075 C196610:E196611 IY196610:JA196611 SU196610:SW196611 ACQ196610:ACS196611 AMM196610:AMO196611 AWI196610:AWK196611 BGE196610:BGG196611 BQA196610:BQC196611 BZW196610:BZY196611 CJS196610:CJU196611 CTO196610:CTQ196611 DDK196610:DDM196611 DNG196610:DNI196611 DXC196610:DXE196611 EGY196610:EHA196611 EQU196610:EQW196611 FAQ196610:FAS196611 FKM196610:FKO196611 FUI196610:FUK196611 GEE196610:GEG196611 GOA196610:GOC196611 GXW196610:GXY196611 HHS196610:HHU196611 HRO196610:HRQ196611 IBK196610:IBM196611 ILG196610:ILI196611 IVC196610:IVE196611 JEY196610:JFA196611 JOU196610:JOW196611 JYQ196610:JYS196611 KIM196610:KIO196611 KSI196610:KSK196611 LCE196610:LCG196611 LMA196610:LMC196611 LVW196610:LVY196611 MFS196610:MFU196611 MPO196610:MPQ196611 MZK196610:MZM196611 NJG196610:NJI196611 NTC196610:NTE196611 OCY196610:ODA196611 OMU196610:OMW196611 OWQ196610:OWS196611 PGM196610:PGO196611 PQI196610:PQK196611 QAE196610:QAG196611 QKA196610:QKC196611 QTW196610:QTY196611 RDS196610:RDU196611 RNO196610:RNQ196611 RXK196610:RXM196611 SHG196610:SHI196611 SRC196610:SRE196611 TAY196610:TBA196611 TKU196610:TKW196611 TUQ196610:TUS196611 UEM196610:UEO196611 UOI196610:UOK196611 UYE196610:UYG196611 VIA196610:VIC196611 VRW196610:VRY196611 WBS196610:WBU196611 WLO196610:WLQ196611 WVK196610:WVM196611 C262146:E262147 IY262146:JA262147 SU262146:SW262147 ACQ262146:ACS262147 AMM262146:AMO262147 AWI262146:AWK262147 BGE262146:BGG262147 BQA262146:BQC262147 BZW262146:BZY262147 CJS262146:CJU262147 CTO262146:CTQ262147 DDK262146:DDM262147 DNG262146:DNI262147 DXC262146:DXE262147 EGY262146:EHA262147 EQU262146:EQW262147 FAQ262146:FAS262147 FKM262146:FKO262147 FUI262146:FUK262147 GEE262146:GEG262147 GOA262146:GOC262147 GXW262146:GXY262147 HHS262146:HHU262147 HRO262146:HRQ262147 IBK262146:IBM262147 ILG262146:ILI262147 IVC262146:IVE262147 JEY262146:JFA262147 JOU262146:JOW262147 JYQ262146:JYS262147 KIM262146:KIO262147 KSI262146:KSK262147 LCE262146:LCG262147 LMA262146:LMC262147 LVW262146:LVY262147 MFS262146:MFU262147 MPO262146:MPQ262147 MZK262146:MZM262147 NJG262146:NJI262147 NTC262146:NTE262147 OCY262146:ODA262147 OMU262146:OMW262147 OWQ262146:OWS262147 PGM262146:PGO262147 PQI262146:PQK262147 QAE262146:QAG262147 QKA262146:QKC262147 QTW262146:QTY262147 RDS262146:RDU262147 RNO262146:RNQ262147 RXK262146:RXM262147 SHG262146:SHI262147 SRC262146:SRE262147 TAY262146:TBA262147 TKU262146:TKW262147 TUQ262146:TUS262147 UEM262146:UEO262147 UOI262146:UOK262147 UYE262146:UYG262147 VIA262146:VIC262147 VRW262146:VRY262147 WBS262146:WBU262147 WLO262146:WLQ262147 WVK262146:WVM262147 C327682:E327683 IY327682:JA327683 SU327682:SW327683 ACQ327682:ACS327683 AMM327682:AMO327683 AWI327682:AWK327683 BGE327682:BGG327683 BQA327682:BQC327683 BZW327682:BZY327683 CJS327682:CJU327683 CTO327682:CTQ327683 DDK327682:DDM327683 DNG327682:DNI327683 DXC327682:DXE327683 EGY327682:EHA327683 EQU327682:EQW327683 FAQ327682:FAS327683 FKM327682:FKO327683 FUI327682:FUK327683 GEE327682:GEG327683 GOA327682:GOC327683 GXW327682:GXY327683 HHS327682:HHU327683 HRO327682:HRQ327683 IBK327682:IBM327683 ILG327682:ILI327683 IVC327682:IVE327683 JEY327682:JFA327683 JOU327682:JOW327683 JYQ327682:JYS327683 KIM327682:KIO327683 KSI327682:KSK327683 LCE327682:LCG327683 LMA327682:LMC327683 LVW327682:LVY327683 MFS327682:MFU327683 MPO327682:MPQ327683 MZK327682:MZM327683 NJG327682:NJI327683 NTC327682:NTE327683 OCY327682:ODA327683 OMU327682:OMW327683 OWQ327682:OWS327683 PGM327682:PGO327683 PQI327682:PQK327683 QAE327682:QAG327683 QKA327682:QKC327683 QTW327682:QTY327683 RDS327682:RDU327683 RNO327682:RNQ327683 RXK327682:RXM327683 SHG327682:SHI327683 SRC327682:SRE327683 TAY327682:TBA327683 TKU327682:TKW327683 TUQ327682:TUS327683 UEM327682:UEO327683 UOI327682:UOK327683 UYE327682:UYG327683 VIA327682:VIC327683 VRW327682:VRY327683 WBS327682:WBU327683 WLO327682:WLQ327683 WVK327682:WVM327683 C393218:E393219 IY393218:JA393219 SU393218:SW393219 ACQ393218:ACS393219 AMM393218:AMO393219 AWI393218:AWK393219 BGE393218:BGG393219 BQA393218:BQC393219 BZW393218:BZY393219 CJS393218:CJU393219 CTO393218:CTQ393219 DDK393218:DDM393219 DNG393218:DNI393219 DXC393218:DXE393219 EGY393218:EHA393219 EQU393218:EQW393219 FAQ393218:FAS393219 FKM393218:FKO393219 FUI393218:FUK393219 GEE393218:GEG393219 GOA393218:GOC393219 GXW393218:GXY393219 HHS393218:HHU393219 HRO393218:HRQ393219 IBK393218:IBM393219 ILG393218:ILI393219 IVC393218:IVE393219 JEY393218:JFA393219 JOU393218:JOW393219 JYQ393218:JYS393219 KIM393218:KIO393219 KSI393218:KSK393219 LCE393218:LCG393219 LMA393218:LMC393219 LVW393218:LVY393219 MFS393218:MFU393219 MPO393218:MPQ393219 MZK393218:MZM393219 NJG393218:NJI393219 NTC393218:NTE393219 OCY393218:ODA393219 OMU393218:OMW393219 OWQ393218:OWS393219 PGM393218:PGO393219 PQI393218:PQK393219 QAE393218:QAG393219 QKA393218:QKC393219 QTW393218:QTY393219 RDS393218:RDU393219 RNO393218:RNQ393219 RXK393218:RXM393219 SHG393218:SHI393219 SRC393218:SRE393219 TAY393218:TBA393219 TKU393218:TKW393219 TUQ393218:TUS393219 UEM393218:UEO393219 UOI393218:UOK393219 UYE393218:UYG393219 VIA393218:VIC393219 VRW393218:VRY393219 WBS393218:WBU393219 WLO393218:WLQ393219 WVK393218:WVM393219 C458754:E458755 IY458754:JA458755 SU458754:SW458755 ACQ458754:ACS458755 AMM458754:AMO458755 AWI458754:AWK458755 BGE458754:BGG458755 BQA458754:BQC458755 BZW458754:BZY458755 CJS458754:CJU458755 CTO458754:CTQ458755 DDK458754:DDM458755 DNG458754:DNI458755 DXC458754:DXE458755 EGY458754:EHA458755 EQU458754:EQW458755 FAQ458754:FAS458755 FKM458754:FKO458755 FUI458754:FUK458755 GEE458754:GEG458755 GOA458754:GOC458755 GXW458754:GXY458755 HHS458754:HHU458755 HRO458754:HRQ458755 IBK458754:IBM458755 ILG458754:ILI458755 IVC458754:IVE458755 JEY458754:JFA458755 JOU458754:JOW458755 JYQ458754:JYS458755 KIM458754:KIO458755 KSI458754:KSK458755 LCE458754:LCG458755 LMA458754:LMC458755 LVW458754:LVY458755 MFS458754:MFU458755 MPO458754:MPQ458755 MZK458754:MZM458755 NJG458754:NJI458755 NTC458754:NTE458755 OCY458754:ODA458755 OMU458754:OMW458755 OWQ458754:OWS458755 PGM458754:PGO458755 PQI458754:PQK458755 QAE458754:QAG458755 QKA458754:QKC458755 QTW458754:QTY458755 RDS458754:RDU458755 RNO458754:RNQ458755 RXK458754:RXM458755 SHG458754:SHI458755 SRC458754:SRE458755 TAY458754:TBA458755 TKU458754:TKW458755 TUQ458754:TUS458755 UEM458754:UEO458755 UOI458754:UOK458755 UYE458754:UYG458755 VIA458754:VIC458755 VRW458754:VRY458755 WBS458754:WBU458755 WLO458754:WLQ458755 WVK458754:WVM458755 C524290:E524291 IY524290:JA524291 SU524290:SW524291 ACQ524290:ACS524291 AMM524290:AMO524291 AWI524290:AWK524291 BGE524290:BGG524291 BQA524290:BQC524291 BZW524290:BZY524291 CJS524290:CJU524291 CTO524290:CTQ524291 DDK524290:DDM524291 DNG524290:DNI524291 DXC524290:DXE524291 EGY524290:EHA524291 EQU524290:EQW524291 FAQ524290:FAS524291 FKM524290:FKO524291 FUI524290:FUK524291 GEE524290:GEG524291 GOA524290:GOC524291 GXW524290:GXY524291 HHS524290:HHU524291 HRO524290:HRQ524291 IBK524290:IBM524291 ILG524290:ILI524291 IVC524290:IVE524291 JEY524290:JFA524291 JOU524290:JOW524291 JYQ524290:JYS524291 KIM524290:KIO524291 KSI524290:KSK524291 LCE524290:LCG524291 LMA524290:LMC524291 LVW524290:LVY524291 MFS524290:MFU524291 MPO524290:MPQ524291 MZK524290:MZM524291 NJG524290:NJI524291 NTC524290:NTE524291 OCY524290:ODA524291 OMU524290:OMW524291 OWQ524290:OWS524291 PGM524290:PGO524291 PQI524290:PQK524291 QAE524290:QAG524291 QKA524290:QKC524291 QTW524290:QTY524291 RDS524290:RDU524291 RNO524290:RNQ524291 RXK524290:RXM524291 SHG524290:SHI524291 SRC524290:SRE524291 TAY524290:TBA524291 TKU524290:TKW524291 TUQ524290:TUS524291 UEM524290:UEO524291 UOI524290:UOK524291 UYE524290:UYG524291 VIA524290:VIC524291 VRW524290:VRY524291 WBS524290:WBU524291 WLO524290:WLQ524291 WVK524290:WVM524291 C589826:E589827 IY589826:JA589827 SU589826:SW589827 ACQ589826:ACS589827 AMM589826:AMO589827 AWI589826:AWK589827 BGE589826:BGG589827 BQA589826:BQC589827 BZW589826:BZY589827 CJS589826:CJU589827 CTO589826:CTQ589827 DDK589826:DDM589827 DNG589826:DNI589827 DXC589826:DXE589827 EGY589826:EHA589827 EQU589826:EQW589827 FAQ589826:FAS589827 FKM589826:FKO589827 FUI589826:FUK589827 GEE589826:GEG589827 GOA589826:GOC589827 GXW589826:GXY589827 HHS589826:HHU589827 HRO589826:HRQ589827 IBK589826:IBM589827 ILG589826:ILI589827 IVC589826:IVE589827 JEY589826:JFA589827 JOU589826:JOW589827 JYQ589826:JYS589827 KIM589826:KIO589827 KSI589826:KSK589827 LCE589826:LCG589827 LMA589826:LMC589827 LVW589826:LVY589827 MFS589826:MFU589827 MPO589826:MPQ589827 MZK589826:MZM589827 NJG589826:NJI589827 NTC589826:NTE589827 OCY589826:ODA589827 OMU589826:OMW589827 OWQ589826:OWS589827 PGM589826:PGO589827 PQI589826:PQK589827 QAE589826:QAG589827 QKA589826:QKC589827 QTW589826:QTY589827 RDS589826:RDU589827 RNO589826:RNQ589827 RXK589826:RXM589827 SHG589826:SHI589827 SRC589826:SRE589827 TAY589826:TBA589827 TKU589826:TKW589827 TUQ589826:TUS589827 UEM589826:UEO589827 UOI589826:UOK589827 UYE589826:UYG589827 VIA589826:VIC589827 VRW589826:VRY589827 WBS589826:WBU589827 WLO589826:WLQ589827 WVK589826:WVM589827 C655362:E655363 IY655362:JA655363 SU655362:SW655363 ACQ655362:ACS655363 AMM655362:AMO655363 AWI655362:AWK655363 BGE655362:BGG655363 BQA655362:BQC655363 BZW655362:BZY655363 CJS655362:CJU655363 CTO655362:CTQ655363 DDK655362:DDM655363 DNG655362:DNI655363 DXC655362:DXE655363 EGY655362:EHA655363 EQU655362:EQW655363 FAQ655362:FAS655363 FKM655362:FKO655363 FUI655362:FUK655363 GEE655362:GEG655363 GOA655362:GOC655363 GXW655362:GXY655363 HHS655362:HHU655363 HRO655362:HRQ655363 IBK655362:IBM655363 ILG655362:ILI655363 IVC655362:IVE655363 JEY655362:JFA655363 JOU655362:JOW655363 JYQ655362:JYS655363 KIM655362:KIO655363 KSI655362:KSK655363 LCE655362:LCG655363 LMA655362:LMC655363 LVW655362:LVY655363 MFS655362:MFU655363 MPO655362:MPQ655363 MZK655362:MZM655363 NJG655362:NJI655363 NTC655362:NTE655363 OCY655362:ODA655363 OMU655362:OMW655363 OWQ655362:OWS655363 PGM655362:PGO655363 PQI655362:PQK655363 QAE655362:QAG655363 QKA655362:QKC655363 QTW655362:QTY655363 RDS655362:RDU655363 RNO655362:RNQ655363 RXK655362:RXM655363 SHG655362:SHI655363 SRC655362:SRE655363 TAY655362:TBA655363 TKU655362:TKW655363 TUQ655362:TUS655363 UEM655362:UEO655363 UOI655362:UOK655363 UYE655362:UYG655363 VIA655362:VIC655363 VRW655362:VRY655363 WBS655362:WBU655363 WLO655362:WLQ655363 WVK655362:WVM655363 C720898:E720899 IY720898:JA720899 SU720898:SW720899 ACQ720898:ACS720899 AMM720898:AMO720899 AWI720898:AWK720899 BGE720898:BGG720899 BQA720898:BQC720899 BZW720898:BZY720899 CJS720898:CJU720899 CTO720898:CTQ720899 DDK720898:DDM720899 DNG720898:DNI720899 DXC720898:DXE720899 EGY720898:EHA720899 EQU720898:EQW720899 FAQ720898:FAS720899 FKM720898:FKO720899 FUI720898:FUK720899 GEE720898:GEG720899 GOA720898:GOC720899 GXW720898:GXY720899 HHS720898:HHU720899 HRO720898:HRQ720899 IBK720898:IBM720899 ILG720898:ILI720899 IVC720898:IVE720899 JEY720898:JFA720899 JOU720898:JOW720899 JYQ720898:JYS720899 KIM720898:KIO720899 KSI720898:KSK720899 LCE720898:LCG720899 LMA720898:LMC720899 LVW720898:LVY720899 MFS720898:MFU720899 MPO720898:MPQ720899 MZK720898:MZM720899 NJG720898:NJI720899 NTC720898:NTE720899 OCY720898:ODA720899 OMU720898:OMW720899 OWQ720898:OWS720899 PGM720898:PGO720899 PQI720898:PQK720899 QAE720898:QAG720899 QKA720898:QKC720899 QTW720898:QTY720899 RDS720898:RDU720899 RNO720898:RNQ720899 RXK720898:RXM720899 SHG720898:SHI720899 SRC720898:SRE720899 TAY720898:TBA720899 TKU720898:TKW720899 TUQ720898:TUS720899 UEM720898:UEO720899 UOI720898:UOK720899 UYE720898:UYG720899 VIA720898:VIC720899 VRW720898:VRY720899 WBS720898:WBU720899 WLO720898:WLQ720899 WVK720898:WVM720899 C786434:E786435 IY786434:JA786435 SU786434:SW786435 ACQ786434:ACS786435 AMM786434:AMO786435 AWI786434:AWK786435 BGE786434:BGG786435 BQA786434:BQC786435 BZW786434:BZY786435 CJS786434:CJU786435 CTO786434:CTQ786435 DDK786434:DDM786435 DNG786434:DNI786435 DXC786434:DXE786435 EGY786434:EHA786435 EQU786434:EQW786435 FAQ786434:FAS786435 FKM786434:FKO786435 FUI786434:FUK786435 GEE786434:GEG786435 GOA786434:GOC786435 GXW786434:GXY786435 HHS786434:HHU786435 HRO786434:HRQ786435 IBK786434:IBM786435 ILG786434:ILI786435 IVC786434:IVE786435 JEY786434:JFA786435 JOU786434:JOW786435 JYQ786434:JYS786435 KIM786434:KIO786435 KSI786434:KSK786435 LCE786434:LCG786435 LMA786434:LMC786435 LVW786434:LVY786435 MFS786434:MFU786435 MPO786434:MPQ786435 MZK786434:MZM786435 NJG786434:NJI786435 NTC786434:NTE786435 OCY786434:ODA786435 OMU786434:OMW786435 OWQ786434:OWS786435 PGM786434:PGO786435 PQI786434:PQK786435 QAE786434:QAG786435 QKA786434:QKC786435 QTW786434:QTY786435 RDS786434:RDU786435 RNO786434:RNQ786435 RXK786434:RXM786435 SHG786434:SHI786435 SRC786434:SRE786435 TAY786434:TBA786435 TKU786434:TKW786435 TUQ786434:TUS786435 UEM786434:UEO786435 UOI786434:UOK786435 UYE786434:UYG786435 VIA786434:VIC786435 VRW786434:VRY786435 WBS786434:WBU786435 WLO786434:WLQ786435 WVK786434:WVM786435 C851970:E851971 IY851970:JA851971 SU851970:SW851971 ACQ851970:ACS851971 AMM851970:AMO851971 AWI851970:AWK851971 BGE851970:BGG851971 BQA851970:BQC851971 BZW851970:BZY851971 CJS851970:CJU851971 CTO851970:CTQ851971 DDK851970:DDM851971 DNG851970:DNI851971 DXC851970:DXE851971 EGY851970:EHA851971 EQU851970:EQW851971 FAQ851970:FAS851971 FKM851970:FKO851971 FUI851970:FUK851971 GEE851970:GEG851971 GOA851970:GOC851971 GXW851970:GXY851971 HHS851970:HHU851971 HRO851970:HRQ851971 IBK851970:IBM851971 ILG851970:ILI851971 IVC851970:IVE851971 JEY851970:JFA851971 JOU851970:JOW851971 JYQ851970:JYS851971 KIM851970:KIO851971 KSI851970:KSK851971 LCE851970:LCG851971 LMA851970:LMC851971 LVW851970:LVY851971 MFS851970:MFU851971 MPO851970:MPQ851971 MZK851970:MZM851971 NJG851970:NJI851971 NTC851970:NTE851971 OCY851970:ODA851971 OMU851970:OMW851971 OWQ851970:OWS851971 PGM851970:PGO851971 PQI851970:PQK851971 QAE851970:QAG851971 QKA851970:QKC851971 QTW851970:QTY851971 RDS851970:RDU851971 RNO851970:RNQ851971 RXK851970:RXM851971 SHG851970:SHI851971 SRC851970:SRE851971 TAY851970:TBA851971 TKU851970:TKW851971 TUQ851970:TUS851971 UEM851970:UEO851971 UOI851970:UOK851971 UYE851970:UYG851971 VIA851970:VIC851971 VRW851970:VRY851971 WBS851970:WBU851971 WLO851970:WLQ851971 WVK851970:WVM851971 C917506:E917507 IY917506:JA917507 SU917506:SW917507 ACQ917506:ACS917507 AMM917506:AMO917507 AWI917506:AWK917507 BGE917506:BGG917507 BQA917506:BQC917507 BZW917506:BZY917507 CJS917506:CJU917507 CTO917506:CTQ917507 DDK917506:DDM917507 DNG917506:DNI917507 DXC917506:DXE917507 EGY917506:EHA917507 EQU917506:EQW917507 FAQ917506:FAS917507 FKM917506:FKO917507 FUI917506:FUK917507 GEE917506:GEG917507 GOA917506:GOC917507 GXW917506:GXY917507 HHS917506:HHU917507 HRO917506:HRQ917507 IBK917506:IBM917507 ILG917506:ILI917507 IVC917506:IVE917507 JEY917506:JFA917507 JOU917506:JOW917507 JYQ917506:JYS917507 KIM917506:KIO917507 KSI917506:KSK917507 LCE917506:LCG917507 LMA917506:LMC917507 LVW917506:LVY917507 MFS917506:MFU917507 MPO917506:MPQ917507 MZK917506:MZM917507 NJG917506:NJI917507 NTC917506:NTE917507 OCY917506:ODA917507 OMU917506:OMW917507 OWQ917506:OWS917507 PGM917506:PGO917507 PQI917506:PQK917507 QAE917506:QAG917507 QKA917506:QKC917507 QTW917506:QTY917507 RDS917506:RDU917507 RNO917506:RNQ917507 RXK917506:RXM917507 SHG917506:SHI917507 SRC917506:SRE917507 TAY917506:TBA917507 TKU917506:TKW917507 TUQ917506:TUS917507 UEM917506:UEO917507 UOI917506:UOK917507 UYE917506:UYG917507 VIA917506:VIC917507 VRW917506:VRY917507 WBS917506:WBU917507 WLO917506:WLQ917507 WVK917506:WVM917507 C983042:E983043 IY983042:JA983043 SU983042:SW983043 ACQ983042:ACS983043 AMM983042:AMO983043 AWI983042:AWK983043 BGE983042:BGG983043 BQA983042:BQC983043 BZW983042:BZY983043 CJS983042:CJU983043 CTO983042:CTQ983043 DDK983042:DDM983043 DNG983042:DNI983043 DXC983042:DXE983043 EGY983042:EHA983043 EQU983042:EQW983043 FAQ983042:FAS983043 FKM983042:FKO983043 FUI983042:FUK983043 GEE983042:GEG983043 GOA983042:GOC983043 GXW983042:GXY983043 HHS983042:HHU983043 HRO983042:HRQ983043 IBK983042:IBM983043 ILG983042:ILI983043 IVC983042:IVE983043 JEY983042:JFA983043 JOU983042:JOW983043 JYQ983042:JYS983043 KIM983042:KIO983043 KSI983042:KSK983043 LCE983042:LCG983043 LMA983042:LMC983043 LVW983042:LVY983043 MFS983042:MFU983043 MPO983042:MPQ983043 MZK983042:MZM983043 NJG983042:NJI983043 NTC983042:NTE983043 OCY983042:ODA983043 OMU983042:OMW983043 OWQ983042:OWS983043 PGM983042:PGO983043 PQI983042:PQK983043 QAE983042:QAG983043 QKA983042:QKC983043 QTW983042:QTY983043 RDS983042:RDU983043 RNO983042:RNQ983043 RXK983042:RXM983043 SHG983042:SHI983043 SRC983042:SRE983043 TAY983042:TBA983043 TKU983042:TKW983043 TUQ983042:TUS983043 UEM983042:UEO983043 UOI983042:UOK983043 UYE983042:UYG983043 VIA983042:VIC983043 VRW983042:VRY983043 WBS983042:WBU983043 WLO983042:WLQ983043 WVK983042:WVM983043 IN32:IP33 SJ32:SL33 ACF32:ACH33 AMB32:AMD33 AVX32:AVZ33 BFT32:BFV33 BPP32:BPR33 BZL32:BZN33 CJH32:CJJ33 CTD32:CTF33 DCZ32:DDB33 DMV32:DMX33 DWR32:DWT33 EGN32:EGP33 EQJ32:EQL33 FAF32:FAH33 FKB32:FKD33 FTX32:FTZ33 GDT32:GDV33 GNP32:GNR33 GXL32:GXN33 HHH32:HHJ33 HRD32:HRF33 IAZ32:IBB33 IKV32:IKX33 IUR32:IUT33 JEN32:JEP33 JOJ32:JOL33 JYF32:JYH33 KIB32:KID33 KRX32:KRZ33 LBT32:LBV33 LLP32:LLR33 LVL32:LVN33 MFH32:MFJ33 MPD32:MPF33 MYZ32:MZB33 NIV32:NIX33 NSR32:NST33 OCN32:OCP33 OMJ32:OML33 OWF32:OWH33 PGB32:PGD33 PPX32:PPZ33 PZT32:PZV33 QJP32:QJR33 QTL32:QTN33 RDH32:RDJ33 RND32:RNF33 RWZ32:RXB33 SGV32:SGX33 SQR32:SQT33 TAN32:TAP33 TKJ32:TKL33 TUF32:TUH33 UEB32:UED33 UNX32:UNZ33 UXT32:UXV33 VHP32:VHR33 VRL32:VRN33 WBH32:WBJ33 WLD32:WLF33 WUZ32:WVB33 C65568:E65569 IY65568:JA65569 SU65568:SW65569 ACQ65568:ACS65569 AMM65568:AMO65569 AWI65568:AWK65569 BGE65568:BGG65569 BQA65568:BQC65569 BZW65568:BZY65569 CJS65568:CJU65569 CTO65568:CTQ65569 DDK65568:DDM65569 DNG65568:DNI65569 DXC65568:DXE65569 EGY65568:EHA65569 EQU65568:EQW65569 FAQ65568:FAS65569 FKM65568:FKO65569 FUI65568:FUK65569 GEE65568:GEG65569 GOA65568:GOC65569 GXW65568:GXY65569 HHS65568:HHU65569 HRO65568:HRQ65569 IBK65568:IBM65569 ILG65568:ILI65569 IVC65568:IVE65569 JEY65568:JFA65569 JOU65568:JOW65569 JYQ65568:JYS65569 KIM65568:KIO65569 KSI65568:KSK65569 LCE65568:LCG65569 LMA65568:LMC65569 LVW65568:LVY65569 MFS65568:MFU65569 MPO65568:MPQ65569 MZK65568:MZM65569 NJG65568:NJI65569 NTC65568:NTE65569 OCY65568:ODA65569 OMU65568:OMW65569 OWQ65568:OWS65569 PGM65568:PGO65569 PQI65568:PQK65569 QAE65568:QAG65569 QKA65568:QKC65569 QTW65568:QTY65569 RDS65568:RDU65569 RNO65568:RNQ65569 RXK65568:RXM65569 SHG65568:SHI65569 SRC65568:SRE65569 TAY65568:TBA65569 TKU65568:TKW65569 TUQ65568:TUS65569 UEM65568:UEO65569 UOI65568:UOK65569 UYE65568:UYG65569 VIA65568:VIC65569 VRW65568:VRY65569 WBS65568:WBU65569 WLO65568:WLQ65569 WVK65568:WVM65569 C131104:E131105 IY131104:JA131105 SU131104:SW131105 ACQ131104:ACS131105 AMM131104:AMO131105 AWI131104:AWK131105 BGE131104:BGG131105 BQA131104:BQC131105 BZW131104:BZY131105 CJS131104:CJU131105 CTO131104:CTQ131105 DDK131104:DDM131105 DNG131104:DNI131105 DXC131104:DXE131105 EGY131104:EHA131105 EQU131104:EQW131105 FAQ131104:FAS131105 FKM131104:FKO131105 FUI131104:FUK131105 GEE131104:GEG131105 GOA131104:GOC131105 GXW131104:GXY131105 HHS131104:HHU131105 HRO131104:HRQ131105 IBK131104:IBM131105 ILG131104:ILI131105 IVC131104:IVE131105 JEY131104:JFA131105 JOU131104:JOW131105 JYQ131104:JYS131105 KIM131104:KIO131105 KSI131104:KSK131105 LCE131104:LCG131105 LMA131104:LMC131105 LVW131104:LVY131105 MFS131104:MFU131105 MPO131104:MPQ131105 MZK131104:MZM131105 NJG131104:NJI131105 NTC131104:NTE131105 OCY131104:ODA131105 OMU131104:OMW131105 OWQ131104:OWS131105 PGM131104:PGO131105 PQI131104:PQK131105 QAE131104:QAG131105 QKA131104:QKC131105 QTW131104:QTY131105 RDS131104:RDU131105 RNO131104:RNQ131105 RXK131104:RXM131105 SHG131104:SHI131105 SRC131104:SRE131105 TAY131104:TBA131105 TKU131104:TKW131105 TUQ131104:TUS131105 UEM131104:UEO131105 UOI131104:UOK131105 UYE131104:UYG131105 VIA131104:VIC131105 VRW131104:VRY131105 WBS131104:WBU131105 WLO131104:WLQ131105 WVK131104:WVM131105 C196640:E196641 IY196640:JA196641 SU196640:SW196641 ACQ196640:ACS196641 AMM196640:AMO196641 AWI196640:AWK196641 BGE196640:BGG196641 BQA196640:BQC196641 BZW196640:BZY196641 CJS196640:CJU196641 CTO196640:CTQ196641 DDK196640:DDM196641 DNG196640:DNI196641 DXC196640:DXE196641 EGY196640:EHA196641 EQU196640:EQW196641 FAQ196640:FAS196641 FKM196640:FKO196641 FUI196640:FUK196641 GEE196640:GEG196641 GOA196640:GOC196641 GXW196640:GXY196641 HHS196640:HHU196641 HRO196640:HRQ196641 IBK196640:IBM196641 ILG196640:ILI196641 IVC196640:IVE196641 JEY196640:JFA196641 JOU196640:JOW196641 JYQ196640:JYS196641 KIM196640:KIO196641 KSI196640:KSK196641 LCE196640:LCG196641 LMA196640:LMC196641 LVW196640:LVY196641 MFS196640:MFU196641 MPO196640:MPQ196641 MZK196640:MZM196641 NJG196640:NJI196641 NTC196640:NTE196641 OCY196640:ODA196641 OMU196640:OMW196641 OWQ196640:OWS196641 PGM196640:PGO196641 PQI196640:PQK196641 QAE196640:QAG196641 QKA196640:QKC196641 QTW196640:QTY196641 RDS196640:RDU196641 RNO196640:RNQ196641 RXK196640:RXM196641 SHG196640:SHI196641 SRC196640:SRE196641 TAY196640:TBA196641 TKU196640:TKW196641 TUQ196640:TUS196641 UEM196640:UEO196641 UOI196640:UOK196641 UYE196640:UYG196641 VIA196640:VIC196641 VRW196640:VRY196641 WBS196640:WBU196641 WLO196640:WLQ196641 WVK196640:WVM196641 C262176:E262177 IY262176:JA262177 SU262176:SW262177 ACQ262176:ACS262177 AMM262176:AMO262177 AWI262176:AWK262177 BGE262176:BGG262177 BQA262176:BQC262177 BZW262176:BZY262177 CJS262176:CJU262177 CTO262176:CTQ262177 DDK262176:DDM262177 DNG262176:DNI262177 DXC262176:DXE262177 EGY262176:EHA262177 EQU262176:EQW262177 FAQ262176:FAS262177 FKM262176:FKO262177 FUI262176:FUK262177 GEE262176:GEG262177 GOA262176:GOC262177 GXW262176:GXY262177 HHS262176:HHU262177 HRO262176:HRQ262177 IBK262176:IBM262177 ILG262176:ILI262177 IVC262176:IVE262177 JEY262176:JFA262177 JOU262176:JOW262177 JYQ262176:JYS262177 KIM262176:KIO262177 KSI262176:KSK262177 LCE262176:LCG262177 LMA262176:LMC262177 LVW262176:LVY262177 MFS262176:MFU262177 MPO262176:MPQ262177 MZK262176:MZM262177 NJG262176:NJI262177 NTC262176:NTE262177 OCY262176:ODA262177 OMU262176:OMW262177 OWQ262176:OWS262177 PGM262176:PGO262177 PQI262176:PQK262177 QAE262176:QAG262177 QKA262176:QKC262177 QTW262176:QTY262177 RDS262176:RDU262177 RNO262176:RNQ262177 RXK262176:RXM262177 SHG262176:SHI262177 SRC262176:SRE262177 TAY262176:TBA262177 TKU262176:TKW262177 TUQ262176:TUS262177 UEM262176:UEO262177 UOI262176:UOK262177 UYE262176:UYG262177 VIA262176:VIC262177 VRW262176:VRY262177 WBS262176:WBU262177 WLO262176:WLQ262177 WVK262176:WVM262177 C327712:E327713 IY327712:JA327713 SU327712:SW327713 ACQ327712:ACS327713 AMM327712:AMO327713 AWI327712:AWK327713 BGE327712:BGG327713 BQA327712:BQC327713 BZW327712:BZY327713 CJS327712:CJU327713 CTO327712:CTQ327713 DDK327712:DDM327713 DNG327712:DNI327713 DXC327712:DXE327713 EGY327712:EHA327713 EQU327712:EQW327713 FAQ327712:FAS327713 FKM327712:FKO327713 FUI327712:FUK327713 GEE327712:GEG327713 GOA327712:GOC327713 GXW327712:GXY327713 HHS327712:HHU327713 HRO327712:HRQ327713 IBK327712:IBM327713 ILG327712:ILI327713 IVC327712:IVE327713 JEY327712:JFA327713 JOU327712:JOW327713 JYQ327712:JYS327713 KIM327712:KIO327713 KSI327712:KSK327713 LCE327712:LCG327713 LMA327712:LMC327713 LVW327712:LVY327713 MFS327712:MFU327713 MPO327712:MPQ327713 MZK327712:MZM327713 NJG327712:NJI327713 NTC327712:NTE327713 OCY327712:ODA327713 OMU327712:OMW327713 OWQ327712:OWS327713 PGM327712:PGO327713 PQI327712:PQK327713 QAE327712:QAG327713 QKA327712:QKC327713 QTW327712:QTY327713 RDS327712:RDU327713 RNO327712:RNQ327713 RXK327712:RXM327713 SHG327712:SHI327713 SRC327712:SRE327713 TAY327712:TBA327713 TKU327712:TKW327713 TUQ327712:TUS327713 UEM327712:UEO327713 UOI327712:UOK327713 UYE327712:UYG327713 VIA327712:VIC327713 VRW327712:VRY327713 WBS327712:WBU327713 WLO327712:WLQ327713 WVK327712:WVM327713 C393248:E393249 IY393248:JA393249 SU393248:SW393249 ACQ393248:ACS393249 AMM393248:AMO393249 AWI393248:AWK393249 BGE393248:BGG393249 BQA393248:BQC393249 BZW393248:BZY393249 CJS393248:CJU393249 CTO393248:CTQ393249 DDK393248:DDM393249 DNG393248:DNI393249 DXC393248:DXE393249 EGY393248:EHA393249 EQU393248:EQW393249 FAQ393248:FAS393249 FKM393248:FKO393249 FUI393248:FUK393249 GEE393248:GEG393249 GOA393248:GOC393249 GXW393248:GXY393249 HHS393248:HHU393249 HRO393248:HRQ393249 IBK393248:IBM393249 ILG393248:ILI393249 IVC393248:IVE393249 JEY393248:JFA393249 JOU393248:JOW393249 JYQ393248:JYS393249 KIM393248:KIO393249 KSI393248:KSK393249 LCE393248:LCG393249 LMA393248:LMC393249 LVW393248:LVY393249 MFS393248:MFU393249 MPO393248:MPQ393249 MZK393248:MZM393249 NJG393248:NJI393249 NTC393248:NTE393249 OCY393248:ODA393249 OMU393248:OMW393249 OWQ393248:OWS393249 PGM393248:PGO393249 PQI393248:PQK393249 QAE393248:QAG393249 QKA393248:QKC393249 QTW393248:QTY393249 RDS393248:RDU393249 RNO393248:RNQ393249 RXK393248:RXM393249 SHG393248:SHI393249 SRC393248:SRE393249 TAY393248:TBA393249 TKU393248:TKW393249 TUQ393248:TUS393249 UEM393248:UEO393249 UOI393248:UOK393249 UYE393248:UYG393249 VIA393248:VIC393249 VRW393248:VRY393249 WBS393248:WBU393249 WLO393248:WLQ393249 WVK393248:WVM393249 C458784:E458785 IY458784:JA458785 SU458784:SW458785 ACQ458784:ACS458785 AMM458784:AMO458785 AWI458784:AWK458785 BGE458784:BGG458785 BQA458784:BQC458785 BZW458784:BZY458785 CJS458784:CJU458785 CTO458784:CTQ458785 DDK458784:DDM458785 DNG458784:DNI458785 DXC458784:DXE458785 EGY458784:EHA458785 EQU458784:EQW458785 FAQ458784:FAS458785 FKM458784:FKO458785 FUI458784:FUK458785 GEE458784:GEG458785 GOA458784:GOC458785 GXW458784:GXY458785 HHS458784:HHU458785 HRO458784:HRQ458785 IBK458784:IBM458785 ILG458784:ILI458785 IVC458784:IVE458785 JEY458784:JFA458785 JOU458784:JOW458785 JYQ458784:JYS458785 KIM458784:KIO458785 KSI458784:KSK458785 LCE458784:LCG458785 LMA458784:LMC458785 LVW458784:LVY458785 MFS458784:MFU458785 MPO458784:MPQ458785 MZK458784:MZM458785 NJG458784:NJI458785 NTC458784:NTE458785 OCY458784:ODA458785 OMU458784:OMW458785 OWQ458784:OWS458785 PGM458784:PGO458785 PQI458784:PQK458785 QAE458784:QAG458785 QKA458784:QKC458785 QTW458784:QTY458785 RDS458784:RDU458785 RNO458784:RNQ458785 RXK458784:RXM458785 SHG458784:SHI458785 SRC458784:SRE458785 TAY458784:TBA458785 TKU458784:TKW458785 TUQ458784:TUS458785 UEM458784:UEO458785 UOI458784:UOK458785 UYE458784:UYG458785 VIA458784:VIC458785 VRW458784:VRY458785 WBS458784:WBU458785 WLO458784:WLQ458785 WVK458784:WVM458785 C524320:E524321 IY524320:JA524321 SU524320:SW524321 ACQ524320:ACS524321 AMM524320:AMO524321 AWI524320:AWK524321 BGE524320:BGG524321 BQA524320:BQC524321 BZW524320:BZY524321 CJS524320:CJU524321 CTO524320:CTQ524321 DDK524320:DDM524321 DNG524320:DNI524321 DXC524320:DXE524321 EGY524320:EHA524321 EQU524320:EQW524321 FAQ524320:FAS524321 FKM524320:FKO524321 FUI524320:FUK524321 GEE524320:GEG524321 GOA524320:GOC524321 GXW524320:GXY524321 HHS524320:HHU524321 HRO524320:HRQ524321 IBK524320:IBM524321 ILG524320:ILI524321 IVC524320:IVE524321 JEY524320:JFA524321 JOU524320:JOW524321 JYQ524320:JYS524321 KIM524320:KIO524321 KSI524320:KSK524321 LCE524320:LCG524321 LMA524320:LMC524321 LVW524320:LVY524321 MFS524320:MFU524321 MPO524320:MPQ524321 MZK524320:MZM524321 NJG524320:NJI524321 NTC524320:NTE524321 OCY524320:ODA524321 OMU524320:OMW524321 OWQ524320:OWS524321 PGM524320:PGO524321 PQI524320:PQK524321 QAE524320:QAG524321 QKA524320:QKC524321 QTW524320:QTY524321 RDS524320:RDU524321 RNO524320:RNQ524321 RXK524320:RXM524321 SHG524320:SHI524321 SRC524320:SRE524321 TAY524320:TBA524321 TKU524320:TKW524321 TUQ524320:TUS524321 UEM524320:UEO524321 UOI524320:UOK524321 UYE524320:UYG524321 VIA524320:VIC524321 VRW524320:VRY524321 WBS524320:WBU524321 WLO524320:WLQ524321 WVK524320:WVM524321 C589856:E589857 IY589856:JA589857 SU589856:SW589857 ACQ589856:ACS589857 AMM589856:AMO589857 AWI589856:AWK589857 BGE589856:BGG589857 BQA589856:BQC589857 BZW589856:BZY589857 CJS589856:CJU589857 CTO589856:CTQ589857 DDK589856:DDM589857 DNG589856:DNI589857 DXC589856:DXE589857 EGY589856:EHA589857 EQU589856:EQW589857 FAQ589856:FAS589857 FKM589856:FKO589857 FUI589856:FUK589857 GEE589856:GEG589857 GOA589856:GOC589857 GXW589856:GXY589857 HHS589856:HHU589857 HRO589856:HRQ589857 IBK589856:IBM589857 ILG589856:ILI589857 IVC589856:IVE589857 JEY589856:JFA589857 JOU589856:JOW589857 JYQ589856:JYS589857 KIM589856:KIO589857 KSI589856:KSK589857 LCE589856:LCG589857 LMA589856:LMC589857 LVW589856:LVY589857 MFS589856:MFU589857 MPO589856:MPQ589857 MZK589856:MZM589857 NJG589856:NJI589857 NTC589856:NTE589857 OCY589856:ODA589857 OMU589856:OMW589857 OWQ589856:OWS589857 PGM589856:PGO589857 PQI589856:PQK589857 QAE589856:QAG589857 QKA589856:QKC589857 QTW589856:QTY589857 RDS589856:RDU589857 RNO589856:RNQ589857 RXK589856:RXM589857 SHG589856:SHI589857 SRC589856:SRE589857 TAY589856:TBA589857 TKU589856:TKW589857 TUQ589856:TUS589857 UEM589856:UEO589857 UOI589856:UOK589857 UYE589856:UYG589857 VIA589856:VIC589857 VRW589856:VRY589857 WBS589856:WBU589857 WLO589856:WLQ589857 WVK589856:WVM589857 C655392:E655393 IY655392:JA655393 SU655392:SW655393 ACQ655392:ACS655393 AMM655392:AMO655393 AWI655392:AWK655393 BGE655392:BGG655393 BQA655392:BQC655393 BZW655392:BZY655393 CJS655392:CJU655393 CTO655392:CTQ655393 DDK655392:DDM655393 DNG655392:DNI655393 DXC655392:DXE655393 EGY655392:EHA655393 EQU655392:EQW655393 FAQ655392:FAS655393 FKM655392:FKO655393 FUI655392:FUK655393 GEE655392:GEG655393 GOA655392:GOC655393 GXW655392:GXY655393 HHS655392:HHU655393 HRO655392:HRQ655393 IBK655392:IBM655393 ILG655392:ILI655393 IVC655392:IVE655393 JEY655392:JFA655393 JOU655392:JOW655393 JYQ655392:JYS655393 KIM655392:KIO655393 KSI655392:KSK655393 LCE655392:LCG655393 LMA655392:LMC655393 LVW655392:LVY655393 MFS655392:MFU655393 MPO655392:MPQ655393 MZK655392:MZM655393 NJG655392:NJI655393 NTC655392:NTE655393 OCY655392:ODA655393 OMU655392:OMW655393 OWQ655392:OWS655393 PGM655392:PGO655393 PQI655392:PQK655393 QAE655392:QAG655393 QKA655392:QKC655393 QTW655392:QTY655393 RDS655392:RDU655393 RNO655392:RNQ655393 RXK655392:RXM655393 SHG655392:SHI655393 SRC655392:SRE655393 TAY655392:TBA655393 TKU655392:TKW655393 TUQ655392:TUS655393 UEM655392:UEO655393 UOI655392:UOK655393 UYE655392:UYG655393 VIA655392:VIC655393 VRW655392:VRY655393 WBS655392:WBU655393 WLO655392:WLQ655393 WVK655392:WVM655393 C720928:E720929 IY720928:JA720929 SU720928:SW720929 ACQ720928:ACS720929 AMM720928:AMO720929 AWI720928:AWK720929 BGE720928:BGG720929 BQA720928:BQC720929 BZW720928:BZY720929 CJS720928:CJU720929 CTO720928:CTQ720929 DDK720928:DDM720929 DNG720928:DNI720929 DXC720928:DXE720929 EGY720928:EHA720929 EQU720928:EQW720929 FAQ720928:FAS720929 FKM720928:FKO720929 FUI720928:FUK720929 GEE720928:GEG720929 GOA720928:GOC720929 GXW720928:GXY720929 HHS720928:HHU720929 HRO720928:HRQ720929 IBK720928:IBM720929 ILG720928:ILI720929 IVC720928:IVE720929 JEY720928:JFA720929 JOU720928:JOW720929 JYQ720928:JYS720929 KIM720928:KIO720929 KSI720928:KSK720929 LCE720928:LCG720929 LMA720928:LMC720929 LVW720928:LVY720929 MFS720928:MFU720929 MPO720928:MPQ720929 MZK720928:MZM720929 NJG720928:NJI720929 NTC720928:NTE720929 OCY720928:ODA720929 OMU720928:OMW720929 OWQ720928:OWS720929 PGM720928:PGO720929 PQI720928:PQK720929 QAE720928:QAG720929 QKA720928:QKC720929 QTW720928:QTY720929 RDS720928:RDU720929 RNO720928:RNQ720929 RXK720928:RXM720929 SHG720928:SHI720929 SRC720928:SRE720929 TAY720928:TBA720929 TKU720928:TKW720929 TUQ720928:TUS720929 UEM720928:UEO720929 UOI720928:UOK720929 UYE720928:UYG720929 VIA720928:VIC720929 VRW720928:VRY720929 WBS720928:WBU720929 WLO720928:WLQ720929 WVK720928:WVM720929 C786464:E786465 IY786464:JA786465 SU786464:SW786465 ACQ786464:ACS786465 AMM786464:AMO786465 AWI786464:AWK786465 BGE786464:BGG786465 BQA786464:BQC786465 BZW786464:BZY786465 CJS786464:CJU786465 CTO786464:CTQ786465 DDK786464:DDM786465 DNG786464:DNI786465 DXC786464:DXE786465 EGY786464:EHA786465 EQU786464:EQW786465 FAQ786464:FAS786465 FKM786464:FKO786465 FUI786464:FUK786465 GEE786464:GEG786465 GOA786464:GOC786465 GXW786464:GXY786465 HHS786464:HHU786465 HRO786464:HRQ786465 IBK786464:IBM786465 ILG786464:ILI786465 IVC786464:IVE786465 JEY786464:JFA786465 JOU786464:JOW786465 JYQ786464:JYS786465 KIM786464:KIO786465 KSI786464:KSK786465 LCE786464:LCG786465 LMA786464:LMC786465 LVW786464:LVY786465 MFS786464:MFU786465 MPO786464:MPQ786465 MZK786464:MZM786465 NJG786464:NJI786465 NTC786464:NTE786465 OCY786464:ODA786465 OMU786464:OMW786465 OWQ786464:OWS786465 PGM786464:PGO786465 PQI786464:PQK786465 QAE786464:QAG786465 QKA786464:QKC786465 QTW786464:QTY786465 RDS786464:RDU786465 RNO786464:RNQ786465 RXK786464:RXM786465 SHG786464:SHI786465 SRC786464:SRE786465 TAY786464:TBA786465 TKU786464:TKW786465 TUQ786464:TUS786465 UEM786464:UEO786465 UOI786464:UOK786465 UYE786464:UYG786465 VIA786464:VIC786465 VRW786464:VRY786465 WBS786464:WBU786465 WLO786464:WLQ786465 WVK786464:WVM786465 C852000:E852001 IY852000:JA852001 SU852000:SW852001 ACQ852000:ACS852001 AMM852000:AMO852001 AWI852000:AWK852001 BGE852000:BGG852001 BQA852000:BQC852001 BZW852000:BZY852001 CJS852000:CJU852001 CTO852000:CTQ852001 DDK852000:DDM852001 DNG852000:DNI852001 DXC852000:DXE852001 EGY852000:EHA852001 EQU852000:EQW852001 FAQ852000:FAS852001 FKM852000:FKO852001 FUI852000:FUK852001 GEE852000:GEG852001 GOA852000:GOC852001 GXW852000:GXY852001 HHS852000:HHU852001 HRO852000:HRQ852001 IBK852000:IBM852001 ILG852000:ILI852001 IVC852000:IVE852001 JEY852000:JFA852001 JOU852000:JOW852001 JYQ852000:JYS852001 KIM852000:KIO852001 KSI852000:KSK852001 LCE852000:LCG852001 LMA852000:LMC852001 LVW852000:LVY852001 MFS852000:MFU852001 MPO852000:MPQ852001 MZK852000:MZM852001 NJG852000:NJI852001 NTC852000:NTE852001 OCY852000:ODA852001 OMU852000:OMW852001 OWQ852000:OWS852001 PGM852000:PGO852001 PQI852000:PQK852001 QAE852000:QAG852001 QKA852000:QKC852001 QTW852000:QTY852001 RDS852000:RDU852001 RNO852000:RNQ852001 RXK852000:RXM852001 SHG852000:SHI852001 SRC852000:SRE852001 TAY852000:TBA852001 TKU852000:TKW852001 TUQ852000:TUS852001 UEM852000:UEO852001 UOI852000:UOK852001 UYE852000:UYG852001 VIA852000:VIC852001 VRW852000:VRY852001 WBS852000:WBU852001 WLO852000:WLQ852001 WVK852000:WVM852001 C917536:E917537 IY917536:JA917537 SU917536:SW917537 ACQ917536:ACS917537 AMM917536:AMO917537 AWI917536:AWK917537 BGE917536:BGG917537 BQA917536:BQC917537 BZW917536:BZY917537 CJS917536:CJU917537 CTO917536:CTQ917537 DDK917536:DDM917537 DNG917536:DNI917537 DXC917536:DXE917537 EGY917536:EHA917537 EQU917536:EQW917537 FAQ917536:FAS917537 FKM917536:FKO917537 FUI917536:FUK917537 GEE917536:GEG917537 GOA917536:GOC917537 GXW917536:GXY917537 HHS917536:HHU917537 HRO917536:HRQ917537 IBK917536:IBM917537 ILG917536:ILI917537 IVC917536:IVE917537 JEY917536:JFA917537 JOU917536:JOW917537 JYQ917536:JYS917537 KIM917536:KIO917537 KSI917536:KSK917537 LCE917536:LCG917537 LMA917536:LMC917537 LVW917536:LVY917537 MFS917536:MFU917537 MPO917536:MPQ917537 MZK917536:MZM917537 NJG917536:NJI917537 NTC917536:NTE917537 OCY917536:ODA917537 OMU917536:OMW917537 OWQ917536:OWS917537 PGM917536:PGO917537 PQI917536:PQK917537 QAE917536:QAG917537 QKA917536:QKC917537 QTW917536:QTY917537 RDS917536:RDU917537 RNO917536:RNQ917537 RXK917536:RXM917537 SHG917536:SHI917537 SRC917536:SRE917537 TAY917536:TBA917537 TKU917536:TKW917537 TUQ917536:TUS917537 UEM917536:UEO917537 UOI917536:UOK917537 UYE917536:UYG917537 VIA917536:VIC917537 VRW917536:VRY917537 WBS917536:WBU917537 WLO917536:WLQ917537 WVK917536:WVM917537 C983072:E983073 IY983072:JA983073 SU983072:SW983073 ACQ983072:ACS983073 AMM983072:AMO983073 AWI983072:AWK983073 BGE983072:BGG983073 BQA983072:BQC983073 BZW983072:BZY983073 CJS983072:CJU983073 CTO983072:CTQ983073 DDK983072:DDM983073 DNG983072:DNI983073 DXC983072:DXE983073 EGY983072:EHA983073 EQU983072:EQW983073 FAQ983072:FAS983073 FKM983072:FKO983073 FUI983072:FUK983073 GEE983072:GEG983073 GOA983072:GOC983073 GXW983072:GXY983073 HHS983072:HHU983073 HRO983072:HRQ983073 IBK983072:IBM983073 ILG983072:ILI983073 IVC983072:IVE983073 JEY983072:JFA983073 JOU983072:JOW983073 JYQ983072:JYS983073 KIM983072:KIO983073 KSI983072:KSK983073 LCE983072:LCG983073 LMA983072:LMC983073 LVW983072:LVY983073 MFS983072:MFU983073 MPO983072:MPQ983073 MZK983072:MZM983073 NJG983072:NJI983073 NTC983072:NTE983073 OCY983072:ODA983073 OMU983072:OMW983073 OWQ983072:OWS983073 PGM983072:PGO983073 PQI983072:PQK983073 QAE983072:QAG983073 QKA983072:QKC983073 QTW983072:QTY983073 RDS983072:RDU983073 RNO983072:RNQ983073 RXK983072:RXM983073 SHG983072:SHI983073 SRC983072:SRE983073 TAY983072:TBA983073 TKU983072:TKW983073 TUQ983072:TUS983073 UEM983072:UEO983073 UOI983072:UOK983073 UYE983072:UYG983073 VIA983072:VIC983073 VRW983072:VRY983073 WBS983072:WBU983073 WLO983072:WLQ983073">
      <formula1>氏名</formula1>
    </dataValidation>
  </dataValidations>
  <printOptions horizontalCentered="1"/>
  <pageMargins left="0.59055118110236227" right="0.39370078740157483" top="0.59055118110236227" bottom="0.39370078740157483" header="0.27559055118110237" footer="0.35433070866141736"/>
  <pageSetup paperSize="9" scale="46" fitToHeight="2" orientation="portrait" r:id="rId1"/>
  <headerFooter alignWithMargins="0"/>
  <rowBreaks count="1" manualBreakCount="1">
    <brk id="28" max="1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pageSetUpPr fitToPage="1"/>
  </sheetPr>
  <dimension ref="A1:AD61"/>
  <sheetViews>
    <sheetView topLeftCell="A39" workbookViewId="0">
      <selection activeCell="P65" sqref="P65"/>
    </sheetView>
  </sheetViews>
  <sheetFormatPr defaultColWidth="4.5" defaultRowHeight="14.25"/>
  <cols>
    <col min="1" max="1" width="2.875" style="140" bestFit="1" customWidth="1"/>
    <col min="2" max="7" width="4.5" style="140"/>
    <col min="8" max="8" width="6.75" style="140" customWidth="1"/>
    <col min="9" max="12" width="4.5" style="140"/>
    <col min="13" max="13" width="1.75" style="140" customWidth="1"/>
    <col min="14" max="14" width="5.625" style="140" customWidth="1"/>
    <col min="15" max="15" width="5" style="140" bestFit="1" customWidth="1"/>
    <col min="16" max="16" width="3.75" style="140" customWidth="1"/>
    <col min="17" max="17" width="4.5" style="140"/>
    <col min="18" max="18" width="4" style="140" customWidth="1"/>
    <col min="19" max="19" width="4.5" style="140"/>
    <col min="20" max="20" width="1.5" style="140" customWidth="1"/>
    <col min="21" max="21" width="3.5" style="140" customWidth="1"/>
    <col min="22" max="22" width="3.125" style="140" customWidth="1"/>
    <col min="23" max="23" width="5.75" style="140" customWidth="1"/>
    <col min="24" max="25" width="4.5" style="140"/>
    <col min="26" max="27" width="8.125" style="140" bestFit="1" customWidth="1"/>
    <col min="28" max="16384" width="4.5" style="140"/>
  </cols>
  <sheetData>
    <row r="1" spans="1:30" ht="24" customHeight="1">
      <c r="A1" s="932" t="s">
        <v>226</v>
      </c>
      <c r="B1" s="932"/>
      <c r="C1" s="932"/>
      <c r="D1" s="932"/>
      <c r="E1" s="932"/>
      <c r="F1" s="932"/>
      <c r="G1" s="932"/>
      <c r="H1" s="932"/>
      <c r="I1" s="932"/>
      <c r="J1" s="932"/>
      <c r="K1" s="932"/>
      <c r="L1" s="932"/>
      <c r="M1" s="932"/>
      <c r="N1" s="932"/>
      <c r="O1" s="932"/>
      <c r="P1" s="932"/>
      <c r="Q1" s="932"/>
      <c r="R1" s="932"/>
      <c r="S1" s="932"/>
      <c r="T1" s="932"/>
      <c r="U1" s="932"/>
      <c r="V1" s="932"/>
      <c r="W1" s="932"/>
    </row>
    <row r="2" spans="1:30" ht="18" customHeight="1">
      <c r="A2" s="932" t="s">
        <v>227</v>
      </c>
      <c r="B2" s="932"/>
      <c r="C2" s="932"/>
      <c r="D2" s="932"/>
      <c r="E2" s="932"/>
      <c r="F2" s="932"/>
      <c r="G2" s="932"/>
      <c r="H2" s="932"/>
      <c r="I2" s="932"/>
      <c r="J2" s="932"/>
      <c r="K2" s="932"/>
      <c r="L2" s="932"/>
      <c r="M2" s="932"/>
      <c r="N2" s="932"/>
      <c r="O2" s="932"/>
      <c r="P2" s="932"/>
      <c r="Q2" s="932"/>
      <c r="R2" s="932"/>
      <c r="S2" s="932"/>
      <c r="T2" s="932"/>
      <c r="U2" s="932"/>
      <c r="V2" s="932"/>
      <c r="W2" s="932"/>
    </row>
    <row r="3" spans="1:30" ht="6" customHeight="1">
      <c r="A3" s="141"/>
      <c r="B3" s="141"/>
      <c r="C3" s="141"/>
      <c r="D3" s="141"/>
      <c r="E3" s="141"/>
      <c r="F3" s="141"/>
      <c r="G3" s="141"/>
      <c r="H3" s="141"/>
      <c r="I3" s="141"/>
      <c r="J3" s="141"/>
      <c r="K3" s="141"/>
      <c r="L3" s="141"/>
      <c r="M3" s="141"/>
      <c r="N3" s="141"/>
      <c r="O3" s="141"/>
      <c r="P3" s="141"/>
      <c r="Q3" s="141"/>
      <c r="R3" s="141"/>
      <c r="S3" s="141"/>
      <c r="T3" s="141"/>
      <c r="U3" s="141"/>
      <c r="V3" s="141"/>
      <c r="W3" s="141"/>
    </row>
    <row r="4" spans="1:30" s="143" customFormat="1">
      <c r="A4" s="142" t="s">
        <v>228</v>
      </c>
      <c r="B4" s="142"/>
      <c r="C4" s="142"/>
      <c r="D4" s="142"/>
      <c r="E4" s="142"/>
      <c r="F4" s="142"/>
      <c r="G4" s="142"/>
      <c r="H4" s="142"/>
      <c r="I4" s="142"/>
      <c r="J4" s="142"/>
      <c r="K4" s="142"/>
      <c r="L4" s="142"/>
      <c r="M4" s="142"/>
      <c r="N4" s="142"/>
      <c r="O4" s="142"/>
      <c r="P4" s="142"/>
      <c r="Q4" s="142"/>
      <c r="R4" s="142"/>
      <c r="S4" s="142"/>
      <c r="T4" s="142"/>
      <c r="U4" s="142"/>
      <c r="V4" s="142"/>
      <c r="W4" s="142"/>
    </row>
    <row r="5" spans="1:30" s="143" customFormat="1">
      <c r="A5" s="156" t="s">
        <v>229</v>
      </c>
      <c r="B5" s="142"/>
      <c r="C5" s="142"/>
      <c r="D5" s="142"/>
      <c r="E5" s="142"/>
      <c r="F5" s="142"/>
      <c r="G5" s="142"/>
      <c r="H5" s="142"/>
      <c r="I5" s="142"/>
      <c r="J5" s="142"/>
      <c r="K5" s="142"/>
      <c r="L5" s="142"/>
      <c r="M5" s="142"/>
      <c r="N5" s="142"/>
      <c r="O5" s="142"/>
      <c r="P5" s="142"/>
      <c r="Q5" s="142"/>
      <c r="R5" s="142"/>
      <c r="S5" s="142"/>
      <c r="T5" s="142"/>
      <c r="U5" s="142"/>
      <c r="V5" s="142"/>
      <c r="W5" s="142"/>
    </row>
    <row r="6" spans="1:30" s="143" customFormat="1">
      <c r="A6" s="142" t="s">
        <v>1266</v>
      </c>
      <c r="B6" s="142"/>
      <c r="C6" s="142"/>
      <c r="D6" s="142"/>
      <c r="E6" s="142"/>
      <c r="F6" s="142"/>
      <c r="G6" s="142"/>
      <c r="H6" s="142"/>
      <c r="I6" s="142"/>
      <c r="J6" s="142"/>
      <c r="K6" s="142"/>
      <c r="L6" s="142"/>
      <c r="M6" s="142"/>
      <c r="N6" s="142"/>
      <c r="O6" s="142"/>
      <c r="P6" s="142"/>
      <c r="Q6" s="142"/>
      <c r="R6" s="142"/>
      <c r="S6" s="142"/>
      <c r="T6" s="142"/>
      <c r="U6" s="142"/>
      <c r="V6" s="142"/>
      <c r="W6" s="142"/>
    </row>
    <row r="7" spans="1:30" s="143" customFormat="1">
      <c r="A7" s="156" t="s">
        <v>1265</v>
      </c>
      <c r="B7" s="142"/>
      <c r="C7" s="142"/>
      <c r="D7" s="142"/>
      <c r="E7" s="142"/>
      <c r="F7" s="142"/>
      <c r="G7" s="142"/>
      <c r="H7" s="142"/>
      <c r="I7" s="142"/>
      <c r="J7" s="142"/>
      <c r="K7" s="142"/>
      <c r="L7" s="142"/>
      <c r="M7" s="142"/>
      <c r="N7" s="142"/>
      <c r="O7" s="142"/>
      <c r="P7" s="142"/>
      <c r="Q7" s="142"/>
      <c r="R7" s="142"/>
      <c r="S7" s="142"/>
      <c r="T7" s="142"/>
      <c r="U7" s="142"/>
      <c r="V7" s="142"/>
      <c r="W7" s="142"/>
    </row>
    <row r="8" spans="1:30" s="143" customFormat="1" ht="10.5" customHeight="1" thickBot="1">
      <c r="A8" s="142"/>
      <c r="B8" s="142"/>
      <c r="C8" s="142"/>
      <c r="D8" s="142"/>
      <c r="E8" s="142"/>
      <c r="F8" s="142"/>
      <c r="G8" s="142"/>
      <c r="H8" s="142"/>
      <c r="I8" s="142"/>
      <c r="J8" s="142"/>
      <c r="K8" s="142"/>
      <c r="L8" s="142"/>
      <c r="M8" s="142"/>
      <c r="N8" s="142"/>
      <c r="O8" s="142"/>
      <c r="P8" s="142"/>
      <c r="Q8" s="142"/>
      <c r="R8" s="142"/>
      <c r="S8" s="142"/>
      <c r="T8" s="142"/>
      <c r="U8" s="142"/>
      <c r="V8" s="142"/>
      <c r="W8" s="142"/>
    </row>
    <row r="9" spans="1:30" s="143" customFormat="1" ht="13.5" customHeight="1">
      <c r="A9" s="142"/>
      <c r="B9" s="144" t="s">
        <v>151</v>
      </c>
      <c r="C9" s="142"/>
      <c r="D9" s="933" t="str">
        <f>'01.入学願書'!H16</f>
        <v>Vietnam</v>
      </c>
      <c r="E9" s="933"/>
      <c r="F9" s="933"/>
      <c r="G9" s="145" t="s">
        <v>230</v>
      </c>
      <c r="H9" s="145"/>
      <c r="I9" s="935" t="s">
        <v>1278</v>
      </c>
      <c r="J9" s="935"/>
      <c r="K9" s="935"/>
      <c r="L9" s="935"/>
      <c r="M9" s="146"/>
      <c r="N9" s="936" t="s">
        <v>1279</v>
      </c>
      <c r="O9" s="937" t="s">
        <v>4</v>
      </c>
      <c r="P9" s="938">
        <v>11</v>
      </c>
      <c r="Q9" s="937" t="s">
        <v>9</v>
      </c>
      <c r="R9" s="939" t="s">
        <v>1280</v>
      </c>
      <c r="S9" s="937" t="s">
        <v>6</v>
      </c>
      <c r="T9" s="146"/>
      <c r="U9" s="147" t="s">
        <v>296</v>
      </c>
      <c r="V9" s="148" t="s">
        <v>231</v>
      </c>
      <c r="W9" s="653" t="s">
        <v>232</v>
      </c>
      <c r="Z9" s="143" t="s">
        <v>233</v>
      </c>
      <c r="AA9" s="182"/>
      <c r="AC9" s="624" t="s">
        <v>991</v>
      </c>
      <c r="AD9" s="176"/>
    </row>
    <row r="10" spans="1:30" s="143" customFormat="1" ht="14.25" customHeight="1">
      <c r="A10" s="142"/>
      <c r="B10" s="144"/>
      <c r="C10" s="142"/>
      <c r="D10" s="933"/>
      <c r="E10" s="933"/>
      <c r="F10" s="933"/>
      <c r="G10" s="145" t="s">
        <v>234</v>
      </c>
      <c r="H10" s="145"/>
      <c r="I10" s="935"/>
      <c r="J10" s="935"/>
      <c r="K10" s="935"/>
      <c r="L10" s="935"/>
      <c r="M10" s="146"/>
      <c r="N10" s="937"/>
      <c r="O10" s="937"/>
      <c r="P10" s="938"/>
      <c r="Q10" s="937"/>
      <c r="R10" s="938"/>
      <c r="S10" s="937"/>
      <c r="T10" s="146"/>
      <c r="U10" s="147" t="str">
        <f>'01.入学願書'!L14</f>
        <v>□</v>
      </c>
      <c r="V10" s="148" t="s">
        <v>235</v>
      </c>
      <c r="W10" s="654" t="s">
        <v>236</v>
      </c>
      <c r="Z10" s="143" t="s">
        <v>296</v>
      </c>
      <c r="AA10" s="183">
        <v>30000</v>
      </c>
      <c r="AC10" s="623">
        <f>IF(F43="■",1,IF(H43="■",3,IF(L43="■",6,IF(P43="■",0,0))))</f>
        <v>6</v>
      </c>
      <c r="AD10" s="623" t="s">
        <v>992</v>
      </c>
    </row>
    <row r="11" spans="1:30" s="143" customFormat="1" ht="15" customHeight="1">
      <c r="A11" s="142"/>
      <c r="B11" s="649" t="s">
        <v>237</v>
      </c>
      <c r="C11" s="150"/>
      <c r="D11" s="934"/>
      <c r="E11" s="934"/>
      <c r="F11" s="934"/>
      <c r="G11" s="649" t="s">
        <v>238</v>
      </c>
      <c r="H11" s="150"/>
      <c r="I11" s="879"/>
      <c r="J11" s="879"/>
      <c r="K11" s="879"/>
      <c r="L11" s="879"/>
      <c r="M11" s="146"/>
      <c r="N11" s="151"/>
      <c r="O11" s="650" t="s">
        <v>239</v>
      </c>
      <c r="P11" s="651"/>
      <c r="Q11" s="652" t="s">
        <v>240</v>
      </c>
      <c r="R11" s="651"/>
      <c r="S11" s="651" t="s">
        <v>241</v>
      </c>
      <c r="T11" s="649"/>
      <c r="U11" s="651"/>
      <c r="V11" s="650" t="s">
        <v>242</v>
      </c>
      <c r="W11" s="650"/>
      <c r="AA11" s="183">
        <v>40000</v>
      </c>
    </row>
    <row r="12" spans="1:30" s="143" customFormat="1" ht="10.5" customHeight="1">
      <c r="A12" s="142"/>
      <c r="B12" s="150"/>
      <c r="C12" s="150"/>
      <c r="D12" s="150"/>
      <c r="E12" s="150"/>
      <c r="F12" s="150"/>
      <c r="G12" s="150"/>
      <c r="H12" s="150"/>
      <c r="I12" s="150"/>
      <c r="J12" s="150"/>
      <c r="K12" s="150"/>
      <c r="L12" s="150"/>
      <c r="M12" s="150"/>
      <c r="N12" s="150"/>
      <c r="O12" s="150"/>
      <c r="P12" s="154"/>
      <c r="Q12" s="150"/>
      <c r="R12" s="149"/>
      <c r="S12" s="150"/>
      <c r="T12" s="150"/>
      <c r="U12" s="150"/>
      <c r="V12" s="154"/>
      <c r="W12" s="142"/>
      <c r="AA12" s="183">
        <v>50000</v>
      </c>
    </row>
    <row r="13" spans="1:30" s="143" customFormat="1">
      <c r="A13" s="940" t="s">
        <v>243</v>
      </c>
      <c r="B13" s="940"/>
      <c r="C13" s="940"/>
      <c r="D13" s="940"/>
      <c r="E13" s="940"/>
      <c r="F13" s="940"/>
      <c r="G13" s="940"/>
      <c r="H13" s="940"/>
      <c r="I13" s="940"/>
      <c r="J13" s="940"/>
      <c r="K13" s="940"/>
      <c r="L13" s="940"/>
      <c r="M13" s="940"/>
      <c r="N13" s="940"/>
      <c r="O13" s="940"/>
      <c r="P13" s="940"/>
      <c r="Q13" s="940"/>
      <c r="R13" s="940"/>
      <c r="S13" s="940"/>
      <c r="T13" s="940"/>
      <c r="U13" s="940"/>
      <c r="V13" s="940"/>
      <c r="W13" s="940"/>
      <c r="Z13" s="155"/>
      <c r="AA13" s="183">
        <v>60000</v>
      </c>
    </row>
    <row r="14" spans="1:30" s="143" customFormat="1">
      <c r="A14" s="940"/>
      <c r="B14" s="940"/>
      <c r="C14" s="940"/>
      <c r="D14" s="940"/>
      <c r="E14" s="940"/>
      <c r="F14" s="940"/>
      <c r="G14" s="940"/>
      <c r="H14" s="940"/>
      <c r="I14" s="940"/>
      <c r="J14" s="940"/>
      <c r="K14" s="940"/>
      <c r="L14" s="940"/>
      <c r="M14" s="940"/>
      <c r="N14" s="940"/>
      <c r="O14" s="940"/>
      <c r="P14" s="940"/>
      <c r="Q14" s="940"/>
      <c r="R14" s="940"/>
      <c r="S14" s="940"/>
      <c r="T14" s="940"/>
      <c r="U14" s="940"/>
      <c r="V14" s="940"/>
      <c r="W14" s="940"/>
      <c r="AA14" s="183">
        <v>70000</v>
      </c>
    </row>
    <row r="15" spans="1:30" s="143" customFormat="1" ht="17.25" customHeight="1">
      <c r="A15" s="941" t="s">
        <v>244</v>
      </c>
      <c r="B15" s="941"/>
      <c r="C15" s="941"/>
      <c r="D15" s="941"/>
      <c r="E15" s="941"/>
      <c r="F15" s="941"/>
      <c r="G15" s="941"/>
      <c r="H15" s="941"/>
      <c r="I15" s="941"/>
      <c r="J15" s="941"/>
      <c r="K15" s="941"/>
      <c r="L15" s="941"/>
      <c r="M15" s="941"/>
      <c r="N15" s="941"/>
      <c r="O15" s="941"/>
      <c r="P15" s="941"/>
      <c r="Q15" s="941"/>
      <c r="R15" s="941"/>
      <c r="S15" s="941"/>
      <c r="T15" s="941"/>
      <c r="U15" s="941"/>
      <c r="V15" s="941"/>
      <c r="W15" s="941"/>
      <c r="AA15" s="183">
        <v>80000</v>
      </c>
    </row>
    <row r="16" spans="1:30" s="143" customFormat="1" ht="20.25" customHeight="1">
      <c r="A16" s="924" t="s">
        <v>245</v>
      </c>
      <c r="B16" s="924"/>
      <c r="C16" s="924"/>
      <c r="D16" s="924"/>
      <c r="E16" s="924"/>
      <c r="F16" s="924"/>
      <c r="G16" s="924"/>
      <c r="H16" s="924"/>
      <c r="I16" s="924"/>
      <c r="J16" s="924"/>
      <c r="K16" s="924"/>
      <c r="L16" s="924"/>
      <c r="M16" s="924"/>
      <c r="N16" s="924"/>
      <c r="O16" s="924"/>
      <c r="P16" s="924"/>
      <c r="Q16" s="924"/>
      <c r="R16" s="924"/>
      <c r="S16" s="924"/>
      <c r="T16" s="924"/>
      <c r="U16" s="924"/>
      <c r="V16" s="924"/>
      <c r="W16" s="924"/>
      <c r="AA16" s="183">
        <v>90000</v>
      </c>
    </row>
    <row r="17" spans="1:27" s="143" customFormat="1" ht="20.25" customHeight="1">
      <c r="A17" s="156" t="s">
        <v>246</v>
      </c>
      <c r="B17" s="156"/>
      <c r="C17" s="156"/>
      <c r="D17" s="156"/>
      <c r="E17" s="156"/>
      <c r="F17" s="156"/>
      <c r="G17" s="156"/>
      <c r="H17" s="156"/>
      <c r="I17" s="156"/>
      <c r="J17" s="156"/>
      <c r="K17" s="156"/>
      <c r="L17" s="156"/>
      <c r="M17" s="156"/>
      <c r="N17" s="156"/>
      <c r="O17" s="156"/>
      <c r="P17" s="156"/>
      <c r="Q17" s="156"/>
      <c r="R17" s="156"/>
      <c r="S17" s="156"/>
      <c r="T17" s="156"/>
      <c r="U17" s="156"/>
      <c r="V17" s="156"/>
      <c r="W17" s="156"/>
      <c r="AA17" s="183">
        <v>100000</v>
      </c>
    </row>
    <row r="18" spans="1:27" s="143" customFormat="1" ht="15" thickBot="1">
      <c r="A18" s="923" t="s">
        <v>247</v>
      </c>
      <c r="B18" s="923"/>
      <c r="C18" s="923"/>
      <c r="D18" s="923"/>
      <c r="E18" s="923"/>
      <c r="F18" s="923"/>
      <c r="G18" s="923"/>
      <c r="H18" s="923"/>
      <c r="I18" s="923"/>
      <c r="J18" s="923"/>
      <c r="K18" s="923"/>
      <c r="L18" s="923"/>
      <c r="M18" s="923"/>
      <c r="N18" s="923"/>
      <c r="O18" s="923"/>
      <c r="P18" s="923"/>
      <c r="Q18" s="923"/>
      <c r="R18" s="923"/>
      <c r="S18" s="923"/>
      <c r="T18" s="923"/>
      <c r="U18" s="923"/>
      <c r="V18" s="923"/>
      <c r="W18" s="923"/>
      <c r="AA18" s="184"/>
    </row>
    <row r="19" spans="1:27" s="143" customFormat="1">
      <c r="A19" s="923"/>
      <c r="B19" s="923"/>
      <c r="C19" s="923"/>
      <c r="D19" s="923"/>
      <c r="E19" s="923"/>
      <c r="F19" s="923"/>
      <c r="G19" s="923"/>
      <c r="H19" s="923"/>
      <c r="I19" s="923"/>
      <c r="J19" s="923"/>
      <c r="K19" s="923"/>
      <c r="L19" s="923"/>
      <c r="M19" s="923"/>
      <c r="N19" s="923"/>
      <c r="O19" s="923"/>
      <c r="P19" s="923"/>
      <c r="Q19" s="923"/>
      <c r="R19" s="923"/>
      <c r="S19" s="923"/>
      <c r="T19" s="923"/>
      <c r="U19" s="923"/>
      <c r="V19" s="923"/>
      <c r="W19" s="923"/>
    </row>
    <row r="20" spans="1:27" s="143" customFormat="1" ht="20.25" customHeight="1">
      <c r="A20" s="142"/>
      <c r="B20" s="942" t="s">
        <v>1328</v>
      </c>
      <c r="C20" s="943"/>
      <c r="D20" s="943"/>
      <c r="E20" s="943"/>
      <c r="F20" s="943"/>
      <c r="G20" s="943"/>
      <c r="H20" s="943"/>
      <c r="I20" s="943"/>
      <c r="J20" s="943"/>
      <c r="K20" s="943"/>
      <c r="L20" s="943"/>
      <c r="M20" s="943"/>
      <c r="N20" s="943"/>
      <c r="O20" s="943"/>
      <c r="P20" s="943"/>
      <c r="Q20" s="943"/>
      <c r="R20" s="943"/>
      <c r="S20" s="943"/>
      <c r="T20" s="943"/>
      <c r="U20" s="943"/>
      <c r="V20" s="943"/>
      <c r="W20" s="944"/>
    </row>
    <row r="21" spans="1:27" s="143" customFormat="1" ht="20.25" customHeight="1">
      <c r="A21" s="142"/>
      <c r="B21" s="945"/>
      <c r="C21" s="946"/>
      <c r="D21" s="946"/>
      <c r="E21" s="946"/>
      <c r="F21" s="946"/>
      <c r="G21" s="946"/>
      <c r="H21" s="946"/>
      <c r="I21" s="946"/>
      <c r="J21" s="946"/>
      <c r="K21" s="946"/>
      <c r="L21" s="946"/>
      <c r="M21" s="946"/>
      <c r="N21" s="946"/>
      <c r="O21" s="946"/>
      <c r="P21" s="946"/>
      <c r="Q21" s="946"/>
      <c r="R21" s="946"/>
      <c r="S21" s="946"/>
      <c r="T21" s="946"/>
      <c r="U21" s="946"/>
      <c r="V21" s="946"/>
      <c r="W21" s="947"/>
    </row>
    <row r="22" spans="1:27" s="143" customFormat="1" ht="20.25" customHeight="1">
      <c r="A22" s="142"/>
      <c r="B22" s="948"/>
      <c r="C22" s="949"/>
      <c r="D22" s="949"/>
      <c r="E22" s="949"/>
      <c r="F22" s="949"/>
      <c r="G22" s="949"/>
      <c r="H22" s="949"/>
      <c r="I22" s="949"/>
      <c r="J22" s="949"/>
      <c r="K22" s="949"/>
      <c r="L22" s="949"/>
      <c r="M22" s="949"/>
      <c r="N22" s="949"/>
      <c r="O22" s="949"/>
      <c r="P22" s="949"/>
      <c r="Q22" s="949"/>
      <c r="R22" s="949"/>
      <c r="S22" s="949"/>
      <c r="T22" s="949"/>
      <c r="U22" s="949"/>
      <c r="V22" s="949"/>
      <c r="W22" s="950"/>
    </row>
    <row r="23" spans="1:27" s="143" customFormat="1" ht="20.25" customHeight="1">
      <c r="A23" s="142" t="s">
        <v>248</v>
      </c>
      <c r="B23" s="142"/>
      <c r="C23" s="150"/>
      <c r="D23" s="150"/>
      <c r="E23" s="150"/>
      <c r="F23" s="150"/>
      <c r="G23" s="150"/>
      <c r="H23" s="150"/>
      <c r="I23" s="150"/>
      <c r="J23" s="150"/>
      <c r="K23" s="150"/>
      <c r="L23" s="150"/>
      <c r="M23" s="150"/>
      <c r="N23" s="150"/>
      <c r="O23" s="150"/>
      <c r="P23" s="150"/>
      <c r="Q23" s="150"/>
      <c r="R23" s="142"/>
      <c r="S23" s="142"/>
      <c r="T23" s="142"/>
      <c r="U23" s="142"/>
      <c r="V23" s="142"/>
      <c r="W23" s="142"/>
    </row>
    <row r="24" spans="1:27" s="143" customFormat="1">
      <c r="A24" s="142"/>
      <c r="B24" s="931" t="s">
        <v>249</v>
      </c>
      <c r="C24" s="931"/>
      <c r="D24" s="931"/>
      <c r="E24" s="931"/>
      <c r="F24" s="931"/>
      <c r="G24" s="931"/>
      <c r="H24" s="931"/>
      <c r="I24" s="931"/>
      <c r="J24" s="931"/>
      <c r="K24" s="931"/>
      <c r="L24" s="931"/>
      <c r="M24" s="931"/>
      <c r="N24" s="931"/>
      <c r="O24" s="931"/>
      <c r="P24" s="931"/>
      <c r="Q24" s="931"/>
      <c r="R24" s="931"/>
      <c r="S24" s="931"/>
      <c r="T24" s="931"/>
      <c r="U24" s="931"/>
      <c r="V24" s="931"/>
      <c r="W24" s="931"/>
    </row>
    <row r="25" spans="1:27" s="143" customFormat="1">
      <c r="A25" s="142"/>
      <c r="B25" s="156" t="s">
        <v>250</v>
      </c>
      <c r="C25" s="156"/>
      <c r="D25" s="156"/>
      <c r="E25" s="156"/>
      <c r="F25" s="156"/>
      <c r="G25" s="156"/>
      <c r="H25" s="156"/>
      <c r="I25" s="156"/>
      <c r="J25" s="156"/>
      <c r="K25" s="156"/>
      <c r="L25" s="156"/>
      <c r="M25" s="156"/>
      <c r="N25" s="156"/>
      <c r="O25" s="156"/>
      <c r="P25" s="156"/>
      <c r="Q25" s="156"/>
      <c r="R25" s="156"/>
      <c r="S25" s="156"/>
      <c r="T25" s="156"/>
      <c r="U25" s="156"/>
      <c r="V25" s="156"/>
      <c r="W25" s="156"/>
    </row>
    <row r="26" spans="1:27" s="143" customFormat="1">
      <c r="A26" s="142"/>
      <c r="B26" s="156" t="s">
        <v>251</v>
      </c>
      <c r="C26" s="156"/>
      <c r="D26" s="156"/>
      <c r="E26" s="156"/>
      <c r="F26" s="156"/>
      <c r="G26" s="156"/>
      <c r="H26" s="156"/>
      <c r="I26" s="156"/>
      <c r="J26" s="156"/>
      <c r="K26" s="156"/>
      <c r="L26" s="156"/>
      <c r="M26" s="156"/>
      <c r="N26" s="156"/>
      <c r="O26" s="156"/>
      <c r="P26" s="156"/>
      <c r="Q26" s="156"/>
      <c r="R26" s="156"/>
      <c r="S26" s="156"/>
      <c r="T26" s="156"/>
      <c r="U26" s="156"/>
      <c r="V26" s="156"/>
      <c r="W26" s="156"/>
    </row>
    <row r="27" spans="1:27" s="143" customFormat="1">
      <c r="A27" s="142"/>
      <c r="B27" s="923" t="s">
        <v>252</v>
      </c>
      <c r="C27" s="923"/>
      <c r="D27" s="923"/>
      <c r="E27" s="923"/>
      <c r="F27" s="923"/>
      <c r="G27" s="923"/>
      <c r="H27" s="923"/>
      <c r="I27" s="923"/>
      <c r="J27" s="923"/>
      <c r="K27" s="923"/>
      <c r="L27" s="923"/>
      <c r="M27" s="923"/>
      <c r="N27" s="923"/>
      <c r="O27" s="923"/>
      <c r="P27" s="923"/>
      <c r="Q27" s="923"/>
      <c r="R27" s="923"/>
      <c r="S27" s="923"/>
      <c r="T27" s="923"/>
      <c r="U27" s="923"/>
      <c r="V27" s="923"/>
      <c r="W27" s="923"/>
    </row>
    <row r="28" spans="1:27" s="143" customFormat="1">
      <c r="A28" s="142" t="s">
        <v>253</v>
      </c>
      <c r="B28" s="923"/>
      <c r="C28" s="923"/>
      <c r="D28" s="923"/>
      <c r="E28" s="923"/>
      <c r="F28" s="923"/>
      <c r="G28" s="923"/>
      <c r="H28" s="923"/>
      <c r="I28" s="923"/>
      <c r="J28" s="923"/>
      <c r="K28" s="923"/>
      <c r="L28" s="923"/>
      <c r="M28" s="923"/>
      <c r="N28" s="923"/>
      <c r="O28" s="923"/>
      <c r="P28" s="923"/>
      <c r="Q28" s="923"/>
      <c r="R28" s="923"/>
      <c r="S28" s="923"/>
      <c r="T28" s="923"/>
      <c r="U28" s="923"/>
      <c r="V28" s="923"/>
      <c r="W28" s="923"/>
    </row>
    <row r="29" spans="1:27" s="143" customFormat="1">
      <c r="A29" s="142"/>
      <c r="B29" s="923"/>
      <c r="C29" s="923"/>
      <c r="D29" s="923"/>
      <c r="E29" s="923"/>
      <c r="F29" s="923"/>
      <c r="G29" s="923"/>
      <c r="H29" s="923"/>
      <c r="I29" s="923"/>
      <c r="J29" s="923"/>
      <c r="K29" s="923"/>
      <c r="L29" s="923"/>
      <c r="M29" s="923"/>
      <c r="N29" s="923"/>
      <c r="O29" s="923"/>
      <c r="P29" s="923"/>
      <c r="Q29" s="923"/>
      <c r="R29" s="923"/>
      <c r="S29" s="923"/>
      <c r="T29" s="923"/>
      <c r="U29" s="923"/>
      <c r="V29" s="923"/>
      <c r="W29" s="923"/>
    </row>
    <row r="30" spans="1:27" s="143" customFormat="1" ht="15" customHeight="1">
      <c r="A30" s="924" t="s">
        <v>245</v>
      </c>
      <c r="B30" s="924"/>
      <c r="C30" s="924"/>
      <c r="D30" s="924"/>
      <c r="E30" s="924"/>
      <c r="F30" s="924"/>
      <c r="G30" s="924"/>
      <c r="H30" s="924"/>
      <c r="I30" s="924"/>
      <c r="J30" s="924"/>
      <c r="K30" s="924"/>
      <c r="L30" s="924"/>
      <c r="M30" s="924"/>
      <c r="N30" s="924"/>
      <c r="O30" s="924"/>
      <c r="P30" s="924"/>
      <c r="Q30" s="924"/>
      <c r="R30" s="924"/>
      <c r="S30" s="924"/>
      <c r="T30" s="924"/>
      <c r="U30" s="924"/>
      <c r="V30" s="924"/>
      <c r="W30" s="924"/>
    </row>
    <row r="31" spans="1:27" s="143" customFormat="1" ht="20.25" customHeight="1">
      <c r="A31" s="142"/>
      <c r="B31" s="157" t="s">
        <v>254</v>
      </c>
      <c r="C31" s="142" t="s">
        <v>255</v>
      </c>
      <c r="D31" s="142"/>
      <c r="E31" s="142"/>
      <c r="F31" s="142"/>
      <c r="G31" s="142"/>
      <c r="H31" s="142" t="s">
        <v>256</v>
      </c>
      <c r="I31" s="142"/>
      <c r="J31" s="142"/>
      <c r="K31" s="142"/>
      <c r="L31" s="142"/>
      <c r="M31" s="142"/>
      <c r="N31" s="142"/>
      <c r="O31" s="142"/>
      <c r="P31" s="142"/>
      <c r="Q31" s="142"/>
      <c r="R31" s="925">
        <v>680000</v>
      </c>
      <c r="S31" s="925"/>
      <c r="T31" s="925"/>
      <c r="U31" s="925"/>
      <c r="V31" s="145"/>
      <c r="W31" s="152" t="s">
        <v>257</v>
      </c>
    </row>
    <row r="32" spans="1:27" s="143" customFormat="1" ht="20.25" customHeight="1">
      <c r="A32" s="142"/>
      <c r="B32" s="157" t="s">
        <v>258</v>
      </c>
      <c r="C32" s="142" t="s">
        <v>259</v>
      </c>
      <c r="D32" s="142"/>
      <c r="E32" s="142"/>
      <c r="F32" s="142"/>
      <c r="G32" s="142"/>
      <c r="H32" s="142" t="s">
        <v>260</v>
      </c>
      <c r="I32" s="142"/>
      <c r="J32" s="142"/>
      <c r="K32" s="142"/>
      <c r="L32" s="142"/>
      <c r="M32" s="142"/>
      <c r="N32" s="142"/>
      <c r="O32" s="142"/>
      <c r="P32" s="142"/>
      <c r="Q32" s="142"/>
      <c r="R32" s="926">
        <v>80000</v>
      </c>
      <c r="S32" s="926"/>
      <c r="T32" s="926"/>
      <c r="U32" s="926"/>
      <c r="V32" s="158"/>
      <c r="W32" s="159" t="s">
        <v>257</v>
      </c>
    </row>
    <row r="33" spans="1:23" s="143" customFormat="1" ht="20.25" customHeight="1">
      <c r="A33" s="142"/>
      <c r="B33" s="157" t="s">
        <v>261</v>
      </c>
      <c r="C33" s="150" t="s">
        <v>262</v>
      </c>
      <c r="D33" s="150"/>
      <c r="E33" s="150"/>
      <c r="F33" s="150"/>
      <c r="G33" s="150"/>
      <c r="H33" s="150"/>
      <c r="I33" s="150"/>
      <c r="J33" s="150"/>
      <c r="K33" s="150"/>
      <c r="L33" s="150"/>
      <c r="M33" s="150"/>
      <c r="N33" s="150"/>
      <c r="O33" s="142"/>
      <c r="P33" s="142"/>
      <c r="Q33" s="142"/>
      <c r="R33" s="142"/>
      <c r="S33" s="142"/>
      <c r="T33" s="142"/>
      <c r="U33" s="142"/>
      <c r="V33" s="142"/>
      <c r="W33" s="142"/>
    </row>
    <row r="34" spans="1:23" s="143" customFormat="1" ht="15" customHeight="1">
      <c r="A34" s="150"/>
      <c r="B34" s="150"/>
      <c r="C34" s="150" t="s">
        <v>263</v>
      </c>
      <c r="D34" s="150"/>
      <c r="E34" s="150"/>
      <c r="F34" s="150"/>
      <c r="G34" s="150"/>
      <c r="H34" s="150"/>
      <c r="I34" s="150"/>
      <c r="J34" s="150"/>
      <c r="K34" s="150"/>
      <c r="L34" s="150"/>
      <c r="M34" s="150"/>
      <c r="N34" s="150"/>
      <c r="O34" s="150"/>
      <c r="P34" s="150"/>
      <c r="Q34" s="150"/>
      <c r="R34" s="150"/>
      <c r="S34" s="150"/>
      <c r="T34" s="150"/>
      <c r="U34" s="150"/>
      <c r="V34" s="150"/>
      <c r="W34" s="142"/>
    </row>
    <row r="35" spans="1:23">
      <c r="A35" s="160"/>
      <c r="B35" s="161"/>
      <c r="C35" s="162" t="s">
        <v>264</v>
      </c>
      <c r="D35" s="162"/>
      <c r="E35" s="162"/>
      <c r="F35" s="162"/>
      <c r="G35" s="162"/>
      <c r="H35" s="162"/>
      <c r="I35" s="162"/>
      <c r="J35" s="162"/>
      <c r="K35" s="162"/>
      <c r="L35" s="162"/>
      <c r="M35" s="162"/>
      <c r="N35" s="162"/>
      <c r="O35" s="162"/>
      <c r="P35" s="162"/>
      <c r="Q35" s="162"/>
      <c r="R35" s="162"/>
      <c r="S35" s="162"/>
      <c r="T35" s="162"/>
      <c r="U35" s="162"/>
      <c r="V35" s="162"/>
      <c r="W35" s="163"/>
    </row>
    <row r="36" spans="1:23">
      <c r="A36" s="160"/>
      <c r="B36" s="161"/>
      <c r="C36" s="636" t="s">
        <v>296</v>
      </c>
      <c r="D36" s="164" t="s">
        <v>265</v>
      </c>
      <c r="E36" s="164"/>
      <c r="F36" s="164"/>
      <c r="G36" s="164"/>
      <c r="H36" s="164"/>
      <c r="I36" s="164"/>
      <c r="J36" s="637" t="s">
        <v>266</v>
      </c>
      <c r="K36" s="164" t="s">
        <v>267</v>
      </c>
      <c r="L36" s="164"/>
      <c r="M36" s="164"/>
      <c r="N36" s="164"/>
      <c r="O36" s="164"/>
      <c r="P36" s="164"/>
      <c r="Q36" s="164"/>
      <c r="R36" s="164"/>
      <c r="S36" s="164"/>
      <c r="T36" s="164"/>
      <c r="U36" s="164"/>
      <c r="V36" s="164"/>
      <c r="W36" s="165"/>
    </row>
    <row r="37" spans="1:23" s="166" customFormat="1" ht="10.5">
      <c r="B37" s="167"/>
      <c r="C37" s="168" t="s">
        <v>268</v>
      </c>
      <c r="D37" s="169"/>
      <c r="E37" s="169"/>
      <c r="F37" s="169"/>
      <c r="G37" s="169"/>
      <c r="H37" s="169"/>
      <c r="I37" s="169"/>
      <c r="J37" s="169" t="s">
        <v>269</v>
      </c>
      <c r="K37" s="169"/>
      <c r="L37" s="169"/>
      <c r="M37" s="169"/>
      <c r="N37" s="169"/>
      <c r="O37" s="169"/>
      <c r="P37" s="169"/>
      <c r="Q37" s="169"/>
      <c r="R37" s="169"/>
      <c r="S37" s="169"/>
      <c r="T37" s="169"/>
      <c r="U37" s="169"/>
      <c r="V37" s="169"/>
      <c r="W37" s="170"/>
    </row>
    <row r="38" spans="1:23">
      <c r="A38" s="160"/>
      <c r="B38" s="161"/>
      <c r="C38" s="724" t="s">
        <v>266</v>
      </c>
      <c r="D38" s="162" t="s">
        <v>270</v>
      </c>
      <c r="E38" s="162"/>
      <c r="F38" s="930"/>
      <c r="G38" s="930"/>
      <c r="H38" s="930"/>
      <c r="I38" s="930"/>
      <c r="J38" s="930"/>
      <c r="K38" s="930"/>
      <c r="L38" s="930"/>
      <c r="M38" s="930"/>
      <c r="N38" s="930"/>
      <c r="O38" s="930"/>
      <c r="P38" s="930"/>
      <c r="Q38" s="930"/>
      <c r="R38" s="930"/>
      <c r="S38" s="930"/>
      <c r="T38" s="162" t="s">
        <v>1128</v>
      </c>
      <c r="U38" s="162"/>
      <c r="V38" s="162"/>
      <c r="W38" s="171"/>
    </row>
    <row r="39" spans="1:23">
      <c r="A39" s="160"/>
      <c r="B39" s="161"/>
      <c r="C39" s="172" t="s">
        <v>271</v>
      </c>
      <c r="D39" s="163"/>
      <c r="E39" s="163"/>
      <c r="F39" s="163"/>
      <c r="G39" s="163"/>
      <c r="H39" s="163"/>
      <c r="I39" s="163"/>
      <c r="J39" s="163"/>
      <c r="K39" s="163"/>
      <c r="L39" s="163"/>
      <c r="M39" s="163"/>
      <c r="N39" s="163"/>
      <c r="O39" s="163"/>
      <c r="P39" s="163"/>
      <c r="Q39" s="163"/>
      <c r="R39" s="163"/>
      <c r="S39" s="163"/>
      <c r="T39" s="163"/>
      <c r="U39" s="163"/>
      <c r="V39" s="163"/>
      <c r="W39" s="173"/>
    </row>
    <row r="40" spans="1:23" s="143" customFormat="1" ht="15" customHeight="1">
      <c r="A40" s="150"/>
      <c r="B40" s="150"/>
      <c r="C40" s="150" t="s">
        <v>272</v>
      </c>
      <c r="D40" s="150"/>
      <c r="E40" s="150"/>
      <c r="F40" s="150"/>
      <c r="G40" s="150"/>
      <c r="H40" s="150"/>
      <c r="I40" s="150"/>
      <c r="J40" s="150"/>
      <c r="K40" s="150"/>
      <c r="L40" s="150"/>
      <c r="M40" s="150"/>
      <c r="N40" s="150"/>
      <c r="O40" s="150"/>
      <c r="P40" s="150"/>
      <c r="Q40" s="150"/>
      <c r="R40" s="150"/>
      <c r="S40" s="150"/>
      <c r="T40" s="150"/>
      <c r="U40" s="150"/>
      <c r="V40" s="150"/>
      <c r="W40" s="142"/>
    </row>
    <row r="41" spans="1:23">
      <c r="A41" s="160"/>
      <c r="B41" s="174"/>
      <c r="C41" s="175" t="s">
        <v>273</v>
      </c>
      <c r="D41" s="164"/>
      <c r="E41" s="164"/>
      <c r="F41" s="637" t="s">
        <v>296</v>
      </c>
      <c r="G41" s="164" t="s">
        <v>274</v>
      </c>
      <c r="H41" s="164"/>
      <c r="I41" s="164"/>
      <c r="J41" s="164"/>
      <c r="K41" s="164"/>
      <c r="L41" s="637" t="s">
        <v>266</v>
      </c>
      <c r="M41" s="164" t="s">
        <v>275</v>
      </c>
      <c r="N41" s="164"/>
      <c r="O41" s="164"/>
      <c r="P41" s="637" t="s">
        <v>266</v>
      </c>
      <c r="Q41" s="164" t="s">
        <v>276</v>
      </c>
      <c r="R41" s="164"/>
      <c r="S41" s="929"/>
      <c r="T41" s="929"/>
      <c r="U41" s="929"/>
      <c r="V41" s="929"/>
      <c r="W41" s="165" t="s">
        <v>1128</v>
      </c>
    </row>
    <row r="42" spans="1:23" s="176" customFormat="1" ht="12">
      <c r="B42" s="177"/>
      <c r="C42" s="178" t="s">
        <v>277</v>
      </c>
      <c r="D42" s="179"/>
      <c r="E42" s="179"/>
      <c r="F42" s="179" t="s">
        <v>278</v>
      </c>
      <c r="G42" s="179"/>
      <c r="H42" s="179"/>
      <c r="I42" s="179"/>
      <c r="J42" s="179"/>
      <c r="K42" s="179"/>
      <c r="L42" s="179"/>
      <c r="M42" s="179" t="s">
        <v>279</v>
      </c>
      <c r="N42" s="179"/>
      <c r="O42" s="179"/>
      <c r="P42" s="179"/>
      <c r="Q42" s="179" t="s">
        <v>280</v>
      </c>
      <c r="R42" s="179"/>
      <c r="S42" s="179"/>
      <c r="T42" s="179"/>
      <c r="U42" s="179"/>
      <c r="V42" s="179"/>
      <c r="W42" s="180"/>
    </row>
    <row r="43" spans="1:23">
      <c r="A43" s="160"/>
      <c r="B43" s="161"/>
      <c r="C43" s="175" t="s">
        <v>281</v>
      </c>
      <c r="D43" s="164"/>
      <c r="E43" s="164"/>
      <c r="F43" s="637" t="s">
        <v>266</v>
      </c>
      <c r="G43" s="164" t="s">
        <v>282</v>
      </c>
      <c r="H43" s="637" t="s">
        <v>124</v>
      </c>
      <c r="I43" s="164" t="s">
        <v>283</v>
      </c>
      <c r="J43" s="164"/>
      <c r="K43" s="164"/>
      <c r="L43" s="637" t="s">
        <v>296</v>
      </c>
      <c r="M43" s="164" t="s">
        <v>284</v>
      </c>
      <c r="N43" s="164"/>
      <c r="O43" s="164"/>
      <c r="P43" s="637" t="s">
        <v>266</v>
      </c>
      <c r="Q43" s="164" t="s">
        <v>285</v>
      </c>
      <c r="R43" s="164"/>
      <c r="S43" s="929"/>
      <c r="T43" s="929"/>
      <c r="U43" s="929"/>
      <c r="V43" s="929"/>
      <c r="W43" s="165" t="s">
        <v>1128</v>
      </c>
    </row>
    <row r="44" spans="1:23" s="176" customFormat="1" ht="12">
      <c r="B44" s="177"/>
      <c r="C44" s="178" t="s">
        <v>286</v>
      </c>
      <c r="D44" s="179"/>
      <c r="E44" s="179"/>
      <c r="F44" s="179"/>
      <c r="G44" s="179" t="s">
        <v>287</v>
      </c>
      <c r="H44" s="179"/>
      <c r="I44" s="179" t="s">
        <v>288</v>
      </c>
      <c r="J44" s="179"/>
      <c r="K44" s="179"/>
      <c r="L44" s="179"/>
      <c r="M44" s="179" t="s">
        <v>289</v>
      </c>
      <c r="N44" s="179"/>
      <c r="O44" s="179"/>
      <c r="P44" s="179"/>
      <c r="Q44" s="179" t="s">
        <v>280</v>
      </c>
      <c r="R44" s="179"/>
      <c r="S44" s="179"/>
      <c r="T44" s="179"/>
      <c r="U44" s="179"/>
      <c r="V44" s="179"/>
      <c r="W44" s="180"/>
    </row>
    <row r="45" spans="1:23">
      <c r="A45" s="160"/>
      <c r="B45" s="160"/>
      <c r="C45" s="160"/>
      <c r="D45" s="160"/>
      <c r="E45" s="160"/>
      <c r="F45" s="160"/>
      <c r="G45" s="160"/>
      <c r="H45" s="160"/>
      <c r="I45" s="160"/>
      <c r="J45" s="160"/>
      <c r="K45" s="160"/>
      <c r="L45" s="160"/>
      <c r="M45" s="160"/>
      <c r="N45" s="160"/>
      <c r="O45" s="160"/>
      <c r="P45" s="160"/>
      <c r="Q45" s="160"/>
      <c r="R45" s="160"/>
      <c r="S45" s="160"/>
      <c r="T45" s="160"/>
      <c r="U45" s="160"/>
      <c r="V45" s="160"/>
      <c r="W45" s="160"/>
    </row>
    <row r="46" spans="1:23" s="143" customFormat="1" ht="16.5" customHeight="1">
      <c r="A46" s="150"/>
      <c r="B46" s="150"/>
      <c r="C46" s="150"/>
      <c r="D46" s="150"/>
      <c r="E46" s="150"/>
      <c r="F46" s="150"/>
      <c r="G46" s="150"/>
      <c r="H46" s="150"/>
      <c r="I46" s="150"/>
      <c r="J46" s="150"/>
      <c r="K46" s="150"/>
      <c r="L46" s="150"/>
      <c r="M46" s="150"/>
      <c r="N46" s="150"/>
      <c r="O46" s="150"/>
      <c r="P46" s="927">
        <v>2017</v>
      </c>
      <c r="Q46" s="928"/>
      <c r="R46" s="529" t="s">
        <v>4</v>
      </c>
      <c r="S46" s="928">
        <v>5</v>
      </c>
      <c r="T46" s="928"/>
      <c r="U46" s="529" t="s">
        <v>290</v>
      </c>
      <c r="V46" s="638">
        <v>20</v>
      </c>
      <c r="W46" s="532" t="s">
        <v>6</v>
      </c>
    </row>
    <row r="47" spans="1:23" s="143" customFormat="1" ht="15" customHeight="1">
      <c r="A47" s="150"/>
      <c r="B47" s="150"/>
      <c r="C47" s="150"/>
      <c r="D47" s="150"/>
      <c r="E47" s="150"/>
      <c r="F47" s="150"/>
      <c r="G47" s="150"/>
      <c r="H47" s="150"/>
      <c r="I47" s="150"/>
      <c r="J47" s="150"/>
      <c r="K47" s="150"/>
      <c r="L47" s="150"/>
      <c r="M47" s="150"/>
      <c r="N47" s="150"/>
      <c r="O47" s="150"/>
      <c r="P47" s="533"/>
      <c r="Q47" s="528"/>
      <c r="R47" s="153" t="s">
        <v>291</v>
      </c>
      <c r="S47" s="528"/>
      <c r="T47" s="151"/>
      <c r="U47" s="153" t="s">
        <v>292</v>
      </c>
      <c r="V47" s="151"/>
      <c r="W47" s="534" t="s">
        <v>293</v>
      </c>
    </row>
    <row r="48" spans="1:23" s="143" customFormat="1">
      <c r="A48" s="142"/>
      <c r="B48" s="142" t="s">
        <v>294</v>
      </c>
      <c r="C48" s="142"/>
      <c r="D48" s="142"/>
      <c r="E48" s="142"/>
      <c r="F48" s="142"/>
      <c r="G48" s="142"/>
      <c r="H48" s="142"/>
      <c r="I48" s="142"/>
      <c r="J48" s="142"/>
      <c r="K48" s="150"/>
      <c r="M48" s="142"/>
      <c r="N48" s="142"/>
      <c r="O48" s="142"/>
      <c r="P48" s="142"/>
      <c r="Q48" s="142"/>
      <c r="R48" s="142"/>
      <c r="S48" s="142"/>
      <c r="T48" s="142"/>
      <c r="U48" s="142"/>
      <c r="V48" s="142"/>
      <c r="W48" s="142"/>
    </row>
    <row r="49" spans="1:23" s="143" customFormat="1" ht="12.95" customHeight="1">
      <c r="A49" s="142" t="s">
        <v>295</v>
      </c>
      <c r="B49" s="882" t="s">
        <v>297</v>
      </c>
      <c r="C49" s="881" t="s">
        <v>1067</v>
      </c>
      <c r="D49" s="882"/>
      <c r="E49" s="883" t="s">
        <v>1281</v>
      </c>
      <c r="F49" s="883"/>
      <c r="G49" s="883"/>
      <c r="H49" s="883"/>
      <c r="I49" s="884"/>
      <c r="J49" s="876" t="s">
        <v>1282</v>
      </c>
      <c r="K49" s="902"/>
      <c r="L49" s="909" t="s">
        <v>1283</v>
      </c>
      <c r="M49" s="909"/>
      <c r="N49" s="909"/>
      <c r="O49" s="876" t="s">
        <v>1284</v>
      </c>
      <c r="P49" s="877"/>
      <c r="Q49" s="922"/>
      <c r="R49" s="922"/>
      <c r="S49" s="922"/>
      <c r="T49" s="922"/>
      <c r="U49" s="922"/>
      <c r="V49" s="922"/>
      <c r="W49" s="922"/>
    </row>
    <row r="50" spans="1:23" s="143" customFormat="1" ht="12.95" customHeight="1">
      <c r="A50" s="142"/>
      <c r="B50" s="882"/>
      <c r="C50" s="882"/>
      <c r="D50" s="882"/>
      <c r="E50" s="885"/>
      <c r="F50" s="885"/>
      <c r="G50" s="885"/>
      <c r="H50" s="885"/>
      <c r="I50" s="886"/>
      <c r="J50" s="903"/>
      <c r="K50" s="904"/>
      <c r="L50" s="909"/>
      <c r="M50" s="909"/>
      <c r="N50" s="909"/>
      <c r="O50" s="878"/>
      <c r="P50" s="879"/>
      <c r="Q50" s="922"/>
      <c r="R50" s="922"/>
      <c r="S50" s="922"/>
      <c r="T50" s="922"/>
      <c r="U50" s="922"/>
      <c r="V50" s="922"/>
      <c r="W50" s="922"/>
    </row>
    <row r="51" spans="1:23" s="143" customFormat="1" ht="12.95" customHeight="1">
      <c r="A51" s="142"/>
      <c r="B51" s="882"/>
      <c r="C51" s="882" t="s">
        <v>104</v>
      </c>
      <c r="D51" s="916" t="s">
        <v>1285</v>
      </c>
      <c r="E51" s="917"/>
      <c r="F51" s="917"/>
      <c r="G51" s="918"/>
      <c r="H51" s="893" t="s">
        <v>1068</v>
      </c>
      <c r="I51" s="910" t="s">
        <v>1295</v>
      </c>
      <c r="J51" s="911"/>
      <c r="K51" s="911"/>
      <c r="L51" s="911"/>
      <c r="M51" s="911"/>
      <c r="N51" s="911"/>
      <c r="O51" s="911"/>
      <c r="P51" s="911"/>
      <c r="Q51" s="911"/>
      <c r="R51" s="911"/>
      <c r="S51" s="911"/>
      <c r="T51" s="911"/>
      <c r="U51" s="911"/>
      <c r="V51" s="911"/>
      <c r="W51" s="912"/>
    </row>
    <row r="52" spans="1:23" s="143" customFormat="1" ht="12.95" customHeight="1">
      <c r="A52" s="142"/>
      <c r="B52" s="882"/>
      <c r="C52" s="882"/>
      <c r="D52" s="919"/>
      <c r="E52" s="920"/>
      <c r="F52" s="920"/>
      <c r="G52" s="921"/>
      <c r="H52" s="894"/>
      <c r="I52" s="913"/>
      <c r="J52" s="914"/>
      <c r="K52" s="914"/>
      <c r="L52" s="914"/>
      <c r="M52" s="914"/>
      <c r="N52" s="914"/>
      <c r="O52" s="914"/>
      <c r="P52" s="914"/>
      <c r="Q52" s="914"/>
      <c r="R52" s="914"/>
      <c r="S52" s="914"/>
      <c r="T52" s="914"/>
      <c r="U52" s="914"/>
      <c r="V52" s="914"/>
      <c r="W52" s="915"/>
    </row>
    <row r="53" spans="1:23" s="181" customFormat="1" ht="12.95" customHeight="1">
      <c r="A53" s="150"/>
      <c r="B53" s="882" t="s">
        <v>299</v>
      </c>
      <c r="C53" s="881" t="s">
        <v>1067</v>
      </c>
      <c r="D53" s="882"/>
      <c r="E53" s="905" t="str">
        <f>IF('01.入学願書'!M126="","",'01.入学願書'!M126)</f>
        <v/>
      </c>
      <c r="F53" s="905"/>
      <c r="G53" s="905"/>
      <c r="H53" s="905"/>
      <c r="I53" s="906"/>
      <c r="J53" s="876" t="s">
        <v>298</v>
      </c>
      <c r="K53" s="902"/>
      <c r="L53" s="901" t="str">
        <f>IF('01.入学願書'!AY126="","",'01.入学願書'!AY126)</f>
        <v/>
      </c>
      <c r="M53" s="901"/>
      <c r="N53" s="901"/>
      <c r="O53" s="876" t="s">
        <v>1069</v>
      </c>
      <c r="P53" s="877"/>
      <c r="Q53" s="880"/>
      <c r="R53" s="880"/>
      <c r="S53" s="880"/>
      <c r="T53" s="880"/>
      <c r="U53" s="880"/>
      <c r="V53" s="880"/>
      <c r="W53" s="880"/>
    </row>
    <row r="54" spans="1:23" s="181" customFormat="1" ht="12.95" customHeight="1">
      <c r="A54" s="150"/>
      <c r="B54" s="882"/>
      <c r="C54" s="882"/>
      <c r="D54" s="882"/>
      <c r="E54" s="907"/>
      <c r="F54" s="907"/>
      <c r="G54" s="907"/>
      <c r="H54" s="907"/>
      <c r="I54" s="908"/>
      <c r="J54" s="903"/>
      <c r="K54" s="904"/>
      <c r="L54" s="901"/>
      <c r="M54" s="901"/>
      <c r="N54" s="901"/>
      <c r="O54" s="878"/>
      <c r="P54" s="879"/>
      <c r="Q54" s="880"/>
      <c r="R54" s="880"/>
      <c r="S54" s="880"/>
      <c r="T54" s="880"/>
      <c r="U54" s="880"/>
      <c r="V54" s="880"/>
      <c r="W54" s="880"/>
    </row>
    <row r="55" spans="1:23" s="143" customFormat="1" ht="12.95" customHeight="1">
      <c r="A55" s="142"/>
      <c r="B55" s="882"/>
      <c r="C55" s="882" t="s">
        <v>104</v>
      </c>
      <c r="D55" s="887" t="str">
        <f>IF('01.入学願書'!AR128="","",'01.入学願書'!AR128)</f>
        <v/>
      </c>
      <c r="E55" s="888"/>
      <c r="F55" s="888"/>
      <c r="G55" s="889"/>
      <c r="H55" s="893" t="s">
        <v>1068</v>
      </c>
      <c r="I55" s="895" t="str">
        <f>IF('01.入学願書'!J128="","",'01.入学願書'!J128)</f>
        <v/>
      </c>
      <c r="J55" s="896"/>
      <c r="K55" s="896"/>
      <c r="L55" s="896"/>
      <c r="M55" s="896"/>
      <c r="N55" s="896"/>
      <c r="O55" s="896"/>
      <c r="P55" s="896"/>
      <c r="Q55" s="896"/>
      <c r="R55" s="896"/>
      <c r="S55" s="896"/>
      <c r="T55" s="896"/>
      <c r="U55" s="896"/>
      <c r="V55" s="896"/>
      <c r="W55" s="897"/>
    </row>
    <row r="56" spans="1:23" s="181" customFormat="1" ht="12.95" customHeight="1">
      <c r="A56" s="150"/>
      <c r="B56" s="882"/>
      <c r="C56" s="882"/>
      <c r="D56" s="890"/>
      <c r="E56" s="891"/>
      <c r="F56" s="891"/>
      <c r="G56" s="892"/>
      <c r="H56" s="894"/>
      <c r="I56" s="898"/>
      <c r="J56" s="899"/>
      <c r="K56" s="899"/>
      <c r="L56" s="899"/>
      <c r="M56" s="899"/>
      <c r="N56" s="899"/>
      <c r="O56" s="899"/>
      <c r="P56" s="899"/>
      <c r="Q56" s="899"/>
      <c r="R56" s="899"/>
      <c r="S56" s="899"/>
      <c r="T56" s="899"/>
      <c r="U56" s="899"/>
      <c r="V56" s="899"/>
      <c r="W56" s="900"/>
    </row>
    <row r="57" spans="1:23" s="181" customFormat="1" ht="12.95" customHeight="1">
      <c r="A57" s="150"/>
      <c r="B57" s="882" t="s">
        <v>300</v>
      </c>
      <c r="C57" s="881" t="s">
        <v>1067</v>
      </c>
      <c r="D57" s="882"/>
      <c r="E57" s="905" t="str">
        <f>IF('01.入学願書'!M132="","",'01.入学願書'!M132)</f>
        <v/>
      </c>
      <c r="F57" s="905"/>
      <c r="G57" s="905"/>
      <c r="H57" s="905"/>
      <c r="I57" s="906"/>
      <c r="J57" s="876" t="s">
        <v>298</v>
      </c>
      <c r="K57" s="902"/>
      <c r="L57" s="901" t="str">
        <f>IF('01.入学願書'!AY132="","",'01.入学願書'!AY132)</f>
        <v/>
      </c>
      <c r="M57" s="901"/>
      <c r="N57" s="901"/>
      <c r="O57" s="876" t="s">
        <v>1069</v>
      </c>
      <c r="P57" s="877"/>
      <c r="Q57" s="880"/>
      <c r="R57" s="880"/>
      <c r="S57" s="880"/>
      <c r="T57" s="880"/>
      <c r="U57" s="880"/>
      <c r="V57" s="880"/>
      <c r="W57" s="880"/>
    </row>
    <row r="58" spans="1:23" s="181" customFormat="1" ht="12.95" customHeight="1">
      <c r="A58" s="150"/>
      <c r="B58" s="882"/>
      <c r="C58" s="882"/>
      <c r="D58" s="882"/>
      <c r="E58" s="907"/>
      <c r="F58" s="907"/>
      <c r="G58" s="907"/>
      <c r="H58" s="907"/>
      <c r="I58" s="908"/>
      <c r="J58" s="903"/>
      <c r="K58" s="904"/>
      <c r="L58" s="901"/>
      <c r="M58" s="901"/>
      <c r="N58" s="901"/>
      <c r="O58" s="878"/>
      <c r="P58" s="879"/>
      <c r="Q58" s="880"/>
      <c r="R58" s="880"/>
      <c r="S58" s="880"/>
      <c r="T58" s="880"/>
      <c r="U58" s="880"/>
      <c r="V58" s="880"/>
      <c r="W58" s="880"/>
    </row>
    <row r="59" spans="1:23" s="181" customFormat="1" ht="12.95" customHeight="1">
      <c r="A59" s="150"/>
      <c r="B59" s="882"/>
      <c r="C59" s="882" t="s">
        <v>104</v>
      </c>
      <c r="D59" s="887" t="str">
        <f>IF('01.入学願書'!AR134="","",'01.入学願書'!AR134)</f>
        <v/>
      </c>
      <c r="E59" s="888"/>
      <c r="F59" s="888"/>
      <c r="G59" s="889"/>
      <c r="H59" s="893" t="s">
        <v>1068</v>
      </c>
      <c r="I59" s="895" t="str">
        <f>IF('01.入学願書'!J134="","",'01.入学願書'!J134)</f>
        <v/>
      </c>
      <c r="J59" s="896"/>
      <c r="K59" s="896"/>
      <c r="L59" s="896"/>
      <c r="M59" s="896"/>
      <c r="N59" s="896"/>
      <c r="O59" s="896"/>
      <c r="P59" s="896"/>
      <c r="Q59" s="896"/>
      <c r="R59" s="896"/>
      <c r="S59" s="896"/>
      <c r="T59" s="896"/>
      <c r="U59" s="896"/>
      <c r="V59" s="896"/>
      <c r="W59" s="897"/>
    </row>
    <row r="60" spans="1:23" ht="12.95" customHeight="1">
      <c r="A60" s="160"/>
      <c r="B60" s="882"/>
      <c r="C60" s="882"/>
      <c r="D60" s="890"/>
      <c r="E60" s="891"/>
      <c r="F60" s="891"/>
      <c r="G60" s="892"/>
      <c r="H60" s="894"/>
      <c r="I60" s="898"/>
      <c r="J60" s="899"/>
      <c r="K60" s="899"/>
      <c r="L60" s="899"/>
      <c r="M60" s="899"/>
      <c r="N60" s="899"/>
      <c r="O60" s="899"/>
      <c r="P60" s="899"/>
      <c r="Q60" s="899"/>
      <c r="R60" s="899"/>
      <c r="S60" s="899"/>
      <c r="T60" s="899"/>
      <c r="U60" s="899"/>
      <c r="V60" s="899"/>
      <c r="W60" s="900"/>
    </row>
    <row r="61" spans="1:23">
      <c r="A61" s="160"/>
      <c r="B61" s="160"/>
      <c r="C61" s="160"/>
      <c r="D61" s="160"/>
      <c r="E61" s="160"/>
      <c r="F61" s="160"/>
      <c r="G61" s="160"/>
      <c r="H61" s="160"/>
      <c r="I61" s="160"/>
      <c r="J61" s="160"/>
      <c r="K61" s="160"/>
      <c r="L61" s="160"/>
      <c r="M61" s="160"/>
      <c r="N61" s="160"/>
      <c r="O61" s="160"/>
      <c r="P61" s="160"/>
      <c r="Q61" s="160"/>
      <c r="R61" s="160"/>
      <c r="S61" s="160"/>
      <c r="T61" s="160"/>
      <c r="U61" s="160"/>
      <c r="V61" s="160"/>
      <c r="W61" s="160"/>
    </row>
  </sheetData>
  <mergeCells count="58">
    <mergeCell ref="B24:W24"/>
    <mergeCell ref="A1:W1"/>
    <mergeCell ref="A2:W2"/>
    <mergeCell ref="D9:F11"/>
    <mergeCell ref="I9:L11"/>
    <mergeCell ref="N9:N10"/>
    <mergeCell ref="O9:O10"/>
    <mergeCell ref="P9:P10"/>
    <mergeCell ref="Q9:Q10"/>
    <mergeCell ref="R9:R10"/>
    <mergeCell ref="S9:S10"/>
    <mergeCell ref="A13:W14"/>
    <mergeCell ref="A15:W15"/>
    <mergeCell ref="A16:W16"/>
    <mergeCell ref="A18:W19"/>
    <mergeCell ref="B20:W22"/>
    <mergeCell ref="Q49:W50"/>
    <mergeCell ref="B27:W29"/>
    <mergeCell ref="A30:W30"/>
    <mergeCell ref="R31:U31"/>
    <mergeCell ref="R32:U32"/>
    <mergeCell ref="P46:Q46"/>
    <mergeCell ref="S46:T46"/>
    <mergeCell ref="S43:V43"/>
    <mergeCell ref="S41:V41"/>
    <mergeCell ref="F38:S38"/>
    <mergeCell ref="J57:K58"/>
    <mergeCell ref="B53:B56"/>
    <mergeCell ref="B57:B60"/>
    <mergeCell ref="C51:C52"/>
    <mergeCell ref="L49:N50"/>
    <mergeCell ref="H51:H52"/>
    <mergeCell ref="I51:W52"/>
    <mergeCell ref="D51:G52"/>
    <mergeCell ref="B49:B52"/>
    <mergeCell ref="C59:C60"/>
    <mergeCell ref="D59:G60"/>
    <mergeCell ref="E53:I54"/>
    <mergeCell ref="J53:K54"/>
    <mergeCell ref="H59:H60"/>
    <mergeCell ref="I59:W60"/>
    <mergeCell ref="O49:P50"/>
    <mergeCell ref="O57:P58"/>
    <mergeCell ref="Q57:W58"/>
    <mergeCell ref="C49:D50"/>
    <mergeCell ref="E49:I50"/>
    <mergeCell ref="C55:C56"/>
    <mergeCell ref="D55:G56"/>
    <mergeCell ref="H55:H56"/>
    <mergeCell ref="I55:W56"/>
    <mergeCell ref="L53:N54"/>
    <mergeCell ref="C53:D54"/>
    <mergeCell ref="Q53:W54"/>
    <mergeCell ref="O53:P54"/>
    <mergeCell ref="J49:K50"/>
    <mergeCell ref="L57:N58"/>
    <mergeCell ref="C57:D58"/>
    <mergeCell ref="E57:I58"/>
  </mergeCells>
  <phoneticPr fontId="5"/>
  <dataValidations count="2">
    <dataValidation type="list" allowBlank="1" showInputMessage="1" showErrorMessage="1" sqref="P43 C36 C38 J36 F41 L41 P41 F43 H43 L43">
      <formula1>$Z$9:$Z$10</formula1>
    </dataValidation>
    <dataValidation type="list" allowBlank="1" showInputMessage="1" showErrorMessage="1" sqref="R32:U32">
      <formula1>$AA$9:$AA$18</formula1>
    </dataValidation>
  </dataValidations>
  <printOptions horizontalCentered="1"/>
  <pageMargins left="0.39370078740157483" right="0.39370078740157483" top="0.39370078740157483" bottom="0.39370078740157483" header="0.51181102362204722" footer="0.51181102362204722"/>
  <pageSetup paperSize="9" scale="97" orientation="portrait" blackAndWhite="1"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CL178"/>
  <sheetViews>
    <sheetView tabSelected="1" topLeftCell="A148" zoomScale="110" zoomScaleNormal="110" zoomScaleSheetLayoutView="110" zoomScalePageLayoutView="145" workbookViewId="0">
      <selection activeCell="M126" sqref="M126:AJ127"/>
    </sheetView>
  </sheetViews>
  <sheetFormatPr defaultRowHeight="13.5"/>
  <cols>
    <col min="1" max="1" width="1.375" customWidth="1"/>
    <col min="2" max="60" width="1.625" customWidth="1"/>
    <col min="61" max="61" width="0.125" customWidth="1"/>
    <col min="62" max="66" width="1.625" customWidth="1"/>
    <col min="67" max="67" width="7.625" bestFit="1" customWidth="1"/>
    <col min="68" max="68" width="7.625" customWidth="1"/>
    <col min="69" max="69" width="3.125" customWidth="1"/>
    <col min="70" max="70" width="7.75" bestFit="1" customWidth="1"/>
    <col min="71" max="71" width="4" customWidth="1"/>
    <col min="72" max="72" width="8.125" bestFit="1" customWidth="1"/>
    <col min="73" max="73" width="3.875" customWidth="1"/>
    <col min="75" max="75" width="3.875" customWidth="1"/>
    <col min="76" max="76" width="12.25" bestFit="1" customWidth="1"/>
    <col min="77" max="78" width="12.25" customWidth="1"/>
    <col min="79" max="79" width="2.75" customWidth="1"/>
    <col min="83" max="83" width="9" style="607"/>
    <col min="84" max="84" width="41" style="607" bestFit="1" customWidth="1"/>
    <col min="85" max="90" width="9" style="607"/>
  </cols>
  <sheetData>
    <row r="1" spans="1:90">
      <c r="B1" s="726"/>
      <c r="BH1" s="67" t="s">
        <v>3</v>
      </c>
      <c r="BX1" s="1221" t="s">
        <v>994</v>
      </c>
      <c r="BY1" s="1221" t="s">
        <v>1052</v>
      </c>
      <c r="BZ1" s="1221" t="s">
        <v>1053</v>
      </c>
      <c r="CB1" s="1222" t="s">
        <v>974</v>
      </c>
      <c r="CC1" s="1221" t="s">
        <v>1054</v>
      </c>
    </row>
    <row r="2" spans="1:90" s="1" customFormat="1" ht="25.5" customHeight="1" thickBot="1">
      <c r="B2" s="1225" t="s">
        <v>2</v>
      </c>
      <c r="C2" s="1225"/>
      <c r="D2" s="1225"/>
      <c r="E2" s="1225"/>
      <c r="F2" s="1225"/>
      <c r="G2" s="1225"/>
      <c r="H2" s="1225"/>
      <c r="I2" s="1225"/>
      <c r="J2" s="1225"/>
      <c r="K2" s="1225"/>
      <c r="L2" s="1225"/>
      <c r="M2" s="1225"/>
      <c r="N2" s="1225"/>
      <c r="O2" s="1225"/>
      <c r="P2" s="1225"/>
      <c r="Q2" s="1225"/>
      <c r="R2" s="1225"/>
      <c r="S2" s="1225"/>
      <c r="T2" s="1225"/>
      <c r="U2" s="1225"/>
      <c r="V2" s="1225"/>
      <c r="W2" s="1225"/>
      <c r="X2" s="1225"/>
      <c r="Y2" s="1225"/>
      <c r="Z2" s="1225"/>
      <c r="AA2" s="1225"/>
      <c r="AB2" s="1225"/>
      <c r="AC2" s="1225"/>
      <c r="AD2" s="1225"/>
      <c r="AE2" s="1225"/>
      <c r="AF2" s="1225"/>
      <c r="AG2" s="1225"/>
      <c r="AH2" s="1225"/>
      <c r="AI2" s="1225"/>
      <c r="AJ2" s="1225"/>
      <c r="AK2" s="1225"/>
      <c r="AL2" s="1225"/>
      <c r="AM2" s="1225"/>
      <c r="AN2" s="1225"/>
      <c r="AO2" s="1225"/>
      <c r="AP2" s="1225"/>
      <c r="AQ2" s="1225"/>
      <c r="AR2" s="1225"/>
      <c r="AS2" s="1225"/>
      <c r="AT2" s="1225"/>
      <c r="AU2" s="1225"/>
      <c r="AV2" s="1225"/>
      <c r="AW2" s="1225"/>
      <c r="AX2" s="1225"/>
      <c r="AY2" s="1225"/>
      <c r="AZ2" s="1225"/>
      <c r="BA2" s="1225"/>
      <c r="BB2" s="1225"/>
      <c r="BC2" s="1225"/>
      <c r="BD2" s="1225"/>
      <c r="BE2" s="1225"/>
      <c r="BF2" s="1225"/>
      <c r="BG2" s="1225"/>
      <c r="BH2" s="1225"/>
      <c r="BO2" s="643" t="s">
        <v>956</v>
      </c>
      <c r="BP2" s="644" t="s">
        <v>1062</v>
      </c>
      <c r="BQ2" s="643"/>
      <c r="BR2" s="643" t="s">
        <v>955</v>
      </c>
      <c r="BS2" s="643"/>
      <c r="BT2" s="643" t="s">
        <v>970</v>
      </c>
      <c r="BU2" s="643"/>
      <c r="BV2" s="643" t="s">
        <v>971</v>
      </c>
      <c r="BW2" s="643"/>
      <c r="BX2" s="1224"/>
      <c r="BY2" s="1224"/>
      <c r="BZ2" s="1221"/>
      <c r="CA2" s="643"/>
      <c r="CB2" s="1223"/>
      <c r="CC2" s="1221"/>
      <c r="CE2" s="607" t="s">
        <v>1244</v>
      </c>
      <c r="CF2" s="607"/>
      <c r="CG2" s="607"/>
      <c r="CH2" s="607" t="s">
        <v>1012</v>
      </c>
      <c r="CI2" s="607"/>
      <c r="CJ2" s="607"/>
      <c r="CK2" s="607"/>
      <c r="CL2" s="607"/>
    </row>
    <row r="3" spans="1:90" s="1" customFormat="1" ht="16.5" customHeight="1">
      <c r="B3" s="1226" t="s">
        <v>1</v>
      </c>
      <c r="C3" s="1226"/>
      <c r="D3" s="1226"/>
      <c r="E3" s="1226"/>
      <c r="F3" s="1226"/>
      <c r="G3" s="1226"/>
      <c r="H3" s="1226"/>
      <c r="I3" s="1226"/>
      <c r="J3" s="1226"/>
      <c r="K3" s="1226"/>
      <c r="L3" s="1226"/>
      <c r="M3" s="1226"/>
      <c r="N3" s="1226"/>
      <c r="O3" s="1226"/>
      <c r="P3" s="1226"/>
      <c r="Q3" s="1226"/>
      <c r="R3" s="1226"/>
      <c r="S3" s="1226"/>
      <c r="T3" s="1226"/>
      <c r="U3" s="1226"/>
      <c r="V3" s="1226"/>
      <c r="W3" s="1226"/>
      <c r="X3" s="1226"/>
      <c r="Y3" s="1226"/>
      <c r="Z3" s="1226"/>
      <c r="AA3" s="1226"/>
      <c r="AB3" s="1226"/>
      <c r="AC3" s="1226"/>
      <c r="AD3" s="1226"/>
      <c r="AE3" s="1226"/>
      <c r="AF3" s="1226"/>
      <c r="AG3" s="1226"/>
      <c r="AH3" s="1226"/>
      <c r="AI3" s="1226"/>
      <c r="AJ3" s="1226"/>
      <c r="AK3" s="1226"/>
      <c r="AL3" s="1226"/>
      <c r="AM3" s="1226"/>
      <c r="AN3" s="1226"/>
      <c r="AO3" s="1226"/>
      <c r="AP3" s="1226"/>
      <c r="AQ3" s="1226"/>
      <c r="AR3" s="1226"/>
      <c r="AS3" s="1226"/>
      <c r="AT3" s="1226"/>
      <c r="AU3" s="1226"/>
      <c r="AV3" s="1226"/>
      <c r="AW3" s="1226"/>
      <c r="AX3" s="1226"/>
      <c r="AY3" s="1226"/>
      <c r="AZ3" s="1226"/>
      <c r="BA3" s="1226"/>
      <c r="BB3" s="1226"/>
      <c r="BC3" s="1226"/>
      <c r="BD3" s="1226"/>
      <c r="BE3" s="1226"/>
      <c r="BF3" s="1226"/>
      <c r="BG3" s="1226"/>
      <c r="BH3" s="1226"/>
      <c r="BO3" s="535"/>
      <c r="BP3" s="535"/>
      <c r="BR3" s="539"/>
      <c r="BT3" s="614"/>
      <c r="BU3" s="137"/>
      <c r="BV3" s="618"/>
      <c r="BX3" s="614"/>
      <c r="BY3" s="614"/>
      <c r="BZ3" s="614"/>
      <c r="CA3" s="36"/>
      <c r="CB3" s="618"/>
      <c r="CC3" s="618"/>
      <c r="CD3" s="12" t="s">
        <v>125</v>
      </c>
      <c r="CE3" s="607" t="s">
        <v>993</v>
      </c>
      <c r="CF3" s="607" t="str">
        <f>IF(M126="",M119,IF(M119="","",M119&amp;"("&amp;VLOOKUP(AY119,BX4:BY23,2,FALSE)&amp;")"))</f>
        <v>TRAN THI NHI</v>
      </c>
      <c r="CG3" s="607"/>
      <c r="CH3" s="607">
        <f>IF(CF3="","",1)</f>
        <v>1</v>
      </c>
      <c r="CI3" s="607"/>
      <c r="CJ3" s="607"/>
      <c r="CK3" s="607"/>
      <c r="CL3" s="607"/>
    </row>
    <row r="4" spans="1:90" s="1" customFormat="1" ht="18" customHeight="1">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BO4" s="536" t="s">
        <v>301</v>
      </c>
      <c r="BP4" s="536" t="s">
        <v>1063</v>
      </c>
      <c r="BR4" s="543" t="s">
        <v>895</v>
      </c>
      <c r="BT4" s="615" t="s">
        <v>197</v>
      </c>
      <c r="BU4" s="137"/>
      <c r="BV4" s="615" t="s">
        <v>966</v>
      </c>
      <c r="BX4" s="615" t="s">
        <v>101</v>
      </c>
      <c r="BY4" s="615" t="s">
        <v>305</v>
      </c>
      <c r="BZ4" s="615" t="s">
        <v>305</v>
      </c>
      <c r="CA4" s="36"/>
      <c r="CB4" s="615" t="s">
        <v>1098</v>
      </c>
      <c r="CC4" s="619" t="s">
        <v>1072</v>
      </c>
      <c r="CD4" s="12" t="s">
        <v>127</v>
      </c>
      <c r="CE4" s="607" t="s">
        <v>1009</v>
      </c>
      <c r="CF4" s="607" t="str">
        <f>IF(M126="","",M126&amp;"("&amp;VLOOKUP(AY126,BX4:BY23,2,FALSE)&amp;")")</f>
        <v/>
      </c>
      <c r="CG4" s="607"/>
      <c r="CH4" s="607" t="str">
        <f>IF(CF4="","",1)</f>
        <v/>
      </c>
      <c r="CI4" s="607"/>
      <c r="CJ4" s="607"/>
      <c r="CK4" s="607"/>
      <c r="CL4" s="607"/>
    </row>
    <row r="5" spans="1:90" ht="20.25" customHeight="1">
      <c r="A5" s="1228" t="s">
        <v>1260</v>
      </c>
      <c r="B5" s="1228"/>
      <c r="C5" s="1228"/>
      <c r="D5" s="1228"/>
      <c r="E5" s="1228"/>
      <c r="F5" s="1228"/>
      <c r="G5" s="1228"/>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1228"/>
      <c r="AK5" s="1228"/>
      <c r="AL5" s="1228"/>
      <c r="AM5" s="1228"/>
      <c r="AN5" s="1228"/>
      <c r="AO5" s="1228"/>
      <c r="AP5" s="1228"/>
      <c r="AQ5" s="1228"/>
      <c r="AR5" s="1228"/>
      <c r="AS5" s="1228"/>
      <c r="AT5" s="1228"/>
      <c r="AU5" s="1228"/>
      <c r="AV5" s="1228"/>
      <c r="AW5" s="1228"/>
      <c r="AX5" s="1228"/>
      <c r="AY5" s="1228"/>
      <c r="AZ5" s="1228"/>
      <c r="BA5" s="1228"/>
      <c r="BB5" s="1228"/>
      <c r="BC5" s="1228"/>
      <c r="BD5" s="1228"/>
      <c r="BE5" s="1228"/>
      <c r="BF5" s="1228"/>
      <c r="BG5" s="1228"/>
      <c r="BH5" s="1228"/>
      <c r="BO5" s="537" t="s">
        <v>302</v>
      </c>
      <c r="BP5" s="537" t="s">
        <v>1064</v>
      </c>
      <c r="BR5" s="540" t="s">
        <v>896</v>
      </c>
      <c r="BT5" s="615" t="s">
        <v>198</v>
      </c>
      <c r="BU5" s="137"/>
      <c r="BV5" s="615" t="s">
        <v>967</v>
      </c>
      <c r="BX5" s="615" t="s">
        <v>972</v>
      </c>
      <c r="BY5" s="615" t="s">
        <v>893</v>
      </c>
      <c r="BZ5" s="615" t="s">
        <v>893</v>
      </c>
      <c r="CA5" s="36"/>
      <c r="CB5" s="615" t="s">
        <v>990</v>
      </c>
      <c r="CC5" s="619" t="s">
        <v>1057</v>
      </c>
      <c r="CE5" s="607" t="s">
        <v>1010</v>
      </c>
      <c r="CF5" s="607" t="str">
        <f>IF(M132="","",M132&amp;"("&amp;VLOOKUP(AY132,BX4:BY23,2,FALSE)&amp;")")</f>
        <v/>
      </c>
      <c r="CH5" s="607" t="str">
        <f>IF(CF5="","",1)</f>
        <v/>
      </c>
    </row>
    <row r="6" spans="1:90" s="2" customFormat="1" ht="20.25" customHeight="1">
      <c r="A6" s="1229" t="s">
        <v>1264</v>
      </c>
      <c r="B6" s="1229"/>
      <c r="C6" s="1229"/>
      <c r="D6" s="1229"/>
      <c r="E6" s="1229"/>
      <c r="F6" s="1229"/>
      <c r="G6" s="1229"/>
      <c r="H6" s="1229"/>
      <c r="I6" s="1229"/>
      <c r="J6" s="1229"/>
      <c r="K6" s="1229"/>
      <c r="L6" s="1229"/>
      <c r="M6" s="1229"/>
      <c r="N6" s="1229"/>
      <c r="O6" s="1229"/>
      <c r="P6" s="1229"/>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8"/>
      <c r="BJ6" s="8"/>
      <c r="BK6" s="8"/>
      <c r="BL6" s="8"/>
      <c r="BO6" s="537" t="s">
        <v>303</v>
      </c>
      <c r="BP6" s="537" t="s">
        <v>1065</v>
      </c>
      <c r="BR6" s="541"/>
      <c r="BT6" s="615" t="s">
        <v>199</v>
      </c>
      <c r="BU6" s="137"/>
      <c r="BV6" s="615" t="s">
        <v>968</v>
      </c>
      <c r="BX6" s="615" t="s">
        <v>973</v>
      </c>
      <c r="BY6" s="615" t="s">
        <v>995</v>
      </c>
      <c r="BZ6" s="615" t="s">
        <v>995</v>
      </c>
      <c r="CA6" s="36"/>
      <c r="CB6" s="615" t="s">
        <v>987</v>
      </c>
      <c r="CC6" s="619" t="s">
        <v>1059</v>
      </c>
      <c r="CE6" s="607" t="s">
        <v>1011</v>
      </c>
      <c r="CF6" s="607" t="str">
        <f>IF(CH6=3,CF3&amp;"、"&amp;CF4&amp;"、"&amp;CF5,IF(CH6=2,CF3&amp;"、"&amp;CF4,IF(CH6=1,CF3,"未記入")))</f>
        <v>TRAN THI NHI</v>
      </c>
      <c r="CG6" s="607"/>
      <c r="CH6" s="607">
        <f>SUM(CH3:CH5)</f>
        <v>1</v>
      </c>
      <c r="CI6" s="607"/>
      <c r="CJ6" s="607"/>
      <c r="CK6" s="607"/>
      <c r="CL6" s="607"/>
    </row>
    <row r="7" spans="1:90" s="2" customFormat="1" ht="20.25" customHeight="1">
      <c r="B7" s="1227"/>
      <c r="C7" s="1227"/>
      <c r="D7" s="1227"/>
      <c r="E7" s="1227"/>
      <c r="F7" s="1227"/>
      <c r="G7" s="1227"/>
      <c r="H7" s="1227"/>
      <c r="I7" s="1227"/>
      <c r="J7" s="1227"/>
      <c r="K7" s="1227"/>
      <c r="L7" s="1227"/>
      <c r="M7" s="120"/>
      <c r="N7" s="120"/>
      <c r="O7" s="120"/>
      <c r="P7" s="120"/>
      <c r="Q7" s="3"/>
      <c r="R7" s="3"/>
      <c r="S7" s="3"/>
      <c r="T7" s="3"/>
      <c r="U7" s="3"/>
      <c r="V7" s="121"/>
      <c r="W7" s="121"/>
      <c r="X7" s="121"/>
      <c r="Y7" s="121"/>
      <c r="Z7" s="121"/>
      <c r="AA7" s="121"/>
      <c r="AB7" s="10"/>
      <c r="AC7" s="10"/>
      <c r="AD7" s="10"/>
      <c r="AE7" s="10"/>
      <c r="AF7" s="10"/>
      <c r="AG7" s="10"/>
      <c r="AH7" s="10"/>
      <c r="AI7" s="10"/>
      <c r="AJ7" s="10"/>
      <c r="AK7" s="10"/>
      <c r="AL7" s="10"/>
      <c r="AM7" s="94"/>
      <c r="AN7" s="3"/>
      <c r="AO7" s="3"/>
      <c r="AP7" s="3"/>
      <c r="AQ7" s="3"/>
      <c r="AR7" s="3"/>
      <c r="AS7" s="3"/>
      <c r="AT7" s="3"/>
      <c r="AU7" s="3"/>
      <c r="AV7" s="3"/>
      <c r="AW7" s="3"/>
      <c r="AX7" s="3"/>
      <c r="AY7" s="3"/>
      <c r="AZ7" s="3"/>
      <c r="BA7" s="3"/>
      <c r="BB7" s="3"/>
      <c r="BC7" s="3"/>
      <c r="BD7" s="3"/>
      <c r="BE7" s="3"/>
      <c r="BF7" s="3"/>
      <c r="BG7" s="3"/>
      <c r="BH7" s="94"/>
      <c r="BO7" s="537" t="s">
        <v>304</v>
      </c>
      <c r="BP7" s="537" t="s">
        <v>1066</v>
      </c>
      <c r="BR7" s="541"/>
      <c r="BT7" s="615" t="s">
        <v>1130</v>
      </c>
      <c r="BU7" s="137"/>
      <c r="BV7" s="615" t="s">
        <v>976</v>
      </c>
      <c r="BX7" s="615" t="s">
        <v>898</v>
      </c>
      <c r="BY7" s="615" t="s">
        <v>996</v>
      </c>
      <c r="BZ7" s="615" t="s">
        <v>996</v>
      </c>
      <c r="CA7" s="36"/>
      <c r="CB7" s="615" t="s">
        <v>975</v>
      </c>
      <c r="CC7" s="619" t="s">
        <v>1058</v>
      </c>
      <c r="CE7" s="607"/>
      <c r="CF7" s="607"/>
      <c r="CG7" s="607"/>
      <c r="CH7" s="607"/>
      <c r="CI7" s="607"/>
      <c r="CJ7" s="607"/>
      <c r="CK7" s="607"/>
      <c r="CL7" s="607"/>
    </row>
    <row r="8" spans="1:90" s="2" customFormat="1" ht="6" customHeight="1" thickBot="1">
      <c r="AL8" s="3" t="s">
        <v>0</v>
      </c>
      <c r="AM8" s="3"/>
      <c r="BO8" s="537" t="s">
        <v>1070</v>
      </c>
      <c r="BP8" s="537" t="s">
        <v>1071</v>
      </c>
      <c r="BR8" s="541"/>
      <c r="BT8" s="615" t="s">
        <v>897</v>
      </c>
      <c r="BU8" s="138"/>
      <c r="BV8" s="615" t="s">
        <v>969</v>
      </c>
      <c r="BX8" s="615" t="s">
        <v>958</v>
      </c>
      <c r="BY8" s="615" t="s">
        <v>997</v>
      </c>
      <c r="BZ8" s="615" t="s">
        <v>1047</v>
      </c>
      <c r="CA8" s="36"/>
      <c r="CB8" s="615" t="s">
        <v>988</v>
      </c>
      <c r="CC8" s="619" t="s">
        <v>1056</v>
      </c>
      <c r="CE8" s="607"/>
      <c r="CF8" s="607"/>
      <c r="CG8" s="607"/>
      <c r="CH8" s="607"/>
      <c r="CI8" s="607"/>
      <c r="CJ8" s="607"/>
      <c r="CK8" s="607"/>
      <c r="CL8" s="607"/>
    </row>
    <row r="9" spans="1:90" s="2" customFormat="1" ht="15" customHeight="1" thickBot="1">
      <c r="B9" s="24" t="s">
        <v>94</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6"/>
      <c r="BO9" s="537"/>
      <c r="BP9" s="537"/>
      <c r="BR9" s="541"/>
      <c r="BT9" s="615" t="s">
        <v>898</v>
      </c>
      <c r="BV9" s="615" t="s">
        <v>986</v>
      </c>
      <c r="BX9" s="615" t="s">
        <v>957</v>
      </c>
      <c r="BY9" s="615" t="s">
        <v>998</v>
      </c>
      <c r="BZ9" s="615" t="s">
        <v>1047</v>
      </c>
      <c r="CA9" s="36"/>
      <c r="CB9" s="615" t="s">
        <v>989</v>
      </c>
      <c r="CC9" s="619" t="s">
        <v>1055</v>
      </c>
      <c r="CE9" s="607" t="s">
        <v>1243</v>
      </c>
      <c r="CF9" s="607"/>
      <c r="CG9" s="607"/>
      <c r="CH9" s="607" t="s">
        <v>1012</v>
      </c>
      <c r="CI9" s="607"/>
      <c r="CJ9" s="607"/>
      <c r="CK9" s="607"/>
      <c r="CL9" s="607"/>
    </row>
    <row r="10" spans="1:90" s="88" customFormat="1" ht="15" customHeight="1" thickBot="1">
      <c r="B10" s="84"/>
      <c r="C10" s="85"/>
      <c r="D10" s="85"/>
      <c r="E10" s="85"/>
      <c r="F10" s="85"/>
      <c r="G10" s="85"/>
      <c r="H10" s="85"/>
      <c r="I10" s="85"/>
      <c r="J10" s="87" t="s">
        <v>36</v>
      </c>
      <c r="K10" s="87"/>
      <c r="L10" s="85"/>
      <c r="M10" s="87"/>
      <c r="N10" s="85"/>
      <c r="O10" s="85"/>
      <c r="P10" s="85"/>
      <c r="Q10" s="85"/>
      <c r="R10" s="85"/>
      <c r="S10" s="87" t="s">
        <v>78</v>
      </c>
      <c r="T10" s="85"/>
      <c r="U10" s="85"/>
      <c r="V10" s="85"/>
      <c r="W10" s="85"/>
      <c r="X10" s="85"/>
      <c r="Y10" s="85"/>
      <c r="Z10" s="85"/>
      <c r="AA10" s="85"/>
      <c r="AB10" s="85"/>
      <c r="AC10" s="85"/>
      <c r="AD10" s="85"/>
      <c r="AE10" s="741"/>
      <c r="AF10" s="85"/>
      <c r="AG10" s="103"/>
      <c r="AH10" s="85"/>
      <c r="AI10" s="87"/>
      <c r="AJ10" s="85"/>
      <c r="AK10" s="87"/>
      <c r="AL10" s="85"/>
      <c r="AM10" s="87" t="s">
        <v>36</v>
      </c>
      <c r="AN10" s="87"/>
      <c r="AO10" s="85"/>
      <c r="AP10" s="87"/>
      <c r="AQ10" s="85"/>
      <c r="AR10" s="85"/>
      <c r="AS10" s="85"/>
      <c r="AT10" s="85"/>
      <c r="AU10" s="85"/>
      <c r="AV10" s="87" t="s">
        <v>78</v>
      </c>
      <c r="AW10" s="85"/>
      <c r="AX10" s="86"/>
      <c r="AY10" s="87"/>
      <c r="AZ10" s="87"/>
      <c r="BA10" s="85"/>
      <c r="BB10" s="85"/>
      <c r="BC10" s="85"/>
      <c r="BD10" s="85"/>
      <c r="BE10" s="85"/>
      <c r="BF10" s="85"/>
      <c r="BG10" s="85"/>
      <c r="BH10" s="89"/>
      <c r="BO10" s="538"/>
      <c r="BP10" s="538"/>
      <c r="BR10" s="542"/>
      <c r="BT10" s="615" t="s">
        <v>951</v>
      </c>
      <c r="BV10" s="620"/>
      <c r="BX10" s="615" t="s">
        <v>197</v>
      </c>
      <c r="BY10" s="615" t="s">
        <v>999</v>
      </c>
      <c r="BZ10" s="615" t="s">
        <v>1049</v>
      </c>
      <c r="CA10" s="36"/>
      <c r="CB10" s="622"/>
      <c r="CC10" s="622" t="s">
        <v>1099</v>
      </c>
      <c r="CE10" s="607" t="s">
        <v>993</v>
      </c>
      <c r="CF10" s="607" t="str">
        <f>IF(M126="",K123,IF(M119="","",VLOOKUP(AY119,BX3:BY23,2,FALSE)&amp;"："&amp;K123))</f>
        <v>ANH DUONG蝋燭生産有限会社</v>
      </c>
      <c r="CG10" s="607"/>
      <c r="CH10" s="607">
        <f>IF(CF10="","",1)</f>
        <v>1</v>
      </c>
      <c r="CI10" s="645"/>
      <c r="CJ10" s="645"/>
      <c r="CK10" s="645"/>
      <c r="CL10" s="645"/>
    </row>
    <row r="11" spans="1:90" s="12" customFormat="1" ht="15" customHeight="1">
      <c r="B11" s="69" t="s">
        <v>47</v>
      </c>
      <c r="C11" s="15"/>
      <c r="D11" s="15"/>
      <c r="E11" s="15"/>
      <c r="F11" s="15"/>
      <c r="G11" s="15"/>
      <c r="H11" s="15"/>
      <c r="I11" s="15"/>
      <c r="J11" s="1207" t="s">
        <v>1288</v>
      </c>
      <c r="K11" s="1207"/>
      <c r="L11" s="1207"/>
      <c r="M11" s="1207"/>
      <c r="N11" s="1207"/>
      <c r="O11" s="1207"/>
      <c r="P11" s="1207"/>
      <c r="Q11" s="1207"/>
      <c r="R11" s="15"/>
      <c r="S11" s="1207" t="s">
        <v>1289</v>
      </c>
      <c r="T11" s="1208"/>
      <c r="U11" s="1208"/>
      <c r="V11" s="1208"/>
      <c r="W11" s="1208"/>
      <c r="X11" s="1208"/>
      <c r="Y11" s="1208"/>
      <c r="Z11" s="1208"/>
      <c r="AA11" s="1208"/>
      <c r="AB11" s="1208"/>
      <c r="AC11" s="1208"/>
      <c r="AD11" s="1208"/>
      <c r="AE11" s="43"/>
      <c r="AF11" s="15" t="s">
        <v>48</v>
      </c>
      <c r="AG11" s="15"/>
      <c r="AH11" s="15"/>
      <c r="AI11" s="15"/>
      <c r="AJ11" s="15"/>
      <c r="AK11" s="15"/>
      <c r="AL11" s="15"/>
      <c r="AM11" s="1209" t="s">
        <v>1286</v>
      </c>
      <c r="AN11" s="1209"/>
      <c r="AO11" s="1209"/>
      <c r="AP11" s="1209"/>
      <c r="AQ11" s="1209"/>
      <c r="AR11" s="1209"/>
      <c r="AS11" s="1209"/>
      <c r="AT11" s="1209"/>
      <c r="AU11" s="15"/>
      <c r="AV11" s="1209" t="s">
        <v>1287</v>
      </c>
      <c r="AW11" s="1209"/>
      <c r="AX11" s="1209"/>
      <c r="AY11" s="1209"/>
      <c r="AZ11" s="1209"/>
      <c r="BA11" s="1209"/>
      <c r="BB11" s="1209"/>
      <c r="BC11" s="1209"/>
      <c r="BD11" s="1209"/>
      <c r="BE11" s="1209"/>
      <c r="BF11" s="1209"/>
      <c r="BG11" s="1209"/>
      <c r="BH11" s="34"/>
      <c r="BT11" s="615" t="s">
        <v>952</v>
      </c>
      <c r="BX11" s="615" t="s">
        <v>198</v>
      </c>
      <c r="BY11" s="615" t="s">
        <v>1000</v>
      </c>
      <c r="BZ11" s="615" t="s">
        <v>630</v>
      </c>
      <c r="CA11" s="36"/>
      <c r="CB11" s="616"/>
      <c r="CC11" s="616"/>
      <c r="CE11" s="607" t="s">
        <v>1009</v>
      </c>
      <c r="CF11" s="607" t="str">
        <f>IF(M126="","",VLOOKUP(AY126,BX3:BY23,2,FALSE)&amp;"："&amp;K130)</f>
        <v/>
      </c>
      <c r="CG11" s="607"/>
      <c r="CH11" s="607" t="str">
        <f>IF(CF11="","",1)</f>
        <v/>
      </c>
      <c r="CI11" s="64"/>
      <c r="CJ11" s="64"/>
      <c r="CK11" s="64"/>
      <c r="CL11" s="64"/>
    </row>
    <row r="12" spans="1:90" s="12" customFormat="1" ht="15" customHeight="1">
      <c r="B12" s="69" t="s">
        <v>79</v>
      </c>
      <c r="C12" s="15"/>
      <c r="D12" s="15"/>
      <c r="E12" s="15"/>
      <c r="F12" s="15"/>
      <c r="G12" s="15"/>
      <c r="H12" s="15"/>
      <c r="I12" s="15"/>
      <c r="J12" s="1207"/>
      <c r="K12" s="1207"/>
      <c r="L12" s="1207"/>
      <c r="M12" s="1207"/>
      <c r="N12" s="1207"/>
      <c r="O12" s="1207"/>
      <c r="P12" s="1207"/>
      <c r="Q12" s="1207"/>
      <c r="R12" s="15"/>
      <c r="S12" s="1208"/>
      <c r="T12" s="1208"/>
      <c r="U12" s="1208"/>
      <c r="V12" s="1208"/>
      <c r="W12" s="1208"/>
      <c r="X12" s="1208"/>
      <c r="Y12" s="1208"/>
      <c r="Z12" s="1208"/>
      <c r="AA12" s="1208"/>
      <c r="AB12" s="1208"/>
      <c r="AC12" s="1208"/>
      <c r="AD12" s="1208"/>
      <c r="AE12" s="43"/>
      <c r="AF12" s="15" t="s">
        <v>1132</v>
      </c>
      <c r="AG12" s="15"/>
      <c r="AH12" s="15"/>
      <c r="AI12" s="15"/>
      <c r="AJ12" s="15"/>
      <c r="AK12" s="15"/>
      <c r="AL12" s="15"/>
      <c r="AM12" s="1209"/>
      <c r="AN12" s="1209"/>
      <c r="AO12" s="1209"/>
      <c r="AP12" s="1209"/>
      <c r="AQ12" s="1209"/>
      <c r="AR12" s="1209"/>
      <c r="AS12" s="1209"/>
      <c r="AT12" s="1209"/>
      <c r="AU12" s="15"/>
      <c r="AV12" s="1209"/>
      <c r="AW12" s="1209"/>
      <c r="AX12" s="1209"/>
      <c r="AY12" s="1209"/>
      <c r="AZ12" s="1209"/>
      <c r="BA12" s="1209"/>
      <c r="BB12" s="1209"/>
      <c r="BC12" s="1209"/>
      <c r="BD12" s="1209"/>
      <c r="BE12" s="1209"/>
      <c r="BF12" s="1209"/>
      <c r="BG12" s="1209"/>
      <c r="BH12" s="34"/>
      <c r="BT12" s="615" t="s">
        <v>957</v>
      </c>
      <c r="BV12" s="137"/>
      <c r="BX12" s="615" t="s">
        <v>199</v>
      </c>
      <c r="BY12" s="615" t="s">
        <v>1001</v>
      </c>
      <c r="BZ12" s="615" t="s">
        <v>630</v>
      </c>
      <c r="CA12" s="36"/>
      <c r="CB12" s="616"/>
      <c r="CC12" s="616"/>
      <c r="CE12" s="607" t="s">
        <v>1010</v>
      </c>
      <c r="CF12" s="607" t="str">
        <f>IF(M132="","",VLOOKUP(AY132,BX3:BY23,2,FALSE)&amp;"："&amp;K136)</f>
        <v/>
      </c>
      <c r="CG12" s="607"/>
      <c r="CH12" s="607" t="str">
        <f>IF(CF12="","",1)</f>
        <v/>
      </c>
      <c r="CI12" s="64"/>
      <c r="CJ12" s="64"/>
      <c r="CK12" s="64"/>
      <c r="CL12" s="64"/>
    </row>
    <row r="13" spans="1:90" s="12" customFormat="1" ht="15" customHeight="1">
      <c r="B13" s="56" t="s">
        <v>80</v>
      </c>
      <c r="C13" s="16"/>
      <c r="D13" s="16"/>
      <c r="E13" s="16"/>
      <c r="F13" s="16"/>
      <c r="G13" s="16"/>
      <c r="H13" s="16"/>
      <c r="I13" s="16"/>
      <c r="J13" s="16"/>
      <c r="K13" s="16"/>
      <c r="L13" s="16"/>
      <c r="M13" s="16"/>
      <c r="N13" s="16"/>
      <c r="O13" s="16"/>
      <c r="P13" s="39"/>
      <c r="Q13" s="57"/>
      <c r="R13" s="57"/>
      <c r="S13" s="57"/>
      <c r="T13" s="57"/>
      <c r="U13" s="57"/>
      <c r="V13" s="57"/>
      <c r="W13" s="16"/>
      <c r="X13" s="57"/>
      <c r="Y13" s="57"/>
      <c r="Z13" s="57"/>
      <c r="AA13" s="57"/>
      <c r="AB13" s="16"/>
      <c r="AC13" s="16"/>
      <c r="AD13" s="57"/>
      <c r="AE13" s="45"/>
      <c r="AF13" s="39" t="s">
        <v>1133</v>
      </c>
      <c r="AG13" s="57"/>
      <c r="AH13" s="57"/>
      <c r="AI13" s="57"/>
      <c r="AJ13" s="57"/>
      <c r="AK13" s="16"/>
      <c r="AL13" s="16"/>
      <c r="AM13" s="16"/>
      <c r="AN13" s="16"/>
      <c r="AO13" s="16"/>
      <c r="AP13" s="16"/>
      <c r="AQ13" s="16"/>
      <c r="AR13" s="16"/>
      <c r="AS13" s="16"/>
      <c r="AT13" s="16"/>
      <c r="AU13" s="16"/>
      <c r="AV13" s="16"/>
      <c r="AW13" s="16"/>
      <c r="AX13" s="15"/>
      <c r="AY13" s="15"/>
      <c r="AZ13" s="15"/>
      <c r="BA13" s="15"/>
      <c r="BB13" s="15"/>
      <c r="BC13" s="15"/>
      <c r="BD13" s="15"/>
      <c r="BE13" s="15"/>
      <c r="BF13" s="15"/>
      <c r="BG13" s="15"/>
      <c r="BH13" s="34"/>
      <c r="BT13" s="615" t="s">
        <v>958</v>
      </c>
      <c r="BV13" s="138"/>
      <c r="BX13" s="615" t="s">
        <v>1130</v>
      </c>
      <c r="BY13" s="615" t="s">
        <v>1002</v>
      </c>
      <c r="BZ13" s="615" t="s">
        <v>630</v>
      </c>
      <c r="CA13" s="36"/>
      <c r="CB13" s="616"/>
      <c r="CC13" s="616"/>
      <c r="CE13" s="607" t="s">
        <v>1011</v>
      </c>
      <c r="CF13" s="607" t="str">
        <f>IF(CH13=3,CF10&amp;"、"&amp;CF11&amp;"、"&amp;CF12,IF(CH13=2,CF10&amp;"、"&amp;CF11,IF(CH13=1,CF10,"未記入")))</f>
        <v>ANH DUONG蝋燭生産有限会社</v>
      </c>
      <c r="CG13" s="607"/>
      <c r="CH13" s="607">
        <f>SUM(CH10:CH12)</f>
        <v>1</v>
      </c>
      <c r="CI13" s="64"/>
      <c r="CJ13" s="64"/>
      <c r="CK13" s="64"/>
      <c r="CL13" s="64"/>
    </row>
    <row r="14" spans="1:90" s="4" customFormat="1" ht="15" customHeight="1" thickBot="1">
      <c r="B14" s="70" t="s">
        <v>81</v>
      </c>
      <c r="C14" s="71"/>
      <c r="D14" s="15"/>
      <c r="E14" s="15"/>
      <c r="F14" s="35"/>
      <c r="G14" s="35"/>
      <c r="H14" s="820" t="s">
        <v>296</v>
      </c>
      <c r="I14" s="35" t="s">
        <v>1290</v>
      </c>
      <c r="J14" s="35"/>
      <c r="K14" s="35"/>
      <c r="L14" s="819" t="s">
        <v>124</v>
      </c>
      <c r="M14" s="15" t="s">
        <v>1291</v>
      </c>
      <c r="N14" s="15"/>
      <c r="O14" s="15"/>
      <c r="P14" s="42" t="s">
        <v>82</v>
      </c>
      <c r="Q14" s="15"/>
      <c r="R14" s="15"/>
      <c r="S14" s="15"/>
      <c r="T14" s="15"/>
      <c r="U14" s="15"/>
      <c r="V14" s="15"/>
      <c r="W14" s="15"/>
      <c r="X14" s="98"/>
      <c r="Y14" s="98"/>
      <c r="Z14" s="1210" t="s">
        <v>1279</v>
      </c>
      <c r="AA14" s="1211"/>
      <c r="AB14" s="1211"/>
      <c r="AC14" s="1211"/>
      <c r="AD14" s="1211"/>
      <c r="AE14" s="1211"/>
      <c r="AF14" s="98"/>
      <c r="AG14" s="740" t="s">
        <v>4</v>
      </c>
      <c r="AH14" s="98"/>
      <c r="AI14" s="1210" t="s">
        <v>1292</v>
      </c>
      <c r="AJ14" s="1211"/>
      <c r="AK14" s="98"/>
      <c r="AL14" s="740" t="s">
        <v>34</v>
      </c>
      <c r="AM14" s="15"/>
      <c r="AN14" s="1210" t="s">
        <v>1280</v>
      </c>
      <c r="AO14" s="1211"/>
      <c r="AP14" s="15"/>
      <c r="AQ14" s="740" t="s">
        <v>6</v>
      </c>
      <c r="AR14" s="836"/>
      <c r="AS14" s="98"/>
      <c r="AT14" s="98"/>
      <c r="AU14" s="98"/>
      <c r="AV14" s="15"/>
      <c r="AW14" s="15"/>
      <c r="AX14" s="1214"/>
      <c r="AY14" s="1214"/>
      <c r="AZ14" s="1214"/>
      <c r="BA14" s="1214"/>
      <c r="BB14" s="1214"/>
      <c r="BC14" s="1214"/>
      <c r="BD14" s="1214"/>
      <c r="BE14" s="1214"/>
      <c r="BF14" s="1214"/>
      <c r="BG14" s="1214"/>
      <c r="BH14" s="1215"/>
      <c r="BT14" s="615" t="s">
        <v>1111</v>
      </c>
      <c r="BX14" s="615" t="s">
        <v>951</v>
      </c>
      <c r="BY14" s="615" t="s">
        <v>1003</v>
      </c>
      <c r="BZ14" s="615" t="s">
        <v>190</v>
      </c>
      <c r="CA14" s="36"/>
      <c r="CB14" s="617"/>
      <c r="CC14" s="617"/>
      <c r="CE14" s="64"/>
      <c r="CF14" s="64"/>
      <c r="CG14" s="64"/>
      <c r="CH14" s="64"/>
      <c r="CI14" s="64"/>
      <c r="CJ14" s="64"/>
      <c r="CK14" s="64"/>
      <c r="CL14" s="64"/>
    </row>
    <row r="15" spans="1:90" s="4" customFormat="1" ht="15" customHeight="1">
      <c r="B15" s="58" t="s">
        <v>21</v>
      </c>
      <c r="C15" s="44"/>
      <c r="D15" s="16"/>
      <c r="E15" s="16"/>
      <c r="F15" s="16"/>
      <c r="G15" s="16"/>
      <c r="H15" s="16" t="s">
        <v>22</v>
      </c>
      <c r="I15" s="16"/>
      <c r="J15" s="16"/>
      <c r="K15" s="16"/>
      <c r="L15" s="16" t="s">
        <v>23</v>
      </c>
      <c r="M15" s="16"/>
      <c r="N15" s="15"/>
      <c r="O15" s="16"/>
      <c r="P15" s="44" t="s">
        <v>83</v>
      </c>
      <c r="Q15" s="16"/>
      <c r="R15" s="16"/>
      <c r="S15" s="16"/>
      <c r="T15" s="16"/>
      <c r="U15" s="16"/>
      <c r="V15" s="16"/>
      <c r="W15" s="16"/>
      <c r="X15" s="16"/>
      <c r="Y15" s="16"/>
      <c r="Z15" s="1212"/>
      <c r="AA15" s="1212"/>
      <c r="AB15" s="1212"/>
      <c r="AC15" s="1212"/>
      <c r="AD15" s="1212"/>
      <c r="AE15" s="1212"/>
      <c r="AF15" s="16"/>
      <c r="AG15" s="739" t="s">
        <v>106</v>
      </c>
      <c r="AH15" s="16"/>
      <c r="AI15" s="1212"/>
      <c r="AJ15" s="1212"/>
      <c r="AK15" s="16"/>
      <c r="AL15" s="739" t="s">
        <v>105</v>
      </c>
      <c r="AM15" s="16"/>
      <c r="AN15" s="1212"/>
      <c r="AO15" s="1212"/>
      <c r="AP15" s="16"/>
      <c r="AQ15" s="739" t="s">
        <v>107</v>
      </c>
      <c r="AR15" s="16"/>
      <c r="AS15" s="16"/>
      <c r="AT15" s="16"/>
      <c r="AU15" s="16"/>
      <c r="AV15" s="16"/>
      <c r="AW15" s="16"/>
      <c r="AX15" s="1214"/>
      <c r="AY15" s="1214"/>
      <c r="AZ15" s="1214"/>
      <c r="BA15" s="1214"/>
      <c r="BB15" s="1214"/>
      <c r="BC15" s="1214"/>
      <c r="BD15" s="1214"/>
      <c r="BE15" s="1214"/>
      <c r="BF15" s="1214"/>
      <c r="BG15" s="1214"/>
      <c r="BH15" s="1215"/>
      <c r="BT15" s="615" t="s">
        <v>1112</v>
      </c>
      <c r="BX15" s="615" t="s">
        <v>952</v>
      </c>
      <c r="BY15" s="615" t="s">
        <v>1004</v>
      </c>
      <c r="BZ15" s="615" t="s">
        <v>190</v>
      </c>
      <c r="CA15" s="36"/>
      <c r="CB15" s="12"/>
      <c r="CE15" s="607" t="s">
        <v>1242</v>
      </c>
      <c r="CF15" s="607"/>
      <c r="CG15" s="64"/>
      <c r="CH15" s="64"/>
      <c r="CI15" s="64"/>
      <c r="CJ15" s="64"/>
      <c r="CK15" s="64"/>
      <c r="CL15" s="64"/>
    </row>
    <row r="16" spans="1:90" s="4" customFormat="1" ht="15" customHeight="1" thickBot="1">
      <c r="B16" s="22" t="s">
        <v>114</v>
      </c>
      <c r="C16" s="15"/>
      <c r="D16" s="15"/>
      <c r="E16" s="15"/>
      <c r="F16" s="18"/>
      <c r="G16" s="18"/>
      <c r="H16" s="1128" t="s">
        <v>1246</v>
      </c>
      <c r="I16" s="1128"/>
      <c r="J16" s="1128"/>
      <c r="K16" s="1128"/>
      <c r="L16" s="1128"/>
      <c r="M16" s="1128"/>
      <c r="N16" s="1128"/>
      <c r="O16" s="15"/>
      <c r="P16" s="46" t="s">
        <v>115</v>
      </c>
      <c r="Q16" s="15"/>
      <c r="R16" s="15"/>
      <c r="S16" s="15"/>
      <c r="T16" s="15"/>
      <c r="U16" s="15"/>
      <c r="V16" s="15"/>
      <c r="W16" s="1131" t="s">
        <v>1324</v>
      </c>
      <c r="X16" s="1131"/>
      <c r="Y16" s="1131"/>
      <c r="Z16" s="1131"/>
      <c r="AA16" s="1131"/>
      <c r="AB16" s="1131"/>
      <c r="AC16" s="1131"/>
      <c r="AD16" s="1131"/>
      <c r="AE16" s="1131"/>
      <c r="AF16" s="1131"/>
      <c r="AG16" s="1132"/>
      <c r="AH16" s="42" t="s">
        <v>1293</v>
      </c>
      <c r="AI16" s="15"/>
      <c r="AJ16" s="15"/>
      <c r="AK16" s="15"/>
      <c r="AL16" s="15"/>
      <c r="AM16" s="15"/>
      <c r="AN16" s="15"/>
      <c r="AO16" s="15"/>
      <c r="AP16" s="15"/>
      <c r="AQ16" s="819" t="s">
        <v>296</v>
      </c>
      <c r="AR16" s="15" t="s">
        <v>1294</v>
      </c>
      <c r="AS16" s="15"/>
      <c r="AT16" s="819" t="s">
        <v>124</v>
      </c>
      <c r="AU16" s="15" t="s">
        <v>129</v>
      </c>
      <c r="AV16" s="15"/>
      <c r="AW16" s="15"/>
      <c r="AX16" s="1214"/>
      <c r="AY16" s="1214"/>
      <c r="AZ16" s="1214"/>
      <c r="BA16" s="1214"/>
      <c r="BB16" s="1214"/>
      <c r="BC16" s="1214"/>
      <c r="BD16" s="1214"/>
      <c r="BE16" s="1214"/>
      <c r="BF16" s="1214"/>
      <c r="BG16" s="1214"/>
      <c r="BH16" s="1215"/>
      <c r="BT16" s="615" t="s">
        <v>954</v>
      </c>
      <c r="BX16" s="615" t="s">
        <v>1111</v>
      </c>
      <c r="BY16" s="615" t="s">
        <v>1005</v>
      </c>
      <c r="BZ16" s="615" t="s">
        <v>190</v>
      </c>
      <c r="CA16" s="36"/>
      <c r="CB16" s="12"/>
      <c r="CE16" s="607" t="s">
        <v>993</v>
      </c>
      <c r="CF16" s="607" t="str">
        <f>IF(M126="",J121,IF(M119="","",VLOOKUP(AY119,BX3:BY23,2,FALSE)&amp;"："&amp;J121))</f>
        <v>AN LU 、THUY NGUYEN、HAI PHONG</v>
      </c>
      <c r="CG16" s="64"/>
      <c r="CH16" s="64"/>
      <c r="CI16" s="64"/>
      <c r="CJ16" s="64"/>
      <c r="CK16" s="64"/>
      <c r="CL16" s="64"/>
    </row>
    <row r="17" spans="2:90" s="4" customFormat="1" ht="15" customHeight="1">
      <c r="B17" s="51" t="s">
        <v>84</v>
      </c>
      <c r="C17" s="16"/>
      <c r="D17" s="16"/>
      <c r="E17" s="16"/>
      <c r="F17" s="16"/>
      <c r="G17" s="16"/>
      <c r="H17" s="1129"/>
      <c r="I17" s="1129"/>
      <c r="J17" s="1129"/>
      <c r="K17" s="1129"/>
      <c r="L17" s="1129"/>
      <c r="M17" s="1129"/>
      <c r="N17" s="1129"/>
      <c r="O17" s="16"/>
      <c r="P17" s="44" t="s">
        <v>24</v>
      </c>
      <c r="Q17" s="16"/>
      <c r="R17" s="16"/>
      <c r="S17" s="16"/>
      <c r="T17" s="16"/>
      <c r="U17" s="16"/>
      <c r="V17" s="16"/>
      <c r="W17" s="1133"/>
      <c r="X17" s="1133"/>
      <c r="Y17" s="1133"/>
      <c r="Z17" s="1133"/>
      <c r="AA17" s="1133"/>
      <c r="AB17" s="1133"/>
      <c r="AC17" s="1133"/>
      <c r="AD17" s="1133"/>
      <c r="AE17" s="1133"/>
      <c r="AF17" s="1133"/>
      <c r="AG17" s="1134"/>
      <c r="AH17" s="44" t="s">
        <v>25</v>
      </c>
      <c r="AI17" s="16"/>
      <c r="AJ17" s="16"/>
      <c r="AK17" s="16"/>
      <c r="AL17" s="16"/>
      <c r="AM17" s="16"/>
      <c r="AN17" s="16"/>
      <c r="AO17" s="16"/>
      <c r="AP17" s="16"/>
      <c r="AQ17" s="16" t="s">
        <v>26</v>
      </c>
      <c r="AR17" s="16"/>
      <c r="AS17" s="16"/>
      <c r="AT17" s="16"/>
      <c r="AU17" s="16"/>
      <c r="AV17" s="16"/>
      <c r="AW17" s="16"/>
      <c r="AX17" s="1214"/>
      <c r="AY17" s="1214"/>
      <c r="AZ17" s="1214"/>
      <c r="BA17" s="1214"/>
      <c r="BB17" s="1214"/>
      <c r="BC17" s="1214"/>
      <c r="BD17" s="1214"/>
      <c r="BE17" s="1214"/>
      <c r="BF17" s="1214"/>
      <c r="BG17" s="1214"/>
      <c r="BH17" s="1215"/>
      <c r="BT17" s="615" t="s">
        <v>953</v>
      </c>
      <c r="BX17" s="615" t="s">
        <v>1112</v>
      </c>
      <c r="BY17" s="615" t="s">
        <v>1006</v>
      </c>
      <c r="BZ17" s="615" t="s">
        <v>190</v>
      </c>
      <c r="CA17" s="36"/>
      <c r="CB17" s="642" t="s">
        <v>1051</v>
      </c>
      <c r="CC17" s="93" t="s">
        <v>1257</v>
      </c>
      <c r="CD17" s="93" t="s">
        <v>1258</v>
      </c>
      <c r="CE17" s="607" t="s">
        <v>1009</v>
      </c>
      <c r="CF17" s="607" t="str">
        <f>IF(M126="","",VLOOKUP(AY126,BX3:BY23,2,FALSE)&amp;"："&amp;J128)</f>
        <v/>
      </c>
      <c r="CG17" s="64"/>
      <c r="CH17" s="64"/>
      <c r="CI17" s="64"/>
      <c r="CJ17" s="64"/>
      <c r="CK17" s="64"/>
      <c r="CL17" s="64"/>
    </row>
    <row r="18" spans="2:90" s="4" customFormat="1" ht="15" customHeight="1" thickBot="1">
      <c r="B18" s="22" t="s">
        <v>116</v>
      </c>
      <c r="C18" s="15"/>
      <c r="D18" s="15"/>
      <c r="E18" s="15"/>
      <c r="F18" s="15"/>
      <c r="G18" s="15"/>
      <c r="H18" s="15"/>
      <c r="I18" s="15"/>
      <c r="J18" s="15"/>
      <c r="K18" s="15"/>
      <c r="L18" s="819" t="s">
        <v>124</v>
      </c>
      <c r="M18" s="15" t="s">
        <v>202</v>
      </c>
      <c r="N18" s="15"/>
      <c r="O18" s="15"/>
      <c r="P18" s="15"/>
      <c r="Q18" s="15"/>
      <c r="R18" s="15"/>
      <c r="S18" s="15"/>
      <c r="T18" s="7"/>
      <c r="U18" s="819" t="s">
        <v>125</v>
      </c>
      <c r="V18" s="15" t="s">
        <v>1118</v>
      </c>
      <c r="W18" s="15"/>
      <c r="X18" s="15"/>
      <c r="Y18" s="15"/>
      <c r="Z18" s="725"/>
      <c r="AA18" s="725"/>
      <c r="AB18" s="725"/>
      <c r="AC18" s="725"/>
      <c r="AD18" s="725"/>
      <c r="AE18" s="725"/>
      <c r="AF18" s="725"/>
      <c r="AG18" s="15"/>
      <c r="AH18" s="15"/>
      <c r="AI18" s="819" t="s">
        <v>296</v>
      </c>
      <c r="AJ18" s="15" t="s">
        <v>136</v>
      </c>
      <c r="AK18" s="35"/>
      <c r="AL18" s="36"/>
      <c r="AM18" s="36"/>
      <c r="AN18" s="15"/>
      <c r="AO18" s="15"/>
      <c r="AP18" s="15"/>
      <c r="AQ18" s="15"/>
      <c r="AR18" s="15"/>
      <c r="AS18" s="15"/>
      <c r="AT18" s="15"/>
      <c r="AU18" s="15"/>
      <c r="AV18" s="15"/>
      <c r="AW18" s="15"/>
      <c r="AX18" s="1214"/>
      <c r="AY18" s="1214"/>
      <c r="AZ18" s="1214"/>
      <c r="BA18" s="1214"/>
      <c r="BB18" s="1214"/>
      <c r="BC18" s="1214"/>
      <c r="BD18" s="1214"/>
      <c r="BE18" s="1214"/>
      <c r="BF18" s="1214"/>
      <c r="BG18" s="1214"/>
      <c r="BH18" s="1215"/>
      <c r="BT18" s="616"/>
      <c r="BX18" s="615" t="s">
        <v>954</v>
      </c>
      <c r="BY18" s="615" t="s">
        <v>1007</v>
      </c>
      <c r="BZ18" s="615" t="s">
        <v>1007</v>
      </c>
      <c r="CA18" s="36"/>
      <c r="CB18" s="617" t="str">
        <f>IF(BB86="卒業graduated",B86,IF(BB86="卒業見込intend to graduate",B86,IF(BB84="卒業graduated",B84,IF(BB84="卒業見込intend to graduate",B84,IF(BB82="卒業graduated",B82,IF(BB82="卒業見込intend to graduate",B82,IF(BB80="卒業graduated",B80,IF(BB80="卒業見込intend to graduate",B80,"エラー要確認"))))))))</f>
        <v>エラー要確認</v>
      </c>
      <c r="CC18" s="656" t="str">
        <f>IFERROR(VLOOKUP(CB18,CB4:CC14,2,FALSE),"エラー要確認")</f>
        <v>エラー要確認</v>
      </c>
      <c r="CD18" s="656" t="str">
        <f>IF(BB86="卒業graduated",H86,IF(BB86="卒業見込intend to graduate",H86,IF(BB84="卒業graduated",H84,IF(BB84="卒業見込intend to graduate",H84,IF(BB82="卒業graduated",H82,IF(BB82="卒業見込intend to graduate",H82,IF(BB80="卒業graduated",H80,IF(BB80="卒業見込intend to graduate",H80,"エラー要確認"))))))))</f>
        <v>エラー要確認</v>
      </c>
      <c r="CE18" s="607" t="s">
        <v>1010</v>
      </c>
      <c r="CF18" s="607" t="str">
        <f>IF(M132="","",VLOOKUP(AY132,BX3:BY23,2,FALSE)&amp;"："&amp;J134)</f>
        <v/>
      </c>
      <c r="CG18" s="64"/>
      <c r="CH18" s="64"/>
      <c r="CI18" s="64"/>
      <c r="CJ18" s="64"/>
      <c r="CK18" s="64"/>
      <c r="CL18" s="64"/>
    </row>
    <row r="19" spans="2:90" s="4" customFormat="1" ht="15" customHeight="1" thickBot="1">
      <c r="B19" s="56" t="s">
        <v>201</v>
      </c>
      <c r="C19" s="16"/>
      <c r="D19" s="16"/>
      <c r="E19" s="16"/>
      <c r="F19" s="16"/>
      <c r="G19" s="16"/>
      <c r="H19" s="16"/>
      <c r="I19" s="82"/>
      <c r="J19" s="16"/>
      <c r="K19" s="16"/>
      <c r="L19" s="16" t="s">
        <v>200</v>
      </c>
      <c r="M19" s="16"/>
      <c r="N19" s="16"/>
      <c r="O19" s="16"/>
      <c r="P19" s="16"/>
      <c r="Q19" s="16"/>
      <c r="R19" s="16"/>
      <c r="S19" s="16"/>
      <c r="T19" s="16"/>
      <c r="U19" s="16" t="s">
        <v>85</v>
      </c>
      <c r="V19" s="16"/>
      <c r="W19" s="16"/>
      <c r="X19" s="16"/>
      <c r="Y19" s="16"/>
      <c r="Z19" s="16"/>
      <c r="AA19" s="16"/>
      <c r="AB19" s="82"/>
      <c r="AC19" s="16"/>
      <c r="AD19" s="16"/>
      <c r="AE19" s="16"/>
      <c r="AF19" s="16"/>
      <c r="AG19" s="16"/>
      <c r="AH19" s="16"/>
      <c r="AI19" s="16" t="s">
        <v>86</v>
      </c>
      <c r="AJ19" s="40"/>
      <c r="AK19" s="40"/>
      <c r="AL19" s="40"/>
      <c r="AM19" s="40"/>
      <c r="AN19" s="40"/>
      <c r="AO19" s="16"/>
      <c r="AP19" s="16"/>
      <c r="AQ19" s="16"/>
      <c r="AR19" s="16"/>
      <c r="AS19" s="16"/>
      <c r="AT19" s="16"/>
      <c r="AU19" s="16"/>
      <c r="AV19" s="16"/>
      <c r="AW19" s="16"/>
      <c r="AX19" s="1214"/>
      <c r="AY19" s="1214"/>
      <c r="AZ19" s="1214"/>
      <c r="BA19" s="1214"/>
      <c r="BB19" s="1214"/>
      <c r="BC19" s="1214"/>
      <c r="BD19" s="1214"/>
      <c r="BE19" s="1214"/>
      <c r="BF19" s="1214"/>
      <c r="BG19" s="1214"/>
      <c r="BH19" s="1215"/>
      <c r="BT19" s="617"/>
      <c r="BX19" s="615" t="s">
        <v>953</v>
      </c>
      <c r="BY19" s="615" t="s">
        <v>1008</v>
      </c>
      <c r="BZ19" s="615" t="s">
        <v>1008</v>
      </c>
      <c r="CA19" s="36"/>
      <c r="CB19" s="12"/>
      <c r="CE19" s="607" t="s">
        <v>1011</v>
      </c>
      <c r="CF19" s="607" t="str">
        <f>IF(CH13=3,CF16&amp;"、"&amp;CF17&amp;"、"&amp;CF18,IF(CH13=2,CF16&amp;"、"&amp;CF17,IF(CH13=1,CF16,"未記入")))</f>
        <v>AN LU 、THUY NGUYEN、HAI PHONG</v>
      </c>
      <c r="CG19" s="64"/>
      <c r="CH19" s="64"/>
      <c r="CI19" s="64"/>
      <c r="CJ19" s="64"/>
      <c r="CK19" s="64"/>
      <c r="CL19" s="64"/>
    </row>
    <row r="20" spans="2:90" s="4" customFormat="1" ht="15" customHeight="1">
      <c r="B20" s="49" t="s">
        <v>171</v>
      </c>
      <c r="C20" s="18"/>
      <c r="D20" s="18"/>
      <c r="E20" s="18"/>
      <c r="F20" s="18"/>
      <c r="G20" s="18"/>
      <c r="H20" s="18"/>
      <c r="I20" s="18"/>
      <c r="J20" s="1218" t="s">
        <v>1295</v>
      </c>
      <c r="K20" s="1218"/>
      <c r="L20" s="1218"/>
      <c r="M20" s="1218"/>
      <c r="N20" s="1218"/>
      <c r="O20" s="1218"/>
      <c r="P20" s="1218"/>
      <c r="Q20" s="1218"/>
      <c r="R20" s="1218"/>
      <c r="S20" s="1218"/>
      <c r="T20" s="1218"/>
      <c r="U20" s="1218"/>
      <c r="V20" s="1218"/>
      <c r="W20" s="1218"/>
      <c r="X20" s="1218"/>
      <c r="Y20" s="1218"/>
      <c r="Z20" s="1218"/>
      <c r="AA20" s="1218"/>
      <c r="AB20" s="1218"/>
      <c r="AC20" s="1218"/>
      <c r="AD20" s="1218"/>
      <c r="AE20" s="1218"/>
      <c r="AF20" s="1218"/>
      <c r="AG20" s="1218"/>
      <c r="AH20" s="1218"/>
      <c r="AI20" s="1218"/>
      <c r="AJ20" s="1218"/>
      <c r="AK20" s="1218"/>
      <c r="AL20" s="1218"/>
      <c r="AM20" s="1218"/>
      <c r="AN20" s="1218"/>
      <c r="AO20" s="1218"/>
      <c r="AP20" s="1218"/>
      <c r="AQ20" s="1218"/>
      <c r="AR20" s="1218"/>
      <c r="AS20" s="1218"/>
      <c r="AT20" s="1218"/>
      <c r="AU20" s="1218"/>
      <c r="AV20" s="1218"/>
      <c r="AW20" s="1218"/>
      <c r="AX20" s="1214"/>
      <c r="AY20" s="1214"/>
      <c r="AZ20" s="1214"/>
      <c r="BA20" s="1214"/>
      <c r="BB20" s="1214"/>
      <c r="BC20" s="1214"/>
      <c r="BD20" s="1214"/>
      <c r="BE20" s="1214"/>
      <c r="BF20" s="1214"/>
      <c r="BG20" s="1214"/>
      <c r="BH20" s="1215"/>
      <c r="BX20" s="616"/>
      <c r="BY20" s="616"/>
      <c r="BZ20" s="616"/>
      <c r="CA20" s="15"/>
      <c r="CB20" s="12"/>
      <c r="CE20" s="64"/>
      <c r="CF20" s="64"/>
      <c r="CG20" s="64"/>
      <c r="CH20" s="64"/>
      <c r="CI20" s="64"/>
      <c r="CJ20" s="64"/>
      <c r="CK20" s="64"/>
      <c r="CL20" s="64"/>
    </row>
    <row r="21" spans="2:90" s="4" customFormat="1" ht="15" customHeight="1">
      <c r="B21" s="1025" t="s">
        <v>152</v>
      </c>
      <c r="C21" s="1019"/>
      <c r="D21" s="1019"/>
      <c r="E21" s="1019"/>
      <c r="F21" s="1019"/>
      <c r="G21" s="1019"/>
      <c r="H21" s="1019"/>
      <c r="I21" s="1019"/>
      <c r="J21" s="1219"/>
      <c r="K21" s="1219"/>
      <c r="L21" s="1219"/>
      <c r="M21" s="1219"/>
      <c r="N21" s="1219"/>
      <c r="O21" s="1219"/>
      <c r="P21" s="1219"/>
      <c r="Q21" s="1219"/>
      <c r="R21" s="1219"/>
      <c r="S21" s="1219"/>
      <c r="T21" s="1219"/>
      <c r="U21" s="1219"/>
      <c r="V21" s="1219"/>
      <c r="W21" s="1219"/>
      <c r="X21" s="1219"/>
      <c r="Y21" s="1219"/>
      <c r="Z21" s="1219"/>
      <c r="AA21" s="1219"/>
      <c r="AB21" s="1219"/>
      <c r="AC21" s="1219"/>
      <c r="AD21" s="1219"/>
      <c r="AE21" s="1219"/>
      <c r="AF21" s="1219"/>
      <c r="AG21" s="1219"/>
      <c r="AH21" s="1219"/>
      <c r="AI21" s="1219"/>
      <c r="AJ21" s="1219"/>
      <c r="AK21" s="1219"/>
      <c r="AL21" s="1219"/>
      <c r="AM21" s="1219"/>
      <c r="AN21" s="1219"/>
      <c r="AO21" s="1219"/>
      <c r="AP21" s="1219"/>
      <c r="AQ21" s="1219"/>
      <c r="AR21" s="1219"/>
      <c r="AS21" s="1219"/>
      <c r="AT21" s="1219"/>
      <c r="AU21" s="1219"/>
      <c r="AV21" s="1219"/>
      <c r="AW21" s="1219"/>
      <c r="AX21" s="1214"/>
      <c r="AY21" s="1214"/>
      <c r="AZ21" s="1214"/>
      <c r="BA21" s="1214"/>
      <c r="BB21" s="1214"/>
      <c r="BC21" s="1214"/>
      <c r="BD21" s="1214"/>
      <c r="BE21" s="1214"/>
      <c r="BF21" s="1214"/>
      <c r="BG21" s="1214"/>
      <c r="BH21" s="1215"/>
      <c r="BX21" s="606"/>
      <c r="BY21" s="606"/>
      <c r="BZ21" s="606"/>
      <c r="CA21" s="7"/>
      <c r="CB21" s="12"/>
      <c r="CE21" s="607" t="s">
        <v>1013</v>
      </c>
      <c r="CF21" s="607"/>
      <c r="CG21" s="607"/>
      <c r="CH21" s="607" t="s">
        <v>1012</v>
      </c>
      <c r="CI21" s="64"/>
      <c r="CJ21" s="64"/>
      <c r="CK21" s="64"/>
      <c r="CL21" s="64"/>
    </row>
    <row r="22" spans="2:90" s="4" customFormat="1" ht="24" customHeight="1" thickBot="1">
      <c r="B22" s="1141" t="s">
        <v>1110</v>
      </c>
      <c r="C22" s="1142"/>
      <c r="D22" s="1142"/>
      <c r="E22" s="1142"/>
      <c r="F22" s="1142"/>
      <c r="G22" s="1142"/>
      <c r="H22" s="1142"/>
      <c r="I22" s="1142"/>
      <c r="J22" s="1130" t="s">
        <v>1296</v>
      </c>
      <c r="K22" s="1130"/>
      <c r="L22" s="1130"/>
      <c r="M22" s="1130"/>
      <c r="N22" s="1130"/>
      <c r="O22" s="1130"/>
      <c r="P22" s="1130"/>
      <c r="Q22" s="1130"/>
      <c r="R22" s="1130"/>
      <c r="S22" s="1130"/>
      <c r="T22" s="1130"/>
      <c r="U22" s="1130"/>
      <c r="V22" s="1130"/>
      <c r="W22" s="1130"/>
      <c r="X22" s="1130"/>
      <c r="Y22" s="1130"/>
      <c r="Z22" s="1130"/>
      <c r="AA22" s="1130"/>
      <c r="AB22" s="1130"/>
      <c r="AC22" s="1130"/>
      <c r="AD22" s="1130"/>
      <c r="AE22" s="1130"/>
      <c r="AF22" s="1130"/>
      <c r="AG22" s="1220"/>
      <c r="AH22" s="1220"/>
      <c r="AI22" s="1220"/>
      <c r="AJ22" s="1220"/>
      <c r="AK22" s="1220"/>
      <c r="AL22" s="1220"/>
      <c r="AM22" s="1220"/>
      <c r="AN22" s="1220"/>
      <c r="AO22" s="1220"/>
      <c r="AP22" s="1220"/>
      <c r="AQ22" s="1220"/>
      <c r="AR22" s="1220"/>
      <c r="AS22" s="1220"/>
      <c r="AT22" s="1220"/>
      <c r="AU22" s="1220"/>
      <c r="AV22" s="1220"/>
      <c r="AW22" s="1220"/>
      <c r="AX22" s="1216"/>
      <c r="AY22" s="1216"/>
      <c r="AZ22" s="1216"/>
      <c r="BA22" s="1216"/>
      <c r="BB22" s="1216"/>
      <c r="BC22" s="1216"/>
      <c r="BD22" s="1216"/>
      <c r="BE22" s="1216"/>
      <c r="BF22" s="1216"/>
      <c r="BG22" s="1216"/>
      <c r="BH22" s="1217"/>
      <c r="BX22" s="615"/>
      <c r="BY22" s="615"/>
      <c r="BZ22" s="615"/>
      <c r="CA22" s="36"/>
      <c r="CB22" s="12"/>
      <c r="CE22" s="607" t="s">
        <v>993</v>
      </c>
      <c r="CF22" s="607" t="str">
        <f>IF(M126="",AR121,IF(M119="","",VLOOKUP(AY119,BX3:BY23,2,FALSE)&amp;"："&amp;AR121))</f>
        <v>+841695988174</v>
      </c>
      <c r="CG22" s="607"/>
      <c r="CH22" s="607">
        <f>IF(CF22="","",1)</f>
        <v>1</v>
      </c>
      <c r="CI22" s="64"/>
      <c r="CJ22" s="64"/>
      <c r="CK22" s="64"/>
      <c r="CL22" s="64"/>
    </row>
    <row r="23" spans="2:90" s="4" customFormat="1" ht="15" customHeight="1" thickBot="1">
      <c r="B23" s="744" t="s">
        <v>96</v>
      </c>
      <c r="C23" s="745"/>
      <c r="D23" s="746"/>
      <c r="E23" s="746"/>
      <c r="F23" s="746"/>
      <c r="G23" s="746"/>
      <c r="H23" s="746"/>
      <c r="I23" s="746"/>
      <c r="J23" s="746"/>
      <c r="K23" s="746"/>
      <c r="L23" s="746"/>
      <c r="M23" s="746"/>
      <c r="N23" s="746"/>
      <c r="O23" s="746"/>
      <c r="P23" s="747"/>
      <c r="Q23" s="746"/>
      <c r="R23" s="747"/>
      <c r="S23" s="746"/>
      <c r="T23" s="746"/>
      <c r="U23" s="746"/>
      <c r="V23" s="746"/>
      <c r="W23" s="746"/>
      <c r="X23" s="748"/>
      <c r="Y23" s="749"/>
      <c r="Z23" s="749"/>
      <c r="AA23" s="746"/>
      <c r="AB23" s="746"/>
      <c r="AC23" s="749"/>
      <c r="AD23" s="749"/>
      <c r="AE23" s="749"/>
      <c r="AF23" s="749"/>
      <c r="AG23" s="749"/>
      <c r="AH23" s="746"/>
      <c r="AI23" s="750"/>
      <c r="AJ23" s="750"/>
      <c r="AK23" s="750"/>
      <c r="AL23" s="750"/>
      <c r="AM23" s="750"/>
      <c r="AN23" s="748"/>
      <c r="AO23" s="748"/>
      <c r="AP23" s="748"/>
      <c r="AQ23" s="748"/>
      <c r="AR23" s="745"/>
      <c r="AS23" s="742"/>
      <c r="AT23" s="742"/>
      <c r="AU23" s="742"/>
      <c r="AV23" s="742"/>
      <c r="AW23" s="742"/>
      <c r="AX23" s="742"/>
      <c r="AY23" s="742"/>
      <c r="AZ23" s="742"/>
      <c r="BA23" s="742"/>
      <c r="BB23" s="742"/>
      <c r="BC23" s="742"/>
      <c r="BD23" s="742"/>
      <c r="BE23" s="742"/>
      <c r="BF23" s="742"/>
      <c r="BG23" s="742"/>
      <c r="BH23" s="743"/>
      <c r="BX23" s="621"/>
      <c r="BY23" s="621"/>
      <c r="BZ23" s="621"/>
      <c r="CA23" s="36"/>
      <c r="CB23" s="12"/>
      <c r="CE23" s="607" t="s">
        <v>1009</v>
      </c>
      <c r="CF23" s="607" t="str">
        <f>IF(M126="","",VLOOKUP(AY126,BX3:BY23,2,FALSE)&amp;"："&amp;AR128)</f>
        <v/>
      </c>
      <c r="CG23" s="607"/>
      <c r="CH23" s="607" t="str">
        <f>IF(CF23="","",1)</f>
        <v/>
      </c>
      <c r="CI23" s="64"/>
      <c r="CJ23" s="64"/>
      <c r="CK23" s="64"/>
      <c r="CL23" s="64"/>
    </row>
    <row r="24" spans="2:90" s="12" customFormat="1" ht="15" customHeight="1">
      <c r="B24" s="69" t="s">
        <v>1109</v>
      </c>
      <c r="C24" s="35"/>
      <c r="D24" s="35"/>
      <c r="E24" s="35"/>
      <c r="F24" s="35"/>
      <c r="G24" s="35"/>
      <c r="H24" s="35"/>
      <c r="I24" s="35"/>
      <c r="J24" s="35"/>
      <c r="K24" s="91" t="s">
        <v>100</v>
      </c>
      <c r="L24" s="35"/>
      <c r="M24" s="35"/>
      <c r="N24" s="35"/>
      <c r="O24" s="35"/>
      <c r="P24" s="91"/>
      <c r="Q24" s="91"/>
      <c r="R24" s="62"/>
      <c r="S24" s="35"/>
      <c r="T24" s="35"/>
      <c r="U24" s="35"/>
      <c r="V24" s="35"/>
      <c r="W24" s="35"/>
      <c r="X24" s="92"/>
      <c r="Y24" s="35"/>
      <c r="Z24" s="35"/>
      <c r="AA24" s="35"/>
      <c r="AB24" s="35"/>
      <c r="AC24" s="35"/>
      <c r="AD24" s="35"/>
      <c r="AE24" s="35"/>
      <c r="AF24" s="35"/>
      <c r="AG24" s="35"/>
      <c r="AH24" s="35"/>
      <c r="AI24" s="35"/>
      <c r="AJ24" s="35"/>
      <c r="AK24" s="35"/>
      <c r="AL24" s="35"/>
      <c r="AM24" s="35"/>
      <c r="AN24" s="19"/>
      <c r="AO24" s="19"/>
      <c r="AP24" s="19"/>
      <c r="AQ24" s="19"/>
      <c r="AR24" s="19"/>
      <c r="AS24" s="19"/>
      <c r="AT24" s="19"/>
      <c r="AU24" s="19"/>
      <c r="AV24" s="19"/>
      <c r="AW24" s="19"/>
      <c r="AX24" s="19"/>
      <c r="AY24" s="19"/>
      <c r="AZ24" s="19"/>
      <c r="BA24" s="19"/>
      <c r="BB24" s="19"/>
      <c r="BC24" s="19"/>
      <c r="BD24" s="19"/>
      <c r="BE24" s="19"/>
      <c r="BF24" s="19"/>
      <c r="BG24" s="19"/>
      <c r="BH24" s="93"/>
      <c r="CE24" s="607" t="s">
        <v>1010</v>
      </c>
      <c r="CF24" s="607" t="str">
        <f>IF(M132="","",VLOOKUP(AY132,BX3:BY23,2,FALSE)&amp;"："&amp;AR134)</f>
        <v/>
      </c>
      <c r="CG24" s="607"/>
      <c r="CH24" s="607" t="str">
        <f>IF(CF24="","",1)</f>
        <v/>
      </c>
      <c r="CI24" s="64"/>
      <c r="CJ24" s="64"/>
      <c r="CK24" s="64"/>
      <c r="CL24" s="64"/>
    </row>
    <row r="25" spans="2:90" s="15" customFormat="1" ht="15" customHeight="1" thickBot="1">
      <c r="B25" s="22"/>
      <c r="D25" s="15" t="s">
        <v>98</v>
      </c>
      <c r="F25" s="43"/>
      <c r="L25" s="15" t="s">
        <v>110</v>
      </c>
      <c r="N25" s="43"/>
      <c r="P25" s="135"/>
      <c r="Q25" s="135"/>
      <c r="R25" s="135"/>
      <c r="S25" s="546"/>
      <c r="T25" s="135"/>
      <c r="U25" s="80"/>
      <c r="V25" s="80"/>
      <c r="AA25" s="42"/>
      <c r="AG25" s="42"/>
      <c r="BH25" s="34"/>
      <c r="CE25" s="607" t="s">
        <v>1011</v>
      </c>
      <c r="CF25" s="607" t="str">
        <f>IF(CH25=3,CF22&amp;"、"&amp;CF23&amp;"、"&amp;CF24,IF(CH25=2,CF22&amp;"、"&amp;CF23,IF(CH25=1,CF22,"未記入")))</f>
        <v>+841695988174</v>
      </c>
      <c r="CG25" s="607"/>
      <c r="CH25" s="607">
        <f>SUM(CH22:CH24)</f>
        <v>1</v>
      </c>
      <c r="CI25" s="63"/>
      <c r="CJ25" s="63"/>
      <c r="CK25" s="63"/>
      <c r="CL25" s="63"/>
    </row>
    <row r="26" spans="2:90" s="12" customFormat="1" ht="15" customHeight="1">
      <c r="B26" s="1065" t="s">
        <v>144</v>
      </c>
      <c r="C26" s="1022"/>
      <c r="D26" s="1022"/>
      <c r="E26" s="1022"/>
      <c r="F26" s="1022"/>
      <c r="G26" s="1048"/>
      <c r="H26" s="1021" t="s">
        <v>146</v>
      </c>
      <c r="I26" s="1022"/>
      <c r="J26" s="1022"/>
      <c r="K26" s="1022"/>
      <c r="L26" s="1022"/>
      <c r="M26" s="1022"/>
      <c r="N26" s="1022"/>
      <c r="O26" s="1048"/>
      <c r="P26" s="1021" t="s">
        <v>143</v>
      </c>
      <c r="Q26" s="1022"/>
      <c r="R26" s="1022"/>
      <c r="S26" s="1022"/>
      <c r="T26" s="1022"/>
      <c r="U26" s="1022"/>
      <c r="V26" s="1022"/>
      <c r="W26" s="1022"/>
      <c r="X26" s="1022"/>
      <c r="Y26" s="1022"/>
      <c r="Z26" s="1022"/>
      <c r="AA26" s="1048"/>
      <c r="AB26" s="1021" t="s">
        <v>141</v>
      </c>
      <c r="AC26" s="1022"/>
      <c r="AD26" s="1022"/>
      <c r="AE26" s="1022"/>
      <c r="AF26" s="1022"/>
      <c r="AG26" s="1022"/>
      <c r="AH26" s="1022"/>
      <c r="AI26" s="1022"/>
      <c r="AJ26" s="1022"/>
      <c r="AK26" s="1022"/>
      <c r="AL26" s="1022"/>
      <c r="AM26" s="1022"/>
      <c r="AN26" s="1022"/>
      <c r="AO26" s="1022"/>
      <c r="AP26" s="1022"/>
      <c r="AQ26" s="1022"/>
      <c r="AR26" s="1022"/>
      <c r="AS26" s="1022"/>
      <c r="AT26" s="1022"/>
      <c r="AU26" s="1022"/>
      <c r="AV26" s="1022"/>
      <c r="AW26" s="1022"/>
      <c r="AX26" s="1022"/>
      <c r="AY26" s="1022"/>
      <c r="AZ26" s="1022"/>
      <c r="BA26" s="1022"/>
      <c r="BB26" s="1022"/>
      <c r="BC26" s="1022"/>
      <c r="BD26" s="1022"/>
      <c r="BE26" s="1022"/>
      <c r="BF26" s="1022"/>
      <c r="BG26" s="1022"/>
      <c r="BH26" s="1213"/>
      <c r="CE26" s="64"/>
      <c r="CF26" s="64"/>
      <c r="CG26" s="64"/>
      <c r="CH26" s="64"/>
      <c r="CI26" s="64"/>
      <c r="CJ26" s="64"/>
      <c r="CK26" s="64"/>
      <c r="CL26" s="64"/>
    </row>
    <row r="27" spans="2:90" s="12" customFormat="1" ht="15" customHeight="1">
      <c r="B27" s="1025" t="s">
        <v>103</v>
      </c>
      <c r="C27" s="1019"/>
      <c r="D27" s="1019"/>
      <c r="E27" s="1019"/>
      <c r="F27" s="1019"/>
      <c r="G27" s="1020"/>
      <c r="H27" s="1018" t="s">
        <v>145</v>
      </c>
      <c r="I27" s="1019"/>
      <c r="J27" s="1019"/>
      <c r="K27" s="1019"/>
      <c r="L27" s="1019"/>
      <c r="M27" s="1019"/>
      <c r="N27" s="1019"/>
      <c r="O27" s="1020"/>
      <c r="P27" s="1018" t="s">
        <v>142</v>
      </c>
      <c r="Q27" s="1019"/>
      <c r="R27" s="1019"/>
      <c r="S27" s="1019"/>
      <c r="T27" s="1019"/>
      <c r="U27" s="1019"/>
      <c r="V27" s="1019"/>
      <c r="W27" s="1019"/>
      <c r="X27" s="1019"/>
      <c r="Y27" s="1019"/>
      <c r="Z27" s="1019"/>
      <c r="AA27" s="1020"/>
      <c r="AB27" s="1018" t="s">
        <v>140</v>
      </c>
      <c r="AC27" s="1019"/>
      <c r="AD27" s="1019"/>
      <c r="AE27" s="1019"/>
      <c r="AF27" s="1019"/>
      <c r="AG27" s="1019"/>
      <c r="AH27" s="1019"/>
      <c r="AI27" s="1019"/>
      <c r="AJ27" s="1019"/>
      <c r="AK27" s="1019"/>
      <c r="AL27" s="1019"/>
      <c r="AM27" s="1019"/>
      <c r="AN27" s="1019"/>
      <c r="AO27" s="1019"/>
      <c r="AP27" s="1019"/>
      <c r="AQ27" s="1019"/>
      <c r="AR27" s="1019"/>
      <c r="AS27" s="1019"/>
      <c r="AT27" s="1019"/>
      <c r="AU27" s="1019"/>
      <c r="AV27" s="1019"/>
      <c r="AW27" s="1019"/>
      <c r="AX27" s="1019"/>
      <c r="AY27" s="1019"/>
      <c r="AZ27" s="1019"/>
      <c r="BA27" s="1019"/>
      <c r="BB27" s="1019"/>
      <c r="BC27" s="1019"/>
      <c r="BD27" s="1019"/>
      <c r="BE27" s="1019"/>
      <c r="BF27" s="1019"/>
      <c r="BG27" s="1019"/>
      <c r="BH27" s="1039"/>
      <c r="CE27" s="607" t="s">
        <v>1014</v>
      </c>
      <c r="CF27" s="607"/>
      <c r="CG27" s="64"/>
      <c r="CH27" s="607" t="s">
        <v>1012</v>
      </c>
      <c r="CI27" s="64"/>
      <c r="CJ27" s="64"/>
      <c r="CK27" s="64"/>
      <c r="CL27" s="64"/>
    </row>
    <row r="28" spans="2:90" s="12" customFormat="1" ht="15" customHeight="1">
      <c r="B28" s="1068" t="s">
        <v>101</v>
      </c>
      <c r="C28" s="1069"/>
      <c r="D28" s="1069"/>
      <c r="E28" s="1069"/>
      <c r="F28" s="1069"/>
      <c r="G28" s="1070"/>
      <c r="H28" s="1135" t="s">
        <v>1329</v>
      </c>
      <c r="I28" s="1136"/>
      <c r="J28" s="1136"/>
      <c r="K28" s="1136"/>
      <c r="L28" s="1136"/>
      <c r="M28" s="1136"/>
      <c r="N28" s="1136"/>
      <c r="O28" s="1137"/>
      <c r="P28" s="1083" t="s">
        <v>1330</v>
      </c>
      <c r="Q28" s="1084"/>
      <c r="R28" s="1084"/>
      <c r="S28" s="1084"/>
      <c r="T28" s="109" t="s">
        <v>4</v>
      </c>
      <c r="U28" s="1084"/>
      <c r="V28" s="1084"/>
      <c r="W28" s="109" t="s">
        <v>34</v>
      </c>
      <c r="X28" s="1084"/>
      <c r="Y28" s="1084"/>
      <c r="Z28" s="109" t="s">
        <v>6</v>
      </c>
      <c r="AA28" s="108"/>
      <c r="AB28" s="1124" t="s">
        <v>1331</v>
      </c>
      <c r="AC28" s="1125"/>
      <c r="AD28" s="1125"/>
      <c r="AE28" s="1125"/>
      <c r="AF28" s="1125"/>
      <c r="AG28" s="1125"/>
      <c r="AH28" s="1125"/>
      <c r="AI28" s="1125"/>
      <c r="AJ28" s="1125"/>
      <c r="AK28" s="1125"/>
      <c r="AL28" s="1125"/>
      <c r="AM28" s="1125"/>
      <c r="AN28" s="1125"/>
      <c r="AO28" s="1125"/>
      <c r="AP28" s="1125"/>
      <c r="AQ28" s="1125"/>
      <c r="AR28" s="1125"/>
      <c r="AS28" s="1125"/>
      <c r="AT28" s="1125"/>
      <c r="AU28" s="1125"/>
      <c r="AV28" s="1125"/>
      <c r="AW28" s="1125"/>
      <c r="AX28" s="1125"/>
      <c r="AY28" s="1125"/>
      <c r="AZ28" s="1125"/>
      <c r="BA28" s="1125"/>
      <c r="BB28" s="1125"/>
      <c r="BC28" s="1125"/>
      <c r="BD28" s="1125"/>
      <c r="BE28" s="1125"/>
      <c r="BF28" s="1125"/>
      <c r="BG28" s="1125"/>
      <c r="BH28" s="544"/>
      <c r="CE28" s="607" t="s">
        <v>993</v>
      </c>
      <c r="CF28" s="607" t="str">
        <f>IF(M126="",AR123,IF(AR123="","",VLOOKUP(AY119,BX3:BY23,2,FALSE)&amp;"："&amp;AR123))</f>
        <v>+841683880880</v>
      </c>
      <c r="CG28" s="64"/>
      <c r="CH28" s="607">
        <f>IF(CF28="","",1)</f>
        <v>1</v>
      </c>
      <c r="CI28" s="64"/>
      <c r="CJ28" s="64"/>
      <c r="CK28" s="64"/>
      <c r="CL28" s="64"/>
    </row>
    <row r="29" spans="2:90" s="15" customFormat="1" ht="15" customHeight="1">
      <c r="B29" s="1071"/>
      <c r="C29" s="1072"/>
      <c r="D29" s="1072"/>
      <c r="E29" s="1072"/>
      <c r="F29" s="1072"/>
      <c r="G29" s="1073"/>
      <c r="H29" s="1138"/>
      <c r="I29" s="1139"/>
      <c r="J29" s="1139"/>
      <c r="K29" s="1139"/>
      <c r="L29" s="1139"/>
      <c r="M29" s="1139"/>
      <c r="N29" s="1139"/>
      <c r="O29" s="1140"/>
      <c r="P29" s="1143"/>
      <c r="Q29" s="1087"/>
      <c r="R29" s="1087"/>
      <c r="S29" s="1087"/>
      <c r="T29" s="111"/>
      <c r="U29" s="1087"/>
      <c r="V29" s="1087"/>
      <c r="W29" s="112"/>
      <c r="X29" s="1087"/>
      <c r="Y29" s="1087"/>
      <c r="Z29" s="112"/>
      <c r="AA29" s="110"/>
      <c r="AB29" s="1126"/>
      <c r="AC29" s="1127"/>
      <c r="AD29" s="1127"/>
      <c r="AE29" s="1127"/>
      <c r="AF29" s="1127"/>
      <c r="AG29" s="1127"/>
      <c r="AH29" s="1127"/>
      <c r="AI29" s="1127"/>
      <c r="AJ29" s="1127"/>
      <c r="AK29" s="1127"/>
      <c r="AL29" s="1127"/>
      <c r="AM29" s="1127"/>
      <c r="AN29" s="1127"/>
      <c r="AO29" s="1127"/>
      <c r="AP29" s="1127"/>
      <c r="AQ29" s="1127"/>
      <c r="AR29" s="1127"/>
      <c r="AS29" s="1127"/>
      <c r="AT29" s="1127"/>
      <c r="AU29" s="1127"/>
      <c r="AV29" s="1127"/>
      <c r="AW29" s="1127"/>
      <c r="AX29" s="1127"/>
      <c r="AY29" s="1127"/>
      <c r="AZ29" s="1127"/>
      <c r="BA29" s="1127"/>
      <c r="BB29" s="1127"/>
      <c r="BC29" s="1127"/>
      <c r="BD29" s="1127"/>
      <c r="BE29" s="1127"/>
      <c r="BF29" s="1127"/>
      <c r="BG29" s="1127"/>
      <c r="BH29" s="545"/>
      <c r="CE29" s="607" t="s">
        <v>1009</v>
      </c>
      <c r="CF29" s="607" t="str">
        <f>IF(M126="","",VLOOKUP(AY126,BX3:BY23,2,FALSE)&amp;"："&amp;AR130)</f>
        <v/>
      </c>
      <c r="CG29" s="63"/>
      <c r="CH29" s="607" t="str">
        <f>IF(CF29="","",1)</f>
        <v/>
      </c>
      <c r="CI29" s="63"/>
      <c r="CJ29" s="63"/>
      <c r="CK29" s="63"/>
      <c r="CL29" s="63"/>
    </row>
    <row r="30" spans="2:90" s="12" customFormat="1" ht="15" customHeight="1">
      <c r="B30" s="1068" t="s">
        <v>102</v>
      </c>
      <c r="C30" s="1069"/>
      <c r="D30" s="1069"/>
      <c r="E30" s="1069"/>
      <c r="F30" s="1069"/>
      <c r="G30" s="1070"/>
      <c r="H30" s="1135" t="s">
        <v>1281</v>
      </c>
      <c r="I30" s="1136"/>
      <c r="J30" s="1136"/>
      <c r="K30" s="1136"/>
      <c r="L30" s="1136"/>
      <c r="M30" s="1136"/>
      <c r="N30" s="1136"/>
      <c r="O30" s="1137"/>
      <c r="P30" s="1083" t="s">
        <v>1297</v>
      </c>
      <c r="Q30" s="1084"/>
      <c r="R30" s="1084"/>
      <c r="S30" s="1084"/>
      <c r="T30" s="109" t="s">
        <v>4</v>
      </c>
      <c r="U30" s="1084" t="s">
        <v>1298</v>
      </c>
      <c r="V30" s="1084"/>
      <c r="W30" s="109" t="s">
        <v>34</v>
      </c>
      <c r="X30" s="1084" t="s">
        <v>1299</v>
      </c>
      <c r="Y30" s="1084"/>
      <c r="Z30" s="109" t="s">
        <v>6</v>
      </c>
      <c r="AA30" s="108"/>
      <c r="AB30" s="1124" t="s">
        <v>1332</v>
      </c>
      <c r="AC30" s="1125"/>
      <c r="AD30" s="1125"/>
      <c r="AE30" s="1125"/>
      <c r="AF30" s="1125"/>
      <c r="AG30" s="1125"/>
      <c r="AH30" s="1125"/>
      <c r="AI30" s="1125"/>
      <c r="AJ30" s="1125"/>
      <c r="AK30" s="1125"/>
      <c r="AL30" s="1125"/>
      <c r="AM30" s="1125"/>
      <c r="AN30" s="1125"/>
      <c r="AO30" s="1125"/>
      <c r="AP30" s="1125"/>
      <c r="AQ30" s="1125"/>
      <c r="AR30" s="1125"/>
      <c r="AS30" s="1125"/>
      <c r="AT30" s="1125"/>
      <c r="AU30" s="1125"/>
      <c r="AV30" s="1125"/>
      <c r="AW30" s="1125"/>
      <c r="AX30" s="1125"/>
      <c r="AY30" s="1125"/>
      <c r="AZ30" s="1125"/>
      <c r="BA30" s="1125"/>
      <c r="BB30" s="1125"/>
      <c r="BC30" s="1125"/>
      <c r="BD30" s="1125"/>
      <c r="BE30" s="1125"/>
      <c r="BF30" s="1125"/>
      <c r="BG30" s="1125"/>
      <c r="BH30" s="544"/>
      <c r="CE30" s="607" t="s">
        <v>1010</v>
      </c>
      <c r="CF30" s="607" t="str">
        <f>IF(M132="","",VLOOKUP(AY132,BX3:BY23,2,FALSE)&amp;"："&amp;AR136)</f>
        <v/>
      </c>
      <c r="CG30" s="64"/>
      <c r="CH30" s="607" t="str">
        <f>IF(CF30="","",1)</f>
        <v/>
      </c>
      <c r="CI30" s="64"/>
      <c r="CJ30" s="64"/>
      <c r="CK30" s="64"/>
      <c r="CL30" s="64"/>
    </row>
    <row r="31" spans="2:90" s="15" customFormat="1" ht="15" customHeight="1">
      <c r="B31" s="1071"/>
      <c r="C31" s="1072"/>
      <c r="D31" s="1072"/>
      <c r="E31" s="1072"/>
      <c r="F31" s="1072"/>
      <c r="G31" s="1073"/>
      <c r="H31" s="1138"/>
      <c r="I31" s="1139"/>
      <c r="J31" s="1139"/>
      <c r="K31" s="1139"/>
      <c r="L31" s="1139"/>
      <c r="M31" s="1139"/>
      <c r="N31" s="1139"/>
      <c r="O31" s="1140"/>
      <c r="P31" s="1143"/>
      <c r="Q31" s="1087"/>
      <c r="R31" s="1087"/>
      <c r="S31" s="1087"/>
      <c r="T31" s="111"/>
      <c r="U31" s="1087"/>
      <c r="V31" s="1087"/>
      <c r="W31" s="112"/>
      <c r="X31" s="1087"/>
      <c r="Y31" s="1087"/>
      <c r="Z31" s="112"/>
      <c r="AA31" s="110"/>
      <c r="AB31" s="1126"/>
      <c r="AC31" s="1127"/>
      <c r="AD31" s="1127"/>
      <c r="AE31" s="1127"/>
      <c r="AF31" s="1127"/>
      <c r="AG31" s="1127"/>
      <c r="AH31" s="1127"/>
      <c r="AI31" s="1127"/>
      <c r="AJ31" s="1127"/>
      <c r="AK31" s="1127"/>
      <c r="AL31" s="1127"/>
      <c r="AM31" s="1127"/>
      <c r="AN31" s="1127"/>
      <c r="AO31" s="1127"/>
      <c r="AP31" s="1127"/>
      <c r="AQ31" s="1127"/>
      <c r="AR31" s="1127"/>
      <c r="AS31" s="1127"/>
      <c r="AT31" s="1127"/>
      <c r="AU31" s="1127"/>
      <c r="AV31" s="1127"/>
      <c r="AW31" s="1127"/>
      <c r="AX31" s="1127"/>
      <c r="AY31" s="1127"/>
      <c r="AZ31" s="1127"/>
      <c r="BA31" s="1127"/>
      <c r="BB31" s="1127"/>
      <c r="BC31" s="1127"/>
      <c r="BD31" s="1127"/>
      <c r="BE31" s="1127"/>
      <c r="BF31" s="1127"/>
      <c r="BG31" s="1127"/>
      <c r="BH31" s="545"/>
      <c r="CE31" s="607" t="s">
        <v>1011</v>
      </c>
      <c r="CF31" s="607" t="str">
        <f>IF(CH31=3,CF28&amp;"、"&amp;CF29&amp;"、"&amp;CF30,IF(CH31=2,CF28&amp;"、"&amp;CF29,IF(CH31=1,CF28,"未記入")))</f>
        <v>+841683880880</v>
      </c>
      <c r="CG31" s="63"/>
      <c r="CH31" s="607">
        <f>SUM(CH28:CH30)</f>
        <v>1</v>
      </c>
      <c r="CI31" s="63"/>
      <c r="CJ31" s="63"/>
      <c r="CK31" s="63"/>
      <c r="CL31" s="63"/>
    </row>
    <row r="32" spans="2:90" s="12" customFormat="1" ht="15" customHeight="1">
      <c r="B32" s="1074"/>
      <c r="C32" s="1075"/>
      <c r="D32" s="1075"/>
      <c r="E32" s="1075"/>
      <c r="F32" s="1075"/>
      <c r="G32" s="1076"/>
      <c r="H32" s="1135"/>
      <c r="I32" s="1136"/>
      <c r="J32" s="1136"/>
      <c r="K32" s="1136"/>
      <c r="L32" s="1136"/>
      <c r="M32" s="1136"/>
      <c r="N32" s="1136"/>
      <c r="O32" s="1137"/>
      <c r="P32" s="1083"/>
      <c r="Q32" s="1084"/>
      <c r="R32" s="1084"/>
      <c r="S32" s="1084"/>
      <c r="T32" s="109" t="s">
        <v>4</v>
      </c>
      <c r="U32" s="1084"/>
      <c r="V32" s="1084"/>
      <c r="W32" s="109" t="s">
        <v>34</v>
      </c>
      <c r="X32" s="1084"/>
      <c r="Y32" s="1084"/>
      <c r="Z32" s="109" t="s">
        <v>6</v>
      </c>
      <c r="AA32" s="108"/>
      <c r="AB32" s="1124"/>
      <c r="AC32" s="1125"/>
      <c r="AD32" s="1125"/>
      <c r="AE32" s="1125"/>
      <c r="AF32" s="1125"/>
      <c r="AG32" s="1125"/>
      <c r="AH32" s="1125"/>
      <c r="AI32" s="1125"/>
      <c r="AJ32" s="1125"/>
      <c r="AK32" s="1125"/>
      <c r="AL32" s="1125"/>
      <c r="AM32" s="1125"/>
      <c r="AN32" s="1125"/>
      <c r="AO32" s="1125"/>
      <c r="AP32" s="1125"/>
      <c r="AQ32" s="1125"/>
      <c r="AR32" s="1125"/>
      <c r="AS32" s="1125"/>
      <c r="AT32" s="1125"/>
      <c r="AU32" s="1125"/>
      <c r="AV32" s="1125"/>
      <c r="AW32" s="1125"/>
      <c r="AX32" s="1125"/>
      <c r="AY32" s="1125"/>
      <c r="AZ32" s="1125"/>
      <c r="BA32" s="1125"/>
      <c r="BB32" s="1125"/>
      <c r="BC32" s="1125"/>
      <c r="BD32" s="1125"/>
      <c r="BE32" s="1125"/>
      <c r="BF32" s="1125"/>
      <c r="BG32" s="1125"/>
      <c r="BH32" s="544"/>
      <c r="CE32" s="64"/>
      <c r="CF32" s="64"/>
      <c r="CG32" s="64"/>
      <c r="CH32" s="64"/>
      <c r="CI32" s="64"/>
      <c r="CJ32" s="64"/>
      <c r="CK32" s="64"/>
      <c r="CL32" s="64"/>
    </row>
    <row r="33" spans="2:90" s="15" customFormat="1" ht="15" customHeight="1">
      <c r="B33" s="1077"/>
      <c r="C33" s="1078"/>
      <c r="D33" s="1078"/>
      <c r="E33" s="1078"/>
      <c r="F33" s="1078"/>
      <c r="G33" s="1079"/>
      <c r="H33" s="1138"/>
      <c r="I33" s="1139"/>
      <c r="J33" s="1139"/>
      <c r="K33" s="1139"/>
      <c r="L33" s="1139"/>
      <c r="M33" s="1139"/>
      <c r="N33" s="1139"/>
      <c r="O33" s="1140"/>
      <c r="P33" s="1143"/>
      <c r="Q33" s="1087"/>
      <c r="R33" s="1087"/>
      <c r="S33" s="1087"/>
      <c r="T33" s="111"/>
      <c r="U33" s="1087"/>
      <c r="V33" s="1087"/>
      <c r="W33" s="112"/>
      <c r="X33" s="1087"/>
      <c r="Y33" s="1087"/>
      <c r="Z33" s="112"/>
      <c r="AA33" s="110"/>
      <c r="AB33" s="1126"/>
      <c r="AC33" s="1127"/>
      <c r="AD33" s="1127"/>
      <c r="AE33" s="1127"/>
      <c r="AF33" s="1127"/>
      <c r="AG33" s="1127"/>
      <c r="AH33" s="1127"/>
      <c r="AI33" s="1127"/>
      <c r="AJ33" s="1127"/>
      <c r="AK33" s="1127"/>
      <c r="AL33" s="1127"/>
      <c r="AM33" s="1127"/>
      <c r="AN33" s="1127"/>
      <c r="AO33" s="1127"/>
      <c r="AP33" s="1127"/>
      <c r="AQ33" s="1127"/>
      <c r="AR33" s="1127"/>
      <c r="AS33" s="1127"/>
      <c r="AT33" s="1127"/>
      <c r="AU33" s="1127"/>
      <c r="AV33" s="1127"/>
      <c r="AW33" s="1127"/>
      <c r="AX33" s="1127"/>
      <c r="AY33" s="1127"/>
      <c r="AZ33" s="1127"/>
      <c r="BA33" s="1127"/>
      <c r="BB33" s="1127"/>
      <c r="BC33" s="1127"/>
      <c r="BD33" s="1127"/>
      <c r="BE33" s="1127"/>
      <c r="BF33" s="1127"/>
      <c r="BG33" s="1127"/>
      <c r="BH33" s="545"/>
      <c r="CE33" s="63"/>
      <c r="CF33" s="63"/>
      <c r="CG33" s="63"/>
      <c r="CH33" s="63"/>
      <c r="CI33" s="63"/>
      <c r="CJ33" s="63"/>
      <c r="CK33" s="63"/>
      <c r="CL33" s="63"/>
    </row>
    <row r="34" spans="2:90" s="15" customFormat="1" ht="15" customHeight="1">
      <c r="B34" s="1074"/>
      <c r="C34" s="1075"/>
      <c r="D34" s="1075"/>
      <c r="E34" s="1075"/>
      <c r="F34" s="1075"/>
      <c r="G34" s="1076"/>
      <c r="H34" s="1135"/>
      <c r="I34" s="1136"/>
      <c r="J34" s="1136"/>
      <c r="K34" s="1136"/>
      <c r="L34" s="1136"/>
      <c r="M34" s="1136"/>
      <c r="N34" s="1136"/>
      <c r="O34" s="1137"/>
      <c r="P34" s="1083"/>
      <c r="Q34" s="1084"/>
      <c r="R34" s="1084"/>
      <c r="S34" s="1084"/>
      <c r="T34" s="109" t="s">
        <v>4</v>
      </c>
      <c r="U34" s="1084"/>
      <c r="V34" s="1084"/>
      <c r="W34" s="109" t="s">
        <v>34</v>
      </c>
      <c r="X34" s="1084"/>
      <c r="Y34" s="1084"/>
      <c r="Z34" s="109" t="s">
        <v>6</v>
      </c>
      <c r="AA34" s="108"/>
      <c r="AB34" s="1124"/>
      <c r="AC34" s="1125"/>
      <c r="AD34" s="1125"/>
      <c r="AE34" s="1125"/>
      <c r="AF34" s="1125"/>
      <c r="AG34" s="1125"/>
      <c r="AH34" s="1125"/>
      <c r="AI34" s="1125"/>
      <c r="AJ34" s="1125"/>
      <c r="AK34" s="1125"/>
      <c r="AL34" s="1125"/>
      <c r="AM34" s="1125"/>
      <c r="AN34" s="1125"/>
      <c r="AO34" s="1125"/>
      <c r="AP34" s="1125"/>
      <c r="AQ34" s="1125"/>
      <c r="AR34" s="1125"/>
      <c r="AS34" s="1125"/>
      <c r="AT34" s="1125"/>
      <c r="AU34" s="1125"/>
      <c r="AV34" s="1125"/>
      <c r="AW34" s="1125"/>
      <c r="AX34" s="1125"/>
      <c r="AY34" s="1125"/>
      <c r="AZ34" s="1125"/>
      <c r="BA34" s="1125"/>
      <c r="BB34" s="1125"/>
      <c r="BC34" s="1125"/>
      <c r="BD34" s="1125"/>
      <c r="BE34" s="1125"/>
      <c r="BF34" s="1125"/>
      <c r="BG34" s="1125"/>
      <c r="BH34" s="544"/>
      <c r="CE34" s="63"/>
      <c r="CF34" s="63"/>
      <c r="CG34" s="63"/>
      <c r="CH34" s="63"/>
      <c r="CI34" s="63"/>
      <c r="CJ34" s="63"/>
      <c r="CK34" s="63"/>
      <c r="CL34" s="63"/>
    </row>
    <row r="35" spans="2:90" s="15" customFormat="1" ht="15" customHeight="1">
      <c r="B35" s="1077"/>
      <c r="C35" s="1078"/>
      <c r="D35" s="1078"/>
      <c r="E35" s="1078"/>
      <c r="F35" s="1078"/>
      <c r="G35" s="1079"/>
      <c r="H35" s="1138"/>
      <c r="I35" s="1139"/>
      <c r="J35" s="1139"/>
      <c r="K35" s="1139"/>
      <c r="L35" s="1139"/>
      <c r="M35" s="1139"/>
      <c r="N35" s="1139"/>
      <c r="O35" s="1140"/>
      <c r="P35" s="1143"/>
      <c r="Q35" s="1087"/>
      <c r="R35" s="1087"/>
      <c r="S35" s="1087"/>
      <c r="T35" s="111"/>
      <c r="U35" s="1087"/>
      <c r="V35" s="1087"/>
      <c r="W35" s="112"/>
      <c r="X35" s="1087"/>
      <c r="Y35" s="1087"/>
      <c r="Z35" s="112"/>
      <c r="AA35" s="110"/>
      <c r="AB35" s="1126"/>
      <c r="AC35" s="1127"/>
      <c r="AD35" s="1127"/>
      <c r="AE35" s="1127"/>
      <c r="AF35" s="1127"/>
      <c r="AG35" s="1127"/>
      <c r="AH35" s="1127"/>
      <c r="AI35" s="1127"/>
      <c r="AJ35" s="1127"/>
      <c r="AK35" s="1127"/>
      <c r="AL35" s="1127"/>
      <c r="AM35" s="1127"/>
      <c r="AN35" s="1127"/>
      <c r="AO35" s="1127"/>
      <c r="AP35" s="1127"/>
      <c r="AQ35" s="1127"/>
      <c r="AR35" s="1127"/>
      <c r="AS35" s="1127"/>
      <c r="AT35" s="1127"/>
      <c r="AU35" s="1127"/>
      <c r="AV35" s="1127"/>
      <c r="AW35" s="1127"/>
      <c r="AX35" s="1127"/>
      <c r="AY35" s="1127"/>
      <c r="AZ35" s="1127"/>
      <c r="BA35" s="1127"/>
      <c r="BB35" s="1127"/>
      <c r="BC35" s="1127"/>
      <c r="BD35" s="1127"/>
      <c r="BE35" s="1127"/>
      <c r="BF35" s="1127"/>
      <c r="BG35" s="1127"/>
      <c r="BH35" s="545"/>
      <c r="CE35" s="63"/>
      <c r="CF35" s="63"/>
      <c r="CG35" s="63"/>
      <c r="CH35" s="63"/>
      <c r="CI35" s="63"/>
      <c r="CJ35" s="63"/>
      <c r="CK35" s="63"/>
      <c r="CL35" s="63"/>
    </row>
    <row r="36" spans="2:90" s="12" customFormat="1" ht="15" customHeight="1">
      <c r="B36" s="1074"/>
      <c r="C36" s="1075"/>
      <c r="D36" s="1075"/>
      <c r="E36" s="1075"/>
      <c r="F36" s="1075"/>
      <c r="G36" s="1076"/>
      <c r="H36" s="1135"/>
      <c r="I36" s="1136"/>
      <c r="J36" s="1136"/>
      <c r="K36" s="1136"/>
      <c r="L36" s="1136"/>
      <c r="M36" s="1136"/>
      <c r="N36" s="1136"/>
      <c r="O36" s="1137"/>
      <c r="P36" s="1083"/>
      <c r="Q36" s="1084"/>
      <c r="R36" s="1084"/>
      <c r="S36" s="1084"/>
      <c r="T36" s="109" t="s">
        <v>4</v>
      </c>
      <c r="U36" s="1084"/>
      <c r="V36" s="1084"/>
      <c r="W36" s="109" t="s">
        <v>34</v>
      </c>
      <c r="X36" s="1084"/>
      <c r="Y36" s="1084"/>
      <c r="Z36" s="109" t="s">
        <v>6</v>
      </c>
      <c r="AA36" s="108"/>
      <c r="AB36" s="1124"/>
      <c r="AC36" s="1125"/>
      <c r="AD36" s="1125"/>
      <c r="AE36" s="1125"/>
      <c r="AF36" s="1125"/>
      <c r="AG36" s="1125"/>
      <c r="AH36" s="1125"/>
      <c r="AI36" s="1125"/>
      <c r="AJ36" s="1125"/>
      <c r="AK36" s="1125"/>
      <c r="AL36" s="1125"/>
      <c r="AM36" s="1125"/>
      <c r="AN36" s="1125"/>
      <c r="AO36" s="1125"/>
      <c r="AP36" s="1125"/>
      <c r="AQ36" s="1125"/>
      <c r="AR36" s="1125"/>
      <c r="AS36" s="1125"/>
      <c r="AT36" s="1125"/>
      <c r="AU36" s="1125"/>
      <c r="AV36" s="1125"/>
      <c r="AW36" s="1125"/>
      <c r="AX36" s="1125"/>
      <c r="AY36" s="1125"/>
      <c r="AZ36" s="1125"/>
      <c r="BA36" s="1125"/>
      <c r="BB36" s="1125"/>
      <c r="BC36" s="1125"/>
      <c r="BD36" s="1125"/>
      <c r="BE36" s="1125"/>
      <c r="BF36" s="1125"/>
      <c r="BG36" s="1125"/>
      <c r="BH36" s="544"/>
      <c r="CE36" s="64"/>
      <c r="CF36" s="64"/>
      <c r="CG36" s="64"/>
      <c r="CH36" s="64"/>
      <c r="CI36" s="64"/>
      <c r="CJ36" s="64"/>
      <c r="CK36" s="64"/>
      <c r="CL36" s="64"/>
    </row>
    <row r="37" spans="2:90" s="15" customFormat="1" ht="15" customHeight="1">
      <c r="B37" s="1077"/>
      <c r="C37" s="1078"/>
      <c r="D37" s="1078"/>
      <c r="E37" s="1078"/>
      <c r="F37" s="1078"/>
      <c r="G37" s="1079"/>
      <c r="H37" s="1138"/>
      <c r="I37" s="1139"/>
      <c r="J37" s="1139"/>
      <c r="K37" s="1139"/>
      <c r="L37" s="1139"/>
      <c r="M37" s="1139"/>
      <c r="N37" s="1139"/>
      <c r="O37" s="1140"/>
      <c r="P37" s="1143"/>
      <c r="Q37" s="1087"/>
      <c r="R37" s="1087"/>
      <c r="S37" s="1087"/>
      <c r="T37" s="111"/>
      <c r="U37" s="1087"/>
      <c r="V37" s="1087"/>
      <c r="W37" s="112"/>
      <c r="X37" s="1087"/>
      <c r="Y37" s="1087"/>
      <c r="Z37" s="112"/>
      <c r="AA37" s="110"/>
      <c r="AB37" s="1126"/>
      <c r="AC37" s="1127"/>
      <c r="AD37" s="1127"/>
      <c r="AE37" s="1127"/>
      <c r="AF37" s="1127"/>
      <c r="AG37" s="1127"/>
      <c r="AH37" s="1127"/>
      <c r="AI37" s="1127"/>
      <c r="AJ37" s="1127"/>
      <c r="AK37" s="1127"/>
      <c r="AL37" s="1127"/>
      <c r="AM37" s="1127"/>
      <c r="AN37" s="1127"/>
      <c r="AO37" s="1127"/>
      <c r="AP37" s="1127"/>
      <c r="AQ37" s="1127"/>
      <c r="AR37" s="1127"/>
      <c r="AS37" s="1127"/>
      <c r="AT37" s="1127"/>
      <c r="AU37" s="1127"/>
      <c r="AV37" s="1127"/>
      <c r="AW37" s="1127"/>
      <c r="AX37" s="1127"/>
      <c r="AY37" s="1127"/>
      <c r="AZ37" s="1127"/>
      <c r="BA37" s="1127"/>
      <c r="BB37" s="1127"/>
      <c r="BC37" s="1127"/>
      <c r="BD37" s="1127"/>
      <c r="BE37" s="1127"/>
      <c r="BF37" s="1127"/>
      <c r="BG37" s="1127"/>
      <c r="BH37" s="545"/>
      <c r="CE37" s="63"/>
      <c r="CF37" s="63"/>
      <c r="CG37" s="63"/>
      <c r="CH37" s="63"/>
      <c r="CI37" s="63"/>
      <c r="CJ37" s="63"/>
      <c r="CK37" s="63"/>
      <c r="CL37" s="63"/>
    </row>
    <row r="38" spans="2:90" s="12" customFormat="1" ht="15" customHeight="1">
      <c r="B38" s="1074"/>
      <c r="C38" s="1075"/>
      <c r="D38" s="1075"/>
      <c r="E38" s="1075"/>
      <c r="F38" s="1075"/>
      <c r="G38" s="1076"/>
      <c r="H38" s="1135"/>
      <c r="I38" s="1136"/>
      <c r="J38" s="1136"/>
      <c r="K38" s="1136"/>
      <c r="L38" s="1136"/>
      <c r="M38" s="1136"/>
      <c r="N38" s="1136"/>
      <c r="O38" s="1137"/>
      <c r="P38" s="1083"/>
      <c r="Q38" s="1084"/>
      <c r="R38" s="1084"/>
      <c r="S38" s="1084"/>
      <c r="T38" s="109" t="s">
        <v>4</v>
      </c>
      <c r="U38" s="1084"/>
      <c r="V38" s="1084"/>
      <c r="W38" s="109" t="s">
        <v>34</v>
      </c>
      <c r="X38" s="1084"/>
      <c r="Y38" s="1084"/>
      <c r="Z38" s="109" t="s">
        <v>6</v>
      </c>
      <c r="AA38" s="108"/>
      <c r="AB38" s="1124"/>
      <c r="AC38" s="1125"/>
      <c r="AD38" s="1125"/>
      <c r="AE38" s="1125"/>
      <c r="AF38" s="1125"/>
      <c r="AG38" s="1125"/>
      <c r="AH38" s="1125"/>
      <c r="AI38" s="1125"/>
      <c r="AJ38" s="1125"/>
      <c r="AK38" s="1125"/>
      <c r="AL38" s="1125"/>
      <c r="AM38" s="1125"/>
      <c r="AN38" s="1125"/>
      <c r="AO38" s="1125"/>
      <c r="AP38" s="1125"/>
      <c r="AQ38" s="1125"/>
      <c r="AR38" s="1125"/>
      <c r="AS38" s="1125"/>
      <c r="AT38" s="1125"/>
      <c r="AU38" s="1125"/>
      <c r="AV38" s="1125"/>
      <c r="AW38" s="1125"/>
      <c r="AX38" s="1125"/>
      <c r="AY38" s="1125"/>
      <c r="AZ38" s="1125"/>
      <c r="BA38" s="1125"/>
      <c r="BB38" s="1125"/>
      <c r="BC38" s="1125"/>
      <c r="BD38" s="1125"/>
      <c r="BE38" s="1125"/>
      <c r="BF38" s="1125"/>
      <c r="BG38" s="1125"/>
      <c r="BH38" s="544"/>
      <c r="CE38" s="64"/>
      <c r="CF38" s="64"/>
      <c r="CG38" s="64"/>
      <c r="CH38" s="64"/>
      <c r="CI38" s="64"/>
      <c r="CJ38" s="64"/>
      <c r="CK38" s="64"/>
      <c r="CL38" s="64"/>
    </row>
    <row r="39" spans="2:90" s="15" customFormat="1" ht="15" customHeight="1">
      <c r="B39" s="1077"/>
      <c r="C39" s="1078"/>
      <c r="D39" s="1078"/>
      <c r="E39" s="1078"/>
      <c r="F39" s="1078"/>
      <c r="G39" s="1079"/>
      <c r="H39" s="1138"/>
      <c r="I39" s="1139"/>
      <c r="J39" s="1139"/>
      <c r="K39" s="1139"/>
      <c r="L39" s="1139"/>
      <c r="M39" s="1139"/>
      <c r="N39" s="1139"/>
      <c r="O39" s="1140"/>
      <c r="P39" s="1143"/>
      <c r="Q39" s="1087"/>
      <c r="R39" s="1087"/>
      <c r="S39" s="1087"/>
      <c r="T39" s="111"/>
      <c r="U39" s="1087"/>
      <c r="V39" s="1087"/>
      <c r="W39" s="112"/>
      <c r="X39" s="1087"/>
      <c r="Y39" s="1087"/>
      <c r="Z39" s="112"/>
      <c r="AA39" s="110"/>
      <c r="AB39" s="1126"/>
      <c r="AC39" s="1127"/>
      <c r="AD39" s="1127"/>
      <c r="AE39" s="1127"/>
      <c r="AF39" s="1127"/>
      <c r="AG39" s="1127"/>
      <c r="AH39" s="1127"/>
      <c r="AI39" s="1127"/>
      <c r="AJ39" s="1127"/>
      <c r="AK39" s="1127"/>
      <c r="AL39" s="1127"/>
      <c r="AM39" s="1127"/>
      <c r="AN39" s="1127"/>
      <c r="AO39" s="1127"/>
      <c r="AP39" s="1127"/>
      <c r="AQ39" s="1127"/>
      <c r="AR39" s="1127"/>
      <c r="AS39" s="1127"/>
      <c r="AT39" s="1127"/>
      <c r="AU39" s="1127"/>
      <c r="AV39" s="1127"/>
      <c r="AW39" s="1127"/>
      <c r="AX39" s="1127"/>
      <c r="AY39" s="1127"/>
      <c r="AZ39" s="1127"/>
      <c r="BA39" s="1127"/>
      <c r="BB39" s="1127"/>
      <c r="BC39" s="1127"/>
      <c r="BD39" s="1127"/>
      <c r="BE39" s="1127"/>
      <c r="BF39" s="1127"/>
      <c r="BG39" s="1127"/>
      <c r="BH39" s="545"/>
      <c r="CE39" s="63"/>
      <c r="CF39" s="63"/>
      <c r="CG39" s="63"/>
      <c r="CH39" s="63"/>
      <c r="CI39" s="63"/>
      <c r="CJ39" s="63"/>
      <c r="CK39" s="63"/>
      <c r="CL39" s="63"/>
    </row>
    <row r="40" spans="2:90" s="12" customFormat="1" ht="15" customHeight="1">
      <c r="B40" s="1074"/>
      <c r="C40" s="1075"/>
      <c r="D40" s="1075"/>
      <c r="E40" s="1075"/>
      <c r="F40" s="1075"/>
      <c r="G40" s="1076"/>
      <c r="H40" s="1135"/>
      <c r="I40" s="1136"/>
      <c r="J40" s="1136"/>
      <c r="K40" s="1136"/>
      <c r="L40" s="1136"/>
      <c r="M40" s="1136"/>
      <c r="N40" s="1136"/>
      <c r="O40" s="1137"/>
      <c r="P40" s="1083"/>
      <c r="Q40" s="1084"/>
      <c r="R40" s="1084"/>
      <c r="S40" s="1084"/>
      <c r="T40" s="109" t="s">
        <v>4</v>
      </c>
      <c r="U40" s="1084"/>
      <c r="V40" s="1084"/>
      <c r="W40" s="109" t="s">
        <v>34</v>
      </c>
      <c r="X40" s="1084"/>
      <c r="Y40" s="1084"/>
      <c r="Z40" s="109" t="s">
        <v>6</v>
      </c>
      <c r="AA40" s="108"/>
      <c r="AB40" s="1124"/>
      <c r="AC40" s="1125"/>
      <c r="AD40" s="1125"/>
      <c r="AE40" s="1125"/>
      <c r="AF40" s="1125"/>
      <c r="AG40" s="1125"/>
      <c r="AH40" s="1125"/>
      <c r="AI40" s="1125"/>
      <c r="AJ40" s="1125"/>
      <c r="AK40" s="1125"/>
      <c r="AL40" s="1125"/>
      <c r="AM40" s="1125"/>
      <c r="AN40" s="1125"/>
      <c r="AO40" s="1125"/>
      <c r="AP40" s="1125"/>
      <c r="AQ40" s="1125"/>
      <c r="AR40" s="1125"/>
      <c r="AS40" s="1125"/>
      <c r="AT40" s="1125"/>
      <c r="AU40" s="1125"/>
      <c r="AV40" s="1125"/>
      <c r="AW40" s="1125"/>
      <c r="AX40" s="1125"/>
      <c r="AY40" s="1125"/>
      <c r="AZ40" s="1125"/>
      <c r="BA40" s="1125"/>
      <c r="BB40" s="1125"/>
      <c r="BC40" s="1125"/>
      <c r="BD40" s="1125"/>
      <c r="BE40" s="1125"/>
      <c r="BF40" s="1125"/>
      <c r="BG40" s="1125"/>
      <c r="BH40" s="544"/>
      <c r="CE40" s="64"/>
      <c r="CF40" s="64"/>
      <c r="CG40" s="64"/>
      <c r="CH40" s="64"/>
      <c r="CI40" s="64"/>
      <c r="CJ40" s="64"/>
      <c r="CK40" s="64"/>
      <c r="CL40" s="64"/>
    </row>
    <row r="41" spans="2:90" s="15" customFormat="1" ht="15" customHeight="1">
      <c r="B41" s="1077"/>
      <c r="C41" s="1078"/>
      <c r="D41" s="1078"/>
      <c r="E41" s="1078"/>
      <c r="F41" s="1078"/>
      <c r="G41" s="1079"/>
      <c r="H41" s="1138"/>
      <c r="I41" s="1139"/>
      <c r="J41" s="1139"/>
      <c r="K41" s="1139"/>
      <c r="L41" s="1139"/>
      <c r="M41" s="1139"/>
      <c r="N41" s="1139"/>
      <c r="O41" s="1140"/>
      <c r="P41" s="1143"/>
      <c r="Q41" s="1087"/>
      <c r="R41" s="1087"/>
      <c r="S41" s="1087"/>
      <c r="T41" s="111"/>
      <c r="U41" s="1087"/>
      <c r="V41" s="1087"/>
      <c r="W41" s="112"/>
      <c r="X41" s="1087"/>
      <c r="Y41" s="1087"/>
      <c r="Z41" s="112"/>
      <c r="AA41" s="110"/>
      <c r="AB41" s="1126"/>
      <c r="AC41" s="1127"/>
      <c r="AD41" s="1127"/>
      <c r="AE41" s="1127"/>
      <c r="AF41" s="1127"/>
      <c r="AG41" s="1127"/>
      <c r="AH41" s="1127"/>
      <c r="AI41" s="1127"/>
      <c r="AJ41" s="1127"/>
      <c r="AK41" s="1127"/>
      <c r="AL41" s="1127"/>
      <c r="AM41" s="1127"/>
      <c r="AN41" s="1127"/>
      <c r="AO41" s="1127"/>
      <c r="AP41" s="1127"/>
      <c r="AQ41" s="1127"/>
      <c r="AR41" s="1127"/>
      <c r="AS41" s="1127"/>
      <c r="AT41" s="1127"/>
      <c r="AU41" s="1127"/>
      <c r="AV41" s="1127"/>
      <c r="AW41" s="1127"/>
      <c r="AX41" s="1127"/>
      <c r="AY41" s="1127"/>
      <c r="AZ41" s="1127"/>
      <c r="BA41" s="1127"/>
      <c r="BB41" s="1127"/>
      <c r="BC41" s="1127"/>
      <c r="BD41" s="1127"/>
      <c r="BE41" s="1127"/>
      <c r="BF41" s="1127"/>
      <c r="BG41" s="1127"/>
      <c r="BH41" s="545"/>
      <c r="BL41" s="72"/>
      <c r="CE41" s="63"/>
      <c r="CF41" s="63"/>
      <c r="CG41" s="63"/>
      <c r="CH41" s="63"/>
      <c r="CI41" s="63"/>
      <c r="CJ41" s="63"/>
      <c r="CK41" s="63"/>
      <c r="CL41" s="63"/>
    </row>
    <row r="42" spans="2:90" s="12" customFormat="1" ht="15" customHeight="1">
      <c r="B42" s="1074"/>
      <c r="C42" s="1075"/>
      <c r="D42" s="1075"/>
      <c r="E42" s="1075"/>
      <c r="F42" s="1075"/>
      <c r="G42" s="1076"/>
      <c r="H42" s="1135"/>
      <c r="I42" s="1136"/>
      <c r="J42" s="1136"/>
      <c r="K42" s="1136"/>
      <c r="L42" s="1136"/>
      <c r="M42" s="1136"/>
      <c r="N42" s="1136"/>
      <c r="O42" s="1137"/>
      <c r="P42" s="1083"/>
      <c r="Q42" s="1084"/>
      <c r="R42" s="1084"/>
      <c r="S42" s="1084"/>
      <c r="T42" s="101" t="s">
        <v>4</v>
      </c>
      <c r="U42" s="1084"/>
      <c r="V42" s="1084"/>
      <c r="W42" s="101" t="s">
        <v>34</v>
      </c>
      <c r="X42" s="1084"/>
      <c r="Y42" s="1084"/>
      <c r="Z42" s="101" t="s">
        <v>6</v>
      </c>
      <c r="AA42" s="95"/>
      <c r="AB42" s="1124"/>
      <c r="AC42" s="1125"/>
      <c r="AD42" s="1125"/>
      <c r="AE42" s="1125"/>
      <c r="AF42" s="1125"/>
      <c r="AG42" s="1125"/>
      <c r="AH42" s="1125"/>
      <c r="AI42" s="1125"/>
      <c r="AJ42" s="1125"/>
      <c r="AK42" s="1125"/>
      <c r="AL42" s="1125"/>
      <c r="AM42" s="1125"/>
      <c r="AN42" s="1125"/>
      <c r="AO42" s="1125"/>
      <c r="AP42" s="1125"/>
      <c r="AQ42" s="1125"/>
      <c r="AR42" s="1125"/>
      <c r="AS42" s="1125"/>
      <c r="AT42" s="1125"/>
      <c r="AU42" s="1125"/>
      <c r="AV42" s="1125"/>
      <c r="AW42" s="1125"/>
      <c r="AX42" s="1125"/>
      <c r="AY42" s="1125"/>
      <c r="AZ42" s="1125"/>
      <c r="BA42" s="1125"/>
      <c r="BB42" s="1125"/>
      <c r="BC42" s="1125"/>
      <c r="BD42" s="1125"/>
      <c r="BE42" s="1125"/>
      <c r="BF42" s="1125"/>
      <c r="BG42" s="1125"/>
      <c r="BH42" s="544"/>
      <c r="BL42" s="136"/>
      <c r="CE42" s="64"/>
      <c r="CF42" s="64"/>
      <c r="CG42" s="64"/>
      <c r="CH42" s="64"/>
      <c r="CI42" s="64"/>
      <c r="CJ42" s="64"/>
      <c r="CK42" s="64"/>
      <c r="CL42" s="64"/>
    </row>
    <row r="43" spans="2:90" s="15" customFormat="1" ht="14.25">
      <c r="B43" s="1077"/>
      <c r="C43" s="1078"/>
      <c r="D43" s="1078"/>
      <c r="E43" s="1078"/>
      <c r="F43" s="1078"/>
      <c r="G43" s="1079"/>
      <c r="H43" s="1138"/>
      <c r="I43" s="1139"/>
      <c r="J43" s="1139"/>
      <c r="K43" s="1139"/>
      <c r="L43" s="1139"/>
      <c r="M43" s="1139"/>
      <c r="N43" s="1139"/>
      <c r="O43" s="1140"/>
      <c r="P43" s="1143"/>
      <c r="Q43" s="1087"/>
      <c r="R43" s="1087"/>
      <c r="S43" s="1087"/>
      <c r="T43" s="100"/>
      <c r="U43" s="1087"/>
      <c r="V43" s="1087"/>
      <c r="W43" s="99"/>
      <c r="X43" s="1087"/>
      <c r="Y43" s="1087"/>
      <c r="Z43" s="99"/>
      <c r="AA43" s="96"/>
      <c r="AB43" s="1126"/>
      <c r="AC43" s="1127"/>
      <c r="AD43" s="1127"/>
      <c r="AE43" s="1127"/>
      <c r="AF43" s="1127"/>
      <c r="AG43" s="1127"/>
      <c r="AH43" s="1127"/>
      <c r="AI43" s="1127"/>
      <c r="AJ43" s="1127"/>
      <c r="AK43" s="1127"/>
      <c r="AL43" s="1127"/>
      <c r="AM43" s="1127"/>
      <c r="AN43" s="1127"/>
      <c r="AO43" s="1127"/>
      <c r="AP43" s="1127"/>
      <c r="AQ43" s="1127"/>
      <c r="AR43" s="1127"/>
      <c r="AS43" s="1127"/>
      <c r="AT43" s="1127"/>
      <c r="AU43" s="1127"/>
      <c r="AV43" s="1127"/>
      <c r="AW43" s="1127"/>
      <c r="AX43" s="1127"/>
      <c r="AY43" s="1127"/>
      <c r="AZ43" s="1127"/>
      <c r="BA43" s="1127"/>
      <c r="BB43" s="1127"/>
      <c r="BC43" s="1127"/>
      <c r="BD43" s="1127"/>
      <c r="BE43" s="1127"/>
      <c r="BF43" s="1127"/>
      <c r="BG43" s="1127"/>
      <c r="BH43" s="545"/>
      <c r="CE43" s="63"/>
      <c r="CF43" s="63"/>
      <c r="CG43" s="63"/>
      <c r="CH43" s="63"/>
      <c r="CI43" s="63"/>
      <c r="CJ43" s="63"/>
      <c r="CK43" s="63"/>
      <c r="CL43" s="63"/>
    </row>
    <row r="44" spans="2:90" s="12" customFormat="1" ht="15" customHeight="1">
      <c r="B44" s="1074"/>
      <c r="C44" s="1075"/>
      <c r="D44" s="1075"/>
      <c r="E44" s="1075"/>
      <c r="F44" s="1075"/>
      <c r="G44" s="1076"/>
      <c r="H44" s="1135"/>
      <c r="I44" s="1136"/>
      <c r="J44" s="1136"/>
      <c r="K44" s="1136"/>
      <c r="L44" s="1136"/>
      <c r="M44" s="1136"/>
      <c r="N44" s="1136"/>
      <c r="O44" s="1137"/>
      <c r="P44" s="1083"/>
      <c r="Q44" s="1084"/>
      <c r="R44" s="1084"/>
      <c r="S44" s="1084"/>
      <c r="T44" s="101" t="s">
        <v>4</v>
      </c>
      <c r="U44" s="1084"/>
      <c r="V44" s="1084"/>
      <c r="W44" s="101" t="s">
        <v>34</v>
      </c>
      <c r="X44" s="1084"/>
      <c r="Y44" s="1084"/>
      <c r="Z44" s="101" t="s">
        <v>6</v>
      </c>
      <c r="AA44" s="95"/>
      <c r="AB44" s="1124"/>
      <c r="AC44" s="1125"/>
      <c r="AD44" s="1125"/>
      <c r="AE44" s="1125"/>
      <c r="AF44" s="1125"/>
      <c r="AG44" s="1125"/>
      <c r="AH44" s="1125"/>
      <c r="AI44" s="1125"/>
      <c r="AJ44" s="1125"/>
      <c r="AK44" s="1125"/>
      <c r="AL44" s="1125"/>
      <c r="AM44" s="1125"/>
      <c r="AN44" s="1125"/>
      <c r="AO44" s="1125"/>
      <c r="AP44" s="1125"/>
      <c r="AQ44" s="1125"/>
      <c r="AR44" s="1125"/>
      <c r="AS44" s="1125"/>
      <c r="AT44" s="1125"/>
      <c r="AU44" s="1125"/>
      <c r="AV44" s="1125"/>
      <c r="AW44" s="1125"/>
      <c r="AX44" s="1125"/>
      <c r="AY44" s="1125"/>
      <c r="AZ44" s="1125"/>
      <c r="BA44" s="1125"/>
      <c r="BB44" s="1125"/>
      <c r="BC44" s="1125"/>
      <c r="BD44" s="1125"/>
      <c r="BE44" s="1125"/>
      <c r="BF44" s="1125"/>
      <c r="BG44" s="1125"/>
      <c r="BH44" s="544"/>
      <c r="CE44" s="64"/>
      <c r="CF44" s="64"/>
      <c r="CG44" s="64"/>
      <c r="CH44" s="64"/>
      <c r="CI44" s="64"/>
      <c r="CJ44" s="64"/>
      <c r="CK44" s="64"/>
      <c r="CL44" s="64"/>
    </row>
    <row r="45" spans="2:90" s="12" customFormat="1" ht="15" thickBot="1">
      <c r="B45" s="1080"/>
      <c r="C45" s="1081"/>
      <c r="D45" s="1081"/>
      <c r="E45" s="1081"/>
      <c r="F45" s="1081"/>
      <c r="G45" s="1082"/>
      <c r="H45" s="1203"/>
      <c r="I45" s="1204"/>
      <c r="J45" s="1204"/>
      <c r="K45" s="1204"/>
      <c r="L45" s="1204"/>
      <c r="M45" s="1204"/>
      <c r="N45" s="1204"/>
      <c r="O45" s="1205"/>
      <c r="P45" s="1085"/>
      <c r="Q45" s="1086"/>
      <c r="R45" s="1086"/>
      <c r="S45" s="1086"/>
      <c r="T45" s="104"/>
      <c r="U45" s="1086"/>
      <c r="V45" s="1086"/>
      <c r="W45" s="105"/>
      <c r="X45" s="1086"/>
      <c r="Y45" s="1086"/>
      <c r="Z45" s="105"/>
      <c r="AA45" s="97"/>
      <c r="AB45" s="1188"/>
      <c r="AC45" s="1189"/>
      <c r="AD45" s="1189"/>
      <c r="AE45" s="1189"/>
      <c r="AF45" s="1189"/>
      <c r="AG45" s="1189"/>
      <c r="AH45" s="1189"/>
      <c r="AI45" s="1189"/>
      <c r="AJ45" s="1189"/>
      <c r="AK45" s="1189"/>
      <c r="AL45" s="1189"/>
      <c r="AM45" s="1189"/>
      <c r="AN45" s="1189"/>
      <c r="AO45" s="1189"/>
      <c r="AP45" s="1189"/>
      <c r="AQ45" s="1189"/>
      <c r="AR45" s="1189"/>
      <c r="AS45" s="1189"/>
      <c r="AT45" s="1189"/>
      <c r="AU45" s="1189"/>
      <c r="AV45" s="1189"/>
      <c r="AW45" s="1189"/>
      <c r="AX45" s="1189"/>
      <c r="AY45" s="1189"/>
      <c r="AZ45" s="1189"/>
      <c r="BA45" s="1189"/>
      <c r="BB45" s="1189"/>
      <c r="BC45" s="1189"/>
      <c r="BD45" s="1189"/>
      <c r="BE45" s="1189"/>
      <c r="BF45" s="1189"/>
      <c r="BG45" s="1189"/>
      <c r="BH45" s="547"/>
      <c r="CE45" s="64"/>
      <c r="CF45" s="64"/>
      <c r="CG45" s="64"/>
      <c r="CH45" s="64"/>
      <c r="CI45" s="64"/>
      <c r="CJ45" s="64"/>
      <c r="CK45" s="64"/>
      <c r="CL45" s="64"/>
    </row>
    <row r="46" spans="2:90" s="12" customFormat="1" ht="15" customHeight="1">
      <c r="B46" s="106" t="s">
        <v>203</v>
      </c>
      <c r="C46" s="61"/>
      <c r="D46" s="61"/>
      <c r="E46" s="61"/>
      <c r="F46" s="61"/>
      <c r="G46" s="61"/>
      <c r="H46" s="61" t="s">
        <v>204</v>
      </c>
      <c r="I46" s="61"/>
      <c r="J46" s="61"/>
      <c r="K46" s="61"/>
      <c r="L46" s="21"/>
      <c r="M46" s="21"/>
      <c r="N46" s="21"/>
      <c r="O46" s="21"/>
      <c r="P46" s="821" t="s">
        <v>296</v>
      </c>
      <c r="Q46" s="21" t="s">
        <v>138</v>
      </c>
      <c r="R46" s="21"/>
      <c r="S46" s="61"/>
      <c r="T46" s="821" t="s">
        <v>124</v>
      </c>
      <c r="U46" s="21" t="s">
        <v>137</v>
      </c>
      <c r="V46" s="61"/>
      <c r="W46" s="61"/>
      <c r="X46" s="61"/>
      <c r="Y46" s="61"/>
      <c r="Z46" s="61"/>
      <c r="AA46" s="61"/>
      <c r="AB46" s="61"/>
      <c r="AC46" s="61"/>
      <c r="AD46" s="61"/>
      <c r="AE46" s="61"/>
      <c r="AF46" s="61"/>
      <c r="AG46" s="61"/>
      <c r="AH46" s="61"/>
      <c r="AI46" s="61"/>
      <c r="AJ46" s="61"/>
      <c r="AK46" s="61"/>
      <c r="AL46" s="61"/>
      <c r="AM46" s="61"/>
      <c r="AN46" s="21"/>
      <c r="AO46" s="21"/>
      <c r="AP46" s="21"/>
      <c r="AQ46" s="21"/>
      <c r="AR46" s="21"/>
      <c r="AS46" s="21"/>
      <c r="AT46" s="21"/>
      <c r="AU46" s="21"/>
      <c r="AV46" s="21"/>
      <c r="AW46" s="21"/>
      <c r="AX46" s="21"/>
      <c r="AY46" s="21"/>
      <c r="AZ46" s="21"/>
      <c r="BA46" s="21"/>
      <c r="BB46" s="21"/>
      <c r="BC46" s="21"/>
      <c r="BD46" s="21"/>
      <c r="BE46" s="21"/>
      <c r="BF46" s="21"/>
      <c r="BG46" s="21"/>
      <c r="BH46" s="60"/>
      <c r="CE46" s="64"/>
      <c r="CF46" s="64"/>
      <c r="CG46" s="64"/>
      <c r="CH46" s="64"/>
      <c r="CI46" s="64"/>
      <c r="CJ46" s="64"/>
      <c r="CK46" s="64"/>
      <c r="CL46" s="64"/>
    </row>
    <row r="47" spans="2:90" s="12" customFormat="1" ht="19.5" customHeight="1">
      <c r="B47" s="1013" t="s">
        <v>144</v>
      </c>
      <c r="C47" s="1014"/>
      <c r="D47" s="1014"/>
      <c r="E47" s="1014"/>
      <c r="F47" s="1015"/>
      <c r="G47" s="1017" t="s">
        <v>147</v>
      </c>
      <c r="H47" s="1014"/>
      <c r="I47" s="1014"/>
      <c r="J47" s="1014"/>
      <c r="K47" s="1014"/>
      <c r="L47" s="1014"/>
      <c r="M47" s="1014"/>
      <c r="N47" s="1015"/>
      <c r="O47" s="1017" t="s">
        <v>149</v>
      </c>
      <c r="P47" s="1014"/>
      <c r="Q47" s="1014"/>
      <c r="R47" s="1014"/>
      <c r="S47" s="1014"/>
      <c r="T47" s="1014"/>
      <c r="U47" s="1014"/>
      <c r="V47" s="1014"/>
      <c r="W47" s="1014"/>
      <c r="X47" s="1014"/>
      <c r="Y47" s="1014"/>
      <c r="Z47" s="1015"/>
      <c r="AA47" s="1206" t="s">
        <v>174</v>
      </c>
      <c r="AB47" s="1069"/>
      <c r="AC47" s="1069"/>
      <c r="AD47" s="1069"/>
      <c r="AE47" s="1069"/>
      <c r="AF47" s="1069"/>
      <c r="AG47" s="1070"/>
      <c r="AH47" s="1017" t="s">
        <v>151</v>
      </c>
      <c r="AI47" s="1014"/>
      <c r="AJ47" s="1014"/>
      <c r="AK47" s="1014"/>
      <c r="AL47" s="1015"/>
      <c r="AM47" s="1014" t="s">
        <v>306</v>
      </c>
      <c r="AN47" s="1014"/>
      <c r="AO47" s="1014"/>
      <c r="AP47" s="1014"/>
      <c r="AQ47" s="1014"/>
      <c r="AR47" s="1014"/>
      <c r="AS47" s="1014"/>
      <c r="AT47" s="1014"/>
      <c r="AU47" s="1014"/>
      <c r="AV47" s="1014"/>
      <c r="AW47" s="1014"/>
      <c r="AX47" s="1014"/>
      <c r="AY47" s="1017" t="s">
        <v>172</v>
      </c>
      <c r="AZ47" s="1014"/>
      <c r="BA47" s="1014"/>
      <c r="BB47" s="1014"/>
      <c r="BC47" s="1014"/>
      <c r="BD47" s="1014"/>
      <c r="BE47" s="1014"/>
      <c r="BF47" s="1014"/>
      <c r="BG47" s="1014"/>
      <c r="BH47" s="1037"/>
      <c r="CE47" s="64"/>
      <c r="CF47" s="64"/>
      <c r="CG47" s="64"/>
      <c r="CH47" s="64"/>
      <c r="CI47" s="64"/>
      <c r="CJ47" s="64"/>
      <c r="CK47" s="64"/>
      <c r="CL47" s="64"/>
    </row>
    <row r="48" spans="2:90" s="15" customFormat="1" ht="10.5" customHeight="1">
      <c r="B48" s="1025" t="s">
        <v>103</v>
      </c>
      <c r="C48" s="1019"/>
      <c r="D48" s="1019"/>
      <c r="E48" s="1019"/>
      <c r="F48" s="1020"/>
      <c r="G48" s="1018" t="s">
        <v>148</v>
      </c>
      <c r="H48" s="1019"/>
      <c r="I48" s="1019"/>
      <c r="J48" s="1019"/>
      <c r="K48" s="1019"/>
      <c r="L48" s="1019"/>
      <c r="M48" s="1019"/>
      <c r="N48" s="1020"/>
      <c r="O48" s="1018" t="s">
        <v>150</v>
      </c>
      <c r="P48" s="1019"/>
      <c r="Q48" s="1019"/>
      <c r="R48" s="1019"/>
      <c r="S48" s="1019"/>
      <c r="T48" s="1019"/>
      <c r="U48" s="1019"/>
      <c r="V48" s="1019"/>
      <c r="W48" s="1019"/>
      <c r="X48" s="1019"/>
      <c r="Y48" s="1019"/>
      <c r="Z48" s="1020"/>
      <c r="AA48" s="1191" t="s">
        <v>950</v>
      </c>
      <c r="AB48" s="1072"/>
      <c r="AC48" s="1072"/>
      <c r="AD48" s="1072"/>
      <c r="AE48" s="1072"/>
      <c r="AF48" s="1072"/>
      <c r="AG48" s="1073"/>
      <c r="AH48" s="1018" t="s">
        <v>46</v>
      </c>
      <c r="AI48" s="1019"/>
      <c r="AJ48" s="1019"/>
      <c r="AK48" s="1019"/>
      <c r="AL48" s="1020"/>
      <c r="AM48" s="1019" t="s">
        <v>949</v>
      </c>
      <c r="AN48" s="1019"/>
      <c r="AO48" s="1019"/>
      <c r="AP48" s="1019"/>
      <c r="AQ48" s="1019"/>
      <c r="AR48" s="1019"/>
      <c r="AS48" s="1019"/>
      <c r="AT48" s="1019"/>
      <c r="AU48" s="1019"/>
      <c r="AV48" s="1019"/>
      <c r="AW48" s="1019"/>
      <c r="AX48" s="1019"/>
      <c r="AY48" s="1018" t="s">
        <v>173</v>
      </c>
      <c r="AZ48" s="1019"/>
      <c r="BA48" s="1019"/>
      <c r="BB48" s="1019"/>
      <c r="BC48" s="1019"/>
      <c r="BD48" s="1019"/>
      <c r="BE48" s="1019"/>
      <c r="BF48" s="1019"/>
      <c r="BG48" s="1019"/>
      <c r="BH48" s="1039"/>
      <c r="CE48" s="63"/>
      <c r="CF48" s="63"/>
      <c r="CG48" s="63"/>
      <c r="CH48" s="63"/>
      <c r="CI48" s="63"/>
      <c r="CJ48" s="63"/>
      <c r="CK48" s="63"/>
      <c r="CL48" s="63"/>
    </row>
    <row r="49" spans="2:90" s="12" customFormat="1" ht="15" customHeight="1">
      <c r="B49" s="1146"/>
      <c r="C49" s="1147"/>
      <c r="D49" s="1147"/>
      <c r="E49" s="1147"/>
      <c r="F49" s="1148"/>
      <c r="G49" s="1197"/>
      <c r="H49" s="1198"/>
      <c r="I49" s="1198"/>
      <c r="J49" s="1198"/>
      <c r="K49" s="1198"/>
      <c r="L49" s="1198"/>
      <c r="M49" s="1198"/>
      <c r="N49" s="1199"/>
      <c r="O49" s="1190"/>
      <c r="P49" s="1144"/>
      <c r="Q49" s="1144"/>
      <c r="R49" s="1144"/>
      <c r="S49" s="123" t="s">
        <v>4</v>
      </c>
      <c r="T49" s="1144"/>
      <c r="U49" s="1144"/>
      <c r="V49" s="123" t="s">
        <v>34</v>
      </c>
      <c r="W49" s="1144"/>
      <c r="X49" s="1144"/>
      <c r="Y49" s="123" t="s">
        <v>6</v>
      </c>
      <c r="Z49" s="119"/>
      <c r="AA49" s="42"/>
      <c r="AB49" s="822" t="s">
        <v>124</v>
      </c>
      <c r="AC49" s="15" t="s">
        <v>176</v>
      </c>
      <c r="AD49" s="18"/>
      <c r="AE49" s="822" t="s">
        <v>124</v>
      </c>
      <c r="AF49" s="15" t="s">
        <v>175</v>
      </c>
      <c r="AG49" s="43"/>
      <c r="AH49" s="1028"/>
      <c r="AI49" s="1029"/>
      <c r="AJ49" s="1029"/>
      <c r="AK49" s="1029"/>
      <c r="AL49" s="1192"/>
      <c r="AM49" s="1029"/>
      <c r="AN49" s="1029"/>
      <c r="AO49" s="1029"/>
      <c r="AP49" s="1029"/>
      <c r="AQ49" s="1029"/>
      <c r="AR49" s="1029"/>
      <c r="AS49" s="1029"/>
      <c r="AT49" s="1029"/>
      <c r="AU49" s="1029"/>
      <c r="AV49" s="1029"/>
      <c r="AW49" s="1029"/>
      <c r="AX49" s="1029"/>
      <c r="AY49" s="1028"/>
      <c r="AZ49" s="1029"/>
      <c r="BA49" s="1029"/>
      <c r="BB49" s="1029"/>
      <c r="BC49" s="1029"/>
      <c r="BD49" s="1029"/>
      <c r="BE49" s="1029"/>
      <c r="BF49" s="1029"/>
      <c r="BG49" s="1029"/>
      <c r="BH49" s="1030"/>
      <c r="CE49" s="64"/>
      <c r="CF49" s="64"/>
      <c r="CG49" s="64"/>
      <c r="CH49" s="64"/>
      <c r="CI49" s="64"/>
      <c r="CJ49" s="64"/>
      <c r="CK49" s="64"/>
      <c r="CL49" s="64"/>
    </row>
    <row r="50" spans="2:90" s="15" customFormat="1" ht="14.25">
      <c r="B50" s="1149"/>
      <c r="C50" s="1032"/>
      <c r="D50" s="1032"/>
      <c r="E50" s="1032"/>
      <c r="F50" s="1150"/>
      <c r="G50" s="1200"/>
      <c r="H50" s="1201"/>
      <c r="I50" s="1201"/>
      <c r="J50" s="1201"/>
      <c r="K50" s="1201"/>
      <c r="L50" s="1201"/>
      <c r="M50" s="1201"/>
      <c r="N50" s="1202"/>
      <c r="O50" s="1160"/>
      <c r="P50" s="1145"/>
      <c r="Q50" s="1145"/>
      <c r="R50" s="1145"/>
      <c r="S50" s="100"/>
      <c r="T50" s="1145"/>
      <c r="U50" s="1145"/>
      <c r="V50" s="99"/>
      <c r="W50" s="1145"/>
      <c r="X50" s="1145"/>
      <c r="Y50" s="99"/>
      <c r="Z50" s="96"/>
      <c r="AA50" s="44"/>
      <c r="AB50" s="16" t="s">
        <v>43</v>
      </c>
      <c r="AC50" s="16"/>
      <c r="AD50" s="16"/>
      <c r="AE50" s="122" t="s">
        <v>38</v>
      </c>
      <c r="AF50" s="16"/>
      <c r="AG50" s="45"/>
      <c r="AH50" s="1031"/>
      <c r="AI50" s="1032"/>
      <c r="AJ50" s="1032"/>
      <c r="AK50" s="1032"/>
      <c r="AL50" s="1150"/>
      <c r="AM50" s="1032"/>
      <c r="AN50" s="1032"/>
      <c r="AO50" s="1032"/>
      <c r="AP50" s="1032"/>
      <c r="AQ50" s="1032"/>
      <c r="AR50" s="1032"/>
      <c r="AS50" s="1032"/>
      <c r="AT50" s="1032"/>
      <c r="AU50" s="1032"/>
      <c r="AV50" s="1032"/>
      <c r="AW50" s="1032"/>
      <c r="AX50" s="1032"/>
      <c r="AY50" s="1031"/>
      <c r="AZ50" s="1032"/>
      <c r="BA50" s="1032"/>
      <c r="BB50" s="1032"/>
      <c r="BC50" s="1032"/>
      <c r="BD50" s="1032"/>
      <c r="BE50" s="1032"/>
      <c r="BF50" s="1032"/>
      <c r="BG50" s="1032"/>
      <c r="BH50" s="1033"/>
      <c r="CE50" s="63"/>
      <c r="CF50" s="63"/>
      <c r="CG50" s="63"/>
      <c r="CH50" s="63"/>
      <c r="CI50" s="63"/>
      <c r="CJ50" s="63"/>
      <c r="CK50" s="63"/>
      <c r="CL50" s="63"/>
    </row>
    <row r="51" spans="2:90" s="12" customFormat="1" ht="15" customHeight="1">
      <c r="B51" s="1194"/>
      <c r="C51" s="1029"/>
      <c r="D51" s="1029"/>
      <c r="E51" s="1029"/>
      <c r="F51" s="1192"/>
      <c r="G51" s="1162"/>
      <c r="H51" s="1163"/>
      <c r="I51" s="1163"/>
      <c r="J51" s="1163"/>
      <c r="K51" s="1163"/>
      <c r="L51" s="1163"/>
      <c r="M51" s="1163"/>
      <c r="N51" s="1164"/>
      <c r="O51" s="1159"/>
      <c r="P51" s="1157"/>
      <c r="Q51" s="1157"/>
      <c r="R51" s="1157"/>
      <c r="S51" s="101" t="s">
        <v>4</v>
      </c>
      <c r="T51" s="1157"/>
      <c r="U51" s="1157"/>
      <c r="V51" s="101" t="s">
        <v>34</v>
      </c>
      <c r="W51" s="1157"/>
      <c r="X51" s="1157"/>
      <c r="Y51" s="101" t="s">
        <v>6</v>
      </c>
      <c r="Z51" s="95"/>
      <c r="AA51" s="46"/>
      <c r="AB51" s="822" t="s">
        <v>124</v>
      </c>
      <c r="AC51" s="18" t="s">
        <v>176</v>
      </c>
      <c r="AD51" s="18"/>
      <c r="AE51" s="822" t="s">
        <v>124</v>
      </c>
      <c r="AF51" s="18" t="s">
        <v>175</v>
      </c>
      <c r="AG51" s="81"/>
      <c r="AH51" s="1028"/>
      <c r="AI51" s="1029"/>
      <c r="AJ51" s="1029"/>
      <c r="AK51" s="1029"/>
      <c r="AL51" s="1192"/>
      <c r="AM51" s="1029"/>
      <c r="AN51" s="1029"/>
      <c r="AO51" s="1029"/>
      <c r="AP51" s="1029"/>
      <c r="AQ51" s="1029"/>
      <c r="AR51" s="1029"/>
      <c r="AS51" s="1029"/>
      <c r="AT51" s="1029"/>
      <c r="AU51" s="1029"/>
      <c r="AV51" s="1029"/>
      <c r="AW51" s="1029"/>
      <c r="AX51" s="1029"/>
      <c r="AY51" s="1028"/>
      <c r="AZ51" s="1029"/>
      <c r="BA51" s="1029"/>
      <c r="BB51" s="1029"/>
      <c r="BC51" s="1029"/>
      <c r="BD51" s="1029"/>
      <c r="BE51" s="1029"/>
      <c r="BF51" s="1029"/>
      <c r="BG51" s="1029"/>
      <c r="BH51" s="1030"/>
      <c r="CE51" s="64"/>
      <c r="CF51" s="64"/>
      <c r="CG51" s="64"/>
      <c r="CH51" s="64"/>
      <c r="CI51" s="64"/>
      <c r="CJ51" s="64"/>
      <c r="CK51" s="64"/>
      <c r="CL51" s="64"/>
    </row>
    <row r="52" spans="2:90" s="15" customFormat="1" ht="14.25">
      <c r="B52" s="1149"/>
      <c r="C52" s="1032"/>
      <c r="D52" s="1032"/>
      <c r="E52" s="1032"/>
      <c r="F52" s="1150"/>
      <c r="G52" s="1200"/>
      <c r="H52" s="1201"/>
      <c r="I52" s="1201"/>
      <c r="J52" s="1201"/>
      <c r="K52" s="1201"/>
      <c r="L52" s="1201"/>
      <c r="M52" s="1201"/>
      <c r="N52" s="1202"/>
      <c r="O52" s="1160"/>
      <c r="P52" s="1145"/>
      <c r="Q52" s="1145"/>
      <c r="R52" s="1145"/>
      <c r="S52" s="100"/>
      <c r="T52" s="1145"/>
      <c r="U52" s="1145"/>
      <c r="V52" s="99"/>
      <c r="W52" s="1145"/>
      <c r="X52" s="1145"/>
      <c r="Y52" s="99"/>
      <c r="Z52" s="96"/>
      <c r="AA52" s="44"/>
      <c r="AB52" s="16" t="s">
        <v>43</v>
      </c>
      <c r="AC52" s="16"/>
      <c r="AD52" s="16"/>
      <c r="AE52" s="122" t="s">
        <v>38</v>
      </c>
      <c r="AF52" s="16"/>
      <c r="AG52" s="45"/>
      <c r="AH52" s="1031"/>
      <c r="AI52" s="1032"/>
      <c r="AJ52" s="1032"/>
      <c r="AK52" s="1032"/>
      <c r="AL52" s="1150"/>
      <c r="AM52" s="1032"/>
      <c r="AN52" s="1032"/>
      <c r="AO52" s="1032"/>
      <c r="AP52" s="1032"/>
      <c r="AQ52" s="1032"/>
      <c r="AR52" s="1032"/>
      <c r="AS52" s="1032"/>
      <c r="AT52" s="1032"/>
      <c r="AU52" s="1032"/>
      <c r="AV52" s="1032"/>
      <c r="AW52" s="1032"/>
      <c r="AX52" s="1032"/>
      <c r="AY52" s="1031"/>
      <c r="AZ52" s="1032"/>
      <c r="BA52" s="1032"/>
      <c r="BB52" s="1032"/>
      <c r="BC52" s="1032"/>
      <c r="BD52" s="1032"/>
      <c r="BE52" s="1032"/>
      <c r="BF52" s="1032"/>
      <c r="BG52" s="1032"/>
      <c r="BH52" s="1033"/>
      <c r="CE52" s="63"/>
      <c r="CF52" s="63"/>
      <c r="CG52" s="63"/>
      <c r="CH52" s="63"/>
      <c r="CI52" s="63"/>
      <c r="CJ52" s="63"/>
      <c r="CK52" s="63"/>
      <c r="CL52" s="63"/>
    </row>
    <row r="53" spans="2:90" s="15" customFormat="1" ht="15" customHeight="1">
      <c r="B53" s="1194"/>
      <c r="C53" s="1029"/>
      <c r="D53" s="1029"/>
      <c r="E53" s="1029"/>
      <c r="F53" s="1192"/>
      <c r="G53" s="1162"/>
      <c r="H53" s="1163"/>
      <c r="I53" s="1163"/>
      <c r="J53" s="1163"/>
      <c r="K53" s="1163"/>
      <c r="L53" s="1163"/>
      <c r="M53" s="1163"/>
      <c r="N53" s="1164"/>
      <c r="O53" s="1159"/>
      <c r="P53" s="1157"/>
      <c r="Q53" s="1157"/>
      <c r="R53" s="1157"/>
      <c r="S53" s="101" t="s">
        <v>4</v>
      </c>
      <c r="T53" s="1157"/>
      <c r="U53" s="1157"/>
      <c r="V53" s="101" t="s">
        <v>34</v>
      </c>
      <c r="W53" s="1157"/>
      <c r="X53" s="1157"/>
      <c r="Y53" s="101" t="s">
        <v>6</v>
      </c>
      <c r="Z53" s="95"/>
      <c r="AA53" s="42"/>
      <c r="AB53" s="819" t="s">
        <v>124</v>
      </c>
      <c r="AC53" s="15" t="s">
        <v>176</v>
      </c>
      <c r="AE53" s="819" t="s">
        <v>125</v>
      </c>
      <c r="AF53" s="15" t="s">
        <v>175</v>
      </c>
      <c r="AG53" s="43"/>
      <c r="AH53" s="1028"/>
      <c r="AI53" s="1029"/>
      <c r="AJ53" s="1029"/>
      <c r="AK53" s="1029"/>
      <c r="AL53" s="1192"/>
      <c r="AM53" s="1029"/>
      <c r="AN53" s="1029"/>
      <c r="AO53" s="1029"/>
      <c r="AP53" s="1029"/>
      <c r="AQ53" s="1029"/>
      <c r="AR53" s="1029"/>
      <c r="AS53" s="1029"/>
      <c r="AT53" s="1029"/>
      <c r="AU53" s="1029"/>
      <c r="AV53" s="1029"/>
      <c r="AW53" s="1029"/>
      <c r="AX53" s="1029"/>
      <c r="AY53" s="1028"/>
      <c r="AZ53" s="1029"/>
      <c r="BA53" s="1029"/>
      <c r="BB53" s="1029"/>
      <c r="BC53" s="1029"/>
      <c r="BD53" s="1029"/>
      <c r="BE53" s="1029"/>
      <c r="BF53" s="1029"/>
      <c r="BG53" s="1029"/>
      <c r="BH53" s="1030"/>
      <c r="CE53" s="63"/>
      <c r="CF53" s="63"/>
      <c r="CG53" s="63"/>
      <c r="CH53" s="63"/>
      <c r="CI53" s="63"/>
      <c r="CJ53" s="63"/>
      <c r="CK53" s="63"/>
      <c r="CL53" s="63"/>
    </row>
    <row r="54" spans="2:90" s="4" customFormat="1" ht="15" thickBot="1">
      <c r="B54" s="1195"/>
      <c r="C54" s="1152"/>
      <c r="D54" s="1152"/>
      <c r="E54" s="1152"/>
      <c r="F54" s="1193"/>
      <c r="G54" s="1165"/>
      <c r="H54" s="1166"/>
      <c r="I54" s="1166"/>
      <c r="J54" s="1166"/>
      <c r="K54" s="1166"/>
      <c r="L54" s="1166"/>
      <c r="M54" s="1166"/>
      <c r="N54" s="1167"/>
      <c r="O54" s="1196"/>
      <c r="P54" s="1158"/>
      <c r="Q54" s="1158"/>
      <c r="R54" s="1158"/>
      <c r="S54" s="104"/>
      <c r="T54" s="1158"/>
      <c r="U54" s="1158"/>
      <c r="V54" s="105"/>
      <c r="W54" s="1158"/>
      <c r="X54" s="1158"/>
      <c r="Y54" s="105"/>
      <c r="Z54" s="97"/>
      <c r="AA54" s="78"/>
      <c r="AB54" s="23" t="s">
        <v>43</v>
      </c>
      <c r="AC54" s="23"/>
      <c r="AD54" s="23"/>
      <c r="AE54" s="124" t="s">
        <v>38</v>
      </c>
      <c r="AF54" s="23"/>
      <c r="AG54" s="125"/>
      <c r="AH54" s="1151"/>
      <c r="AI54" s="1152"/>
      <c r="AJ54" s="1152"/>
      <c r="AK54" s="1152"/>
      <c r="AL54" s="1193"/>
      <c r="AM54" s="1152"/>
      <c r="AN54" s="1152"/>
      <c r="AO54" s="1152"/>
      <c r="AP54" s="1152"/>
      <c r="AQ54" s="1152"/>
      <c r="AR54" s="1152"/>
      <c r="AS54" s="1152"/>
      <c r="AT54" s="1152"/>
      <c r="AU54" s="1152"/>
      <c r="AV54" s="1152"/>
      <c r="AW54" s="1152"/>
      <c r="AX54" s="1152"/>
      <c r="AY54" s="1151"/>
      <c r="AZ54" s="1152"/>
      <c r="BA54" s="1152"/>
      <c r="BB54" s="1152"/>
      <c r="BC54" s="1152"/>
      <c r="BD54" s="1152"/>
      <c r="BE54" s="1152"/>
      <c r="BF54" s="1152"/>
      <c r="BG54" s="1152"/>
      <c r="BH54" s="1153"/>
      <c r="CE54" s="64"/>
      <c r="CF54" s="64"/>
      <c r="CG54" s="64"/>
      <c r="CH54" s="64"/>
      <c r="CI54" s="64"/>
      <c r="CJ54" s="64"/>
      <c r="CK54" s="64"/>
      <c r="CL54" s="64"/>
    </row>
    <row r="55" spans="2:90" s="13" customFormat="1" ht="15" customHeight="1" thickBot="1">
      <c r="B55" s="23"/>
      <c r="C55" s="23"/>
      <c r="D55" s="23"/>
      <c r="E55" s="23"/>
      <c r="F55" s="23"/>
      <c r="G55" s="23"/>
      <c r="H55" s="23"/>
      <c r="I55" s="23"/>
      <c r="J55" s="23"/>
      <c r="K55" s="23"/>
      <c r="L55" s="23"/>
      <c r="M55" s="23"/>
      <c r="N55" s="23"/>
      <c r="O55" s="23"/>
      <c r="P55" s="23"/>
      <c r="Q55" s="23"/>
      <c r="R55" s="23"/>
      <c r="S55" s="79"/>
      <c r="T55" s="79"/>
      <c r="U55" s="79"/>
      <c r="V55" s="79"/>
      <c r="W55" s="79"/>
      <c r="X55" s="79"/>
      <c r="Y55" s="79"/>
      <c r="Z55" s="79"/>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102" t="s">
        <v>19</v>
      </c>
      <c r="CE55" s="646"/>
      <c r="CF55" s="646"/>
      <c r="CG55" s="646"/>
      <c r="CH55" s="646"/>
      <c r="CI55" s="646"/>
      <c r="CJ55" s="646"/>
      <c r="CK55" s="646"/>
      <c r="CL55" s="646"/>
    </row>
    <row r="56" spans="2:90" s="17" customFormat="1" ht="15" customHeight="1" thickBot="1">
      <c r="B56" s="24" t="s">
        <v>95</v>
      </c>
      <c r="C56" s="32"/>
      <c r="D56" s="27"/>
      <c r="E56" s="27"/>
      <c r="F56" s="27"/>
      <c r="G56" s="27"/>
      <c r="H56" s="27"/>
      <c r="I56" s="27"/>
      <c r="J56" s="27"/>
      <c r="K56" s="27"/>
      <c r="L56" s="27"/>
      <c r="M56" s="27"/>
      <c r="N56" s="27"/>
      <c r="O56" s="27"/>
      <c r="P56" s="27"/>
      <c r="Q56" s="27"/>
      <c r="R56" s="27"/>
      <c r="S56" s="27"/>
      <c r="T56" s="27"/>
      <c r="U56" s="27"/>
      <c r="V56" s="27"/>
      <c r="W56" s="27"/>
      <c r="X56" s="27"/>
      <c r="Y56" s="33"/>
      <c r="Z56" s="33"/>
      <c r="AA56" s="27"/>
      <c r="AB56" s="27"/>
      <c r="AC56" s="33"/>
      <c r="AD56" s="33"/>
      <c r="AE56" s="33"/>
      <c r="AF56" s="33"/>
      <c r="AG56" s="33"/>
      <c r="AH56" s="27"/>
      <c r="AI56" s="28"/>
      <c r="AJ56" s="28"/>
      <c r="AK56" s="28"/>
      <c r="AL56" s="28"/>
      <c r="AM56" s="28"/>
      <c r="AN56" s="29"/>
      <c r="AO56" s="29"/>
      <c r="AP56" s="29"/>
      <c r="AQ56" s="29"/>
      <c r="AR56" s="32"/>
      <c r="AS56" s="30"/>
      <c r="AT56" s="30"/>
      <c r="AU56" s="30"/>
      <c r="AV56" s="30"/>
      <c r="AW56" s="30"/>
      <c r="AX56" s="30"/>
      <c r="AY56" s="30"/>
      <c r="AZ56" s="30"/>
      <c r="BA56" s="30"/>
      <c r="BB56" s="30"/>
      <c r="BC56" s="30"/>
      <c r="BD56" s="30"/>
      <c r="BE56" s="30"/>
      <c r="BF56" s="30"/>
      <c r="BG56" s="30"/>
      <c r="BH56" s="31"/>
      <c r="CE56" s="647"/>
      <c r="CF56" s="647"/>
      <c r="CG56" s="647"/>
      <c r="CH56" s="647"/>
      <c r="CI56" s="647"/>
      <c r="CJ56" s="647"/>
      <c r="CK56" s="647"/>
      <c r="CL56" s="647"/>
    </row>
    <row r="57" spans="2:90" s="13" customFormat="1" ht="15" customHeight="1">
      <c r="B57" s="22" t="s">
        <v>117</v>
      </c>
      <c r="C57" s="15"/>
      <c r="D57" s="15"/>
      <c r="E57" s="15"/>
      <c r="F57" s="15"/>
      <c r="G57" s="15"/>
      <c r="H57" s="15"/>
      <c r="I57" s="823" t="s">
        <v>296</v>
      </c>
      <c r="J57" s="15" t="s">
        <v>135</v>
      </c>
      <c r="K57" s="15"/>
      <c r="L57" s="15"/>
      <c r="M57" s="15"/>
      <c r="N57" s="15"/>
      <c r="O57" s="823" t="s">
        <v>124</v>
      </c>
      <c r="P57" s="15" t="s">
        <v>134</v>
      </c>
      <c r="Q57" s="15"/>
      <c r="R57" s="15"/>
      <c r="S57" s="15"/>
      <c r="T57" s="1187"/>
      <c r="U57" s="1187"/>
      <c r="V57" s="1187"/>
      <c r="W57" s="1187"/>
      <c r="X57" s="1187"/>
      <c r="Y57" s="1187"/>
      <c r="Z57" s="1187"/>
      <c r="AA57" s="1187"/>
      <c r="AB57" s="1187"/>
      <c r="AC57" s="1187"/>
      <c r="AD57" s="1187"/>
      <c r="AE57" s="1187"/>
      <c r="AF57" s="1187"/>
      <c r="AG57" s="1187"/>
      <c r="AH57" s="15"/>
      <c r="AI57" s="15" t="s">
        <v>10</v>
      </c>
      <c r="AJ57" s="36"/>
      <c r="AK57" s="35" t="s">
        <v>49</v>
      </c>
      <c r="AL57" s="36"/>
      <c r="AM57" s="36"/>
      <c r="AN57" s="15"/>
      <c r="AO57" s="15"/>
      <c r="AP57" s="15"/>
      <c r="AQ57" s="1168"/>
      <c r="AR57" s="1168"/>
      <c r="AS57" s="1168"/>
      <c r="AT57" s="1168"/>
      <c r="AU57" s="1168"/>
      <c r="AV57" s="15"/>
      <c r="AW57" s="15" t="s">
        <v>4</v>
      </c>
      <c r="AX57" s="15"/>
      <c r="AY57" s="1168"/>
      <c r="AZ57" s="1168"/>
      <c r="BA57" s="1168"/>
      <c r="BB57" s="15" t="s">
        <v>5</v>
      </c>
      <c r="BC57" s="15"/>
      <c r="BD57" s="1168"/>
      <c r="BE57" s="1168"/>
      <c r="BF57" s="1168"/>
      <c r="BG57" s="15" t="s">
        <v>6</v>
      </c>
      <c r="BH57" s="34"/>
      <c r="CE57" s="646"/>
      <c r="CF57" s="646"/>
      <c r="CG57" s="646"/>
      <c r="CH57" s="646"/>
      <c r="CI57" s="646"/>
      <c r="CJ57" s="646"/>
      <c r="CK57" s="646"/>
      <c r="CL57" s="646"/>
    </row>
    <row r="58" spans="2:90" s="13" customFormat="1" ht="15" customHeight="1">
      <c r="B58" s="74" t="s">
        <v>71</v>
      </c>
      <c r="C58" s="75"/>
      <c r="D58" s="75"/>
      <c r="E58" s="75"/>
      <c r="F58" s="75"/>
      <c r="G58" s="75"/>
      <c r="H58" s="75"/>
      <c r="I58" s="75"/>
      <c r="J58" s="75" t="s">
        <v>38</v>
      </c>
      <c r="K58" s="75"/>
      <c r="L58" s="75"/>
      <c r="M58" s="75"/>
      <c r="N58" s="75"/>
      <c r="O58" s="75"/>
      <c r="P58" s="75" t="s">
        <v>37</v>
      </c>
      <c r="Q58" s="75"/>
      <c r="R58" s="75"/>
      <c r="S58" s="75"/>
      <c r="T58" s="75"/>
      <c r="U58" s="75"/>
      <c r="V58" s="75"/>
      <c r="W58" s="75"/>
      <c r="X58" s="75"/>
      <c r="Y58" s="75"/>
      <c r="Z58" s="75"/>
      <c r="AA58" s="75"/>
      <c r="AB58" s="75"/>
      <c r="AC58" s="75"/>
      <c r="AD58" s="75"/>
      <c r="AE58" s="75"/>
      <c r="AF58" s="75"/>
      <c r="AG58" s="75"/>
      <c r="AH58" s="75"/>
      <c r="AI58" s="75"/>
      <c r="AJ58" s="75"/>
      <c r="AK58" s="75"/>
      <c r="AL58" s="75" t="s">
        <v>39</v>
      </c>
      <c r="AM58" s="75"/>
      <c r="AN58" s="75"/>
      <c r="AO58" s="75"/>
      <c r="AP58" s="75"/>
      <c r="AQ58" s="75"/>
      <c r="AR58" s="75"/>
      <c r="AS58" s="75"/>
      <c r="AT58" s="75"/>
      <c r="AU58" s="75"/>
      <c r="AV58" s="75" t="s">
        <v>40</v>
      </c>
      <c r="AW58" s="76"/>
      <c r="AX58" s="75"/>
      <c r="AY58" s="75"/>
      <c r="AZ58" s="75"/>
      <c r="BA58" s="75" t="s">
        <v>41</v>
      </c>
      <c r="BB58" s="75"/>
      <c r="BC58" s="75"/>
      <c r="BD58" s="75"/>
      <c r="BE58" s="75"/>
      <c r="BF58" s="75" t="s">
        <v>42</v>
      </c>
      <c r="BG58" s="75"/>
      <c r="BH58" s="77"/>
      <c r="CE58" s="646"/>
      <c r="CF58" s="646"/>
      <c r="CG58" s="646"/>
      <c r="CH58" s="646"/>
      <c r="CI58" s="646"/>
      <c r="CJ58" s="646"/>
      <c r="CK58" s="646"/>
      <c r="CL58" s="646"/>
    </row>
    <row r="59" spans="2:90" s="13" customFormat="1" ht="15" customHeight="1">
      <c r="B59" s="49" t="s">
        <v>118</v>
      </c>
      <c r="C59" s="18"/>
      <c r="D59" s="18"/>
      <c r="E59" s="18"/>
      <c r="F59" s="18"/>
      <c r="G59" s="18"/>
      <c r="H59" s="18"/>
      <c r="I59" s="18"/>
      <c r="J59" s="18"/>
      <c r="K59" s="18"/>
      <c r="L59" s="826" t="s">
        <v>296</v>
      </c>
      <c r="M59" s="18" t="s">
        <v>126</v>
      </c>
      <c r="N59" s="18"/>
      <c r="O59" s="18"/>
      <c r="P59" s="826" t="s">
        <v>124</v>
      </c>
      <c r="Q59" s="18" t="s">
        <v>133</v>
      </c>
      <c r="R59" s="18"/>
      <c r="S59" s="1042"/>
      <c r="T59" s="1042"/>
      <c r="U59" s="18" t="s">
        <v>7</v>
      </c>
      <c r="V59" s="18"/>
      <c r="W59" s="18"/>
      <c r="X59" s="37" t="s">
        <v>8</v>
      </c>
      <c r="Y59" s="37"/>
      <c r="Z59" s="37"/>
      <c r="AA59" s="18"/>
      <c r="AB59" s="18"/>
      <c r="AC59" s="37"/>
      <c r="AD59" s="37"/>
      <c r="AE59" s="37"/>
      <c r="AF59" s="37"/>
      <c r="AG59" s="37"/>
      <c r="AH59" s="18"/>
      <c r="AI59" s="38"/>
      <c r="AJ59" s="38"/>
      <c r="AK59" s="38"/>
      <c r="AL59" s="38"/>
      <c r="AM59" s="38"/>
      <c r="AN59" s="18"/>
      <c r="AO59" s="18"/>
      <c r="AP59" s="18"/>
      <c r="AQ59" s="18"/>
      <c r="AR59" s="18"/>
      <c r="AS59" s="18"/>
      <c r="AT59" s="18"/>
      <c r="AU59" s="18"/>
      <c r="AV59" s="18"/>
      <c r="AW59" s="18"/>
      <c r="AX59" s="18"/>
      <c r="AY59" s="18"/>
      <c r="AZ59" s="18"/>
      <c r="BA59" s="18"/>
      <c r="BB59" s="18"/>
      <c r="BC59" s="18"/>
      <c r="BD59" s="18"/>
      <c r="BE59" s="18"/>
      <c r="BF59" s="18"/>
      <c r="BG59" s="18"/>
      <c r="BH59" s="50"/>
      <c r="CE59" s="646"/>
      <c r="CF59" s="646"/>
      <c r="CG59" s="646"/>
      <c r="CH59" s="646"/>
      <c r="CI59" s="646"/>
      <c r="CJ59" s="646"/>
      <c r="CK59" s="646"/>
      <c r="CL59" s="646"/>
    </row>
    <row r="60" spans="2:90" s="13" customFormat="1" ht="15" customHeight="1">
      <c r="B60" s="51" t="s">
        <v>50</v>
      </c>
      <c r="C60" s="16"/>
      <c r="D60" s="16"/>
      <c r="E60" s="16"/>
      <c r="F60" s="16"/>
      <c r="G60" s="16"/>
      <c r="H60" s="16"/>
      <c r="I60" s="16"/>
      <c r="J60" s="16"/>
      <c r="K60" s="16"/>
      <c r="L60" s="16"/>
      <c r="M60" s="16" t="s">
        <v>38</v>
      </c>
      <c r="N60" s="16"/>
      <c r="O60" s="16"/>
      <c r="P60" s="16"/>
      <c r="Q60" s="16" t="s">
        <v>43</v>
      </c>
      <c r="R60" s="16"/>
      <c r="S60" s="16"/>
      <c r="T60" s="16"/>
      <c r="U60" s="16" t="s">
        <v>44</v>
      </c>
      <c r="V60" s="16"/>
      <c r="W60" s="16"/>
      <c r="X60" s="16"/>
      <c r="Y60" s="39" t="s">
        <v>45</v>
      </c>
      <c r="Z60" s="39"/>
      <c r="AA60" s="16"/>
      <c r="AB60" s="16"/>
      <c r="AC60" s="39"/>
      <c r="AD60" s="39"/>
      <c r="AE60" s="39"/>
      <c r="AF60" s="39"/>
      <c r="AG60" s="39"/>
      <c r="AH60" s="16"/>
      <c r="AI60" s="40"/>
      <c r="AJ60" s="40"/>
      <c r="AK60" s="40"/>
      <c r="AL60" s="40"/>
      <c r="AM60" s="40"/>
      <c r="AN60" s="16"/>
      <c r="AO60" s="16"/>
      <c r="AP60" s="16"/>
      <c r="AQ60" s="16"/>
      <c r="AR60" s="16"/>
      <c r="AS60" s="16"/>
      <c r="AT60" s="16"/>
      <c r="AU60" s="16"/>
      <c r="AV60" s="16"/>
      <c r="AW60" s="16"/>
      <c r="AX60" s="16"/>
      <c r="AY60" s="16"/>
      <c r="AZ60" s="16"/>
      <c r="BA60" s="16"/>
      <c r="BB60" s="16"/>
      <c r="BC60" s="16"/>
      <c r="BD60" s="16"/>
      <c r="BE60" s="16"/>
      <c r="BF60" s="16"/>
      <c r="BG60" s="16"/>
      <c r="BH60" s="52"/>
      <c r="CE60" s="646"/>
      <c r="CF60" s="646"/>
      <c r="CG60" s="646"/>
      <c r="CH60" s="646"/>
      <c r="CI60" s="646"/>
      <c r="CJ60" s="646"/>
      <c r="CK60" s="646"/>
      <c r="CL60" s="646"/>
    </row>
    <row r="61" spans="2:90" s="13" customFormat="1" ht="15" customHeight="1">
      <c r="B61" s="1013" t="s">
        <v>159</v>
      </c>
      <c r="C61" s="1014"/>
      <c r="D61" s="1014"/>
      <c r="E61" s="1014"/>
      <c r="F61" s="1014"/>
      <c r="G61" s="1014"/>
      <c r="H61" s="1014"/>
      <c r="I61" s="1014"/>
      <c r="J61" s="1014"/>
      <c r="K61" s="1014"/>
      <c r="L61" s="1014"/>
      <c r="M61" s="1014"/>
      <c r="N61" s="1014"/>
      <c r="O61" s="1014"/>
      <c r="P61" s="1014"/>
      <c r="Q61" s="1015"/>
      <c r="R61" s="1017" t="s">
        <v>157</v>
      </c>
      <c r="S61" s="1014"/>
      <c r="T61" s="1014"/>
      <c r="U61" s="1014"/>
      <c r="V61" s="1014"/>
      <c r="W61" s="1014"/>
      <c r="X61" s="1014"/>
      <c r="Y61" s="1014"/>
      <c r="Z61" s="1014"/>
      <c r="AA61" s="1014"/>
      <c r="AB61" s="1014"/>
      <c r="AC61" s="1014"/>
      <c r="AD61" s="1014"/>
      <c r="AE61" s="1014"/>
      <c r="AF61" s="1015"/>
      <c r="AG61" s="1017" t="s">
        <v>153</v>
      </c>
      <c r="AH61" s="1014"/>
      <c r="AI61" s="1014"/>
      <c r="AJ61" s="1014"/>
      <c r="AK61" s="1014"/>
      <c r="AL61" s="1014"/>
      <c r="AM61" s="1014"/>
      <c r="AN61" s="1014"/>
      <c r="AO61" s="1014"/>
      <c r="AP61" s="1014"/>
      <c r="AQ61" s="1014"/>
      <c r="AR61" s="1014"/>
      <c r="AS61" s="1014"/>
      <c r="AT61" s="1014"/>
      <c r="AU61" s="1015"/>
      <c r="AV61" s="1017" t="s">
        <v>155</v>
      </c>
      <c r="AW61" s="1014"/>
      <c r="AX61" s="1014"/>
      <c r="AY61" s="1014"/>
      <c r="AZ61" s="1014"/>
      <c r="BA61" s="1014"/>
      <c r="BB61" s="1014"/>
      <c r="BC61" s="1014"/>
      <c r="BD61" s="1014"/>
      <c r="BE61" s="1014"/>
      <c r="BF61" s="1014"/>
      <c r="BG61" s="1014"/>
      <c r="BH61" s="1037"/>
      <c r="CE61" s="646"/>
      <c r="CF61" s="646"/>
      <c r="CG61" s="646"/>
      <c r="CH61" s="646"/>
      <c r="CI61" s="646"/>
      <c r="CJ61" s="646"/>
      <c r="CK61" s="646"/>
      <c r="CL61" s="646"/>
    </row>
    <row r="62" spans="2:90" s="13" customFormat="1" ht="15" customHeight="1">
      <c r="B62" s="1025" t="s">
        <v>56</v>
      </c>
      <c r="C62" s="1019"/>
      <c r="D62" s="1019"/>
      <c r="E62" s="1019"/>
      <c r="F62" s="1019"/>
      <c r="G62" s="1019"/>
      <c r="H62" s="1019"/>
      <c r="I62" s="1019"/>
      <c r="J62" s="1019"/>
      <c r="K62" s="1019"/>
      <c r="L62" s="1019"/>
      <c r="M62" s="1019"/>
      <c r="N62" s="1019"/>
      <c r="O62" s="1019"/>
      <c r="P62" s="1019"/>
      <c r="Q62" s="1020"/>
      <c r="R62" s="1018" t="s">
        <v>158</v>
      </c>
      <c r="S62" s="1019"/>
      <c r="T62" s="1019"/>
      <c r="U62" s="1019"/>
      <c r="V62" s="1019"/>
      <c r="W62" s="1019"/>
      <c r="X62" s="1019"/>
      <c r="Y62" s="1019"/>
      <c r="Z62" s="1019"/>
      <c r="AA62" s="1019"/>
      <c r="AB62" s="1019"/>
      <c r="AC62" s="1019"/>
      <c r="AD62" s="1019"/>
      <c r="AE62" s="1019"/>
      <c r="AF62" s="1020"/>
      <c r="AG62" s="1018" t="s">
        <v>154</v>
      </c>
      <c r="AH62" s="1019"/>
      <c r="AI62" s="1019"/>
      <c r="AJ62" s="1019"/>
      <c r="AK62" s="1019"/>
      <c r="AL62" s="1019"/>
      <c r="AM62" s="1019"/>
      <c r="AN62" s="1019"/>
      <c r="AO62" s="1019"/>
      <c r="AP62" s="1019"/>
      <c r="AQ62" s="1019"/>
      <c r="AR62" s="1019"/>
      <c r="AS62" s="1019"/>
      <c r="AT62" s="1019"/>
      <c r="AU62" s="1020"/>
      <c r="AV62" s="1018" t="s">
        <v>156</v>
      </c>
      <c r="AW62" s="1019"/>
      <c r="AX62" s="1019"/>
      <c r="AY62" s="1019"/>
      <c r="AZ62" s="1019"/>
      <c r="BA62" s="1019"/>
      <c r="BB62" s="1019"/>
      <c r="BC62" s="1019"/>
      <c r="BD62" s="1019"/>
      <c r="BE62" s="1019"/>
      <c r="BF62" s="1019"/>
      <c r="BG62" s="1019"/>
      <c r="BH62" s="1039"/>
      <c r="CE62" s="646"/>
      <c r="CF62" s="646"/>
      <c r="CG62" s="646"/>
      <c r="CH62" s="646"/>
      <c r="CI62" s="646"/>
      <c r="CJ62" s="646"/>
      <c r="CK62" s="646"/>
      <c r="CL62" s="646"/>
    </row>
    <row r="63" spans="2:90" s="13" customFormat="1" ht="15" customHeight="1">
      <c r="B63" s="22"/>
      <c r="C63" s="18"/>
      <c r="D63" s="1026"/>
      <c r="E63" s="1026"/>
      <c r="F63" s="1026"/>
      <c r="G63" s="1026"/>
      <c r="H63" s="15" t="s">
        <v>4</v>
      </c>
      <c r="I63" s="15"/>
      <c r="J63" s="1026"/>
      <c r="K63" s="1026"/>
      <c r="L63" s="15" t="s">
        <v>9</v>
      </c>
      <c r="M63" s="15"/>
      <c r="N63" s="1027"/>
      <c r="O63" s="1027"/>
      <c r="P63" s="15" t="s">
        <v>6</v>
      </c>
      <c r="Q63" s="15"/>
      <c r="R63" s="42"/>
      <c r="S63" s="1027"/>
      <c r="T63" s="1027"/>
      <c r="U63" s="1027"/>
      <c r="V63" s="1027"/>
      <c r="W63" s="15" t="s">
        <v>4</v>
      </c>
      <c r="X63" s="824"/>
      <c r="Y63" s="1026"/>
      <c r="Z63" s="1026"/>
      <c r="AA63" s="15" t="s">
        <v>9</v>
      </c>
      <c r="AB63" s="15"/>
      <c r="AC63" s="1026"/>
      <c r="AD63" s="1026"/>
      <c r="AE63" s="15" t="s">
        <v>6</v>
      </c>
      <c r="AF63" s="35"/>
      <c r="AG63" s="1041"/>
      <c r="AH63" s="1042"/>
      <c r="AI63" s="1042"/>
      <c r="AJ63" s="1042"/>
      <c r="AK63" s="1042"/>
      <c r="AL63" s="1042"/>
      <c r="AM63" s="1042"/>
      <c r="AN63" s="1042"/>
      <c r="AO63" s="1042"/>
      <c r="AP63" s="1042"/>
      <c r="AQ63" s="1042"/>
      <c r="AR63" s="1042"/>
      <c r="AS63" s="1042"/>
      <c r="AT63" s="1042"/>
      <c r="AU63" s="1043"/>
      <c r="AV63" s="1041"/>
      <c r="AW63" s="1042"/>
      <c r="AX63" s="1042"/>
      <c r="AY63" s="1042"/>
      <c r="AZ63" s="1042"/>
      <c r="BA63" s="1042"/>
      <c r="BB63" s="1042"/>
      <c r="BC63" s="1042"/>
      <c r="BD63" s="1042"/>
      <c r="BE63" s="1042"/>
      <c r="BF63" s="1042"/>
      <c r="BG63" s="1042"/>
      <c r="BH63" s="1049"/>
      <c r="CE63" s="646"/>
      <c r="CF63" s="646"/>
      <c r="CG63" s="646"/>
      <c r="CH63" s="646"/>
      <c r="CI63" s="646"/>
      <c r="CJ63" s="646"/>
      <c r="CK63" s="646"/>
      <c r="CL63" s="646"/>
    </row>
    <row r="64" spans="2:90" s="13" customFormat="1" ht="15" customHeight="1">
      <c r="B64" s="51"/>
      <c r="C64" s="16"/>
      <c r="D64" s="16"/>
      <c r="E64" s="16"/>
      <c r="F64" s="73"/>
      <c r="G64" s="73"/>
      <c r="H64" s="47" t="s">
        <v>40</v>
      </c>
      <c r="I64" s="47"/>
      <c r="J64" s="47"/>
      <c r="K64" s="47"/>
      <c r="L64" s="47" t="s">
        <v>41</v>
      </c>
      <c r="M64" s="47"/>
      <c r="N64" s="47"/>
      <c r="O64" s="47"/>
      <c r="P64" s="47" t="s">
        <v>42</v>
      </c>
      <c r="Q64" s="16"/>
      <c r="R64" s="44"/>
      <c r="S64" s="16"/>
      <c r="T64" s="16"/>
      <c r="U64" s="16"/>
      <c r="V64" s="16"/>
      <c r="W64" s="47" t="s">
        <v>40</v>
      </c>
      <c r="X64" s="47"/>
      <c r="Y64" s="47"/>
      <c r="Z64" s="47"/>
      <c r="AA64" s="47" t="s">
        <v>41</v>
      </c>
      <c r="AB64" s="47"/>
      <c r="AC64" s="47"/>
      <c r="AD64" s="47"/>
      <c r="AE64" s="47" t="s">
        <v>42</v>
      </c>
      <c r="AF64" s="16"/>
      <c r="AG64" s="1154"/>
      <c r="AH64" s="1155"/>
      <c r="AI64" s="1155"/>
      <c r="AJ64" s="1155"/>
      <c r="AK64" s="1155"/>
      <c r="AL64" s="1155"/>
      <c r="AM64" s="1155"/>
      <c r="AN64" s="1155"/>
      <c r="AO64" s="1155"/>
      <c r="AP64" s="1155"/>
      <c r="AQ64" s="1155"/>
      <c r="AR64" s="1155"/>
      <c r="AS64" s="1155"/>
      <c r="AT64" s="1155"/>
      <c r="AU64" s="1161"/>
      <c r="AV64" s="1154"/>
      <c r="AW64" s="1155"/>
      <c r="AX64" s="1155"/>
      <c r="AY64" s="1155"/>
      <c r="AZ64" s="1155"/>
      <c r="BA64" s="1155"/>
      <c r="BB64" s="1155"/>
      <c r="BC64" s="1155"/>
      <c r="BD64" s="1155"/>
      <c r="BE64" s="1155"/>
      <c r="BF64" s="1155"/>
      <c r="BG64" s="1155"/>
      <c r="BH64" s="1156"/>
      <c r="CE64" s="646"/>
      <c r="CF64" s="646"/>
      <c r="CG64" s="646"/>
      <c r="CH64" s="646"/>
      <c r="CI64" s="646"/>
      <c r="CJ64" s="646"/>
      <c r="CK64" s="646"/>
      <c r="CL64" s="646"/>
    </row>
    <row r="65" spans="2:90" s="4" customFormat="1" ht="15" customHeight="1">
      <c r="B65" s="22"/>
      <c r="C65" s="15"/>
      <c r="D65" s="1026"/>
      <c r="E65" s="1026"/>
      <c r="F65" s="1026"/>
      <c r="G65" s="1026"/>
      <c r="H65" s="15" t="s">
        <v>4</v>
      </c>
      <c r="I65" s="15"/>
      <c r="J65" s="1026"/>
      <c r="K65" s="1026"/>
      <c r="L65" s="15" t="s">
        <v>9</v>
      </c>
      <c r="M65" s="15"/>
      <c r="N65" s="1027"/>
      <c r="O65" s="1027"/>
      <c r="P65" s="15" t="s">
        <v>6</v>
      </c>
      <c r="Q65" s="15"/>
      <c r="R65" s="42"/>
      <c r="S65" s="1027"/>
      <c r="T65" s="1027"/>
      <c r="U65" s="1027"/>
      <c r="V65" s="1027"/>
      <c r="W65" s="15" t="s">
        <v>4</v>
      </c>
      <c r="X65" s="11"/>
      <c r="Y65" s="1026"/>
      <c r="Z65" s="1026"/>
      <c r="AA65" s="15" t="s">
        <v>9</v>
      </c>
      <c r="AB65" s="15"/>
      <c r="AC65" s="1026"/>
      <c r="AD65" s="1026"/>
      <c r="AE65" s="15" t="s">
        <v>6</v>
      </c>
      <c r="AF65" s="35"/>
      <c r="AG65" s="1041"/>
      <c r="AH65" s="1042"/>
      <c r="AI65" s="1042"/>
      <c r="AJ65" s="1042"/>
      <c r="AK65" s="1042"/>
      <c r="AL65" s="1042"/>
      <c r="AM65" s="1042"/>
      <c r="AN65" s="1042"/>
      <c r="AO65" s="1042"/>
      <c r="AP65" s="1042"/>
      <c r="AQ65" s="1042"/>
      <c r="AR65" s="1042"/>
      <c r="AS65" s="1042"/>
      <c r="AT65" s="1042"/>
      <c r="AU65" s="1043"/>
      <c r="AV65" s="1041"/>
      <c r="AW65" s="1042"/>
      <c r="AX65" s="1042"/>
      <c r="AY65" s="1042"/>
      <c r="AZ65" s="1042"/>
      <c r="BA65" s="1042"/>
      <c r="BB65" s="1042"/>
      <c r="BC65" s="1042"/>
      <c r="BD65" s="1042"/>
      <c r="BE65" s="1042"/>
      <c r="BF65" s="1042"/>
      <c r="BG65" s="1042"/>
      <c r="BH65" s="1049"/>
      <c r="CE65" s="64"/>
      <c r="CF65" s="64"/>
      <c r="CG65" s="64"/>
      <c r="CH65" s="64"/>
      <c r="CI65" s="64"/>
      <c r="CJ65" s="64"/>
      <c r="CK65" s="64"/>
      <c r="CL65" s="64"/>
    </row>
    <row r="66" spans="2:90" s="12" customFormat="1" ht="15" customHeight="1" thickBot="1">
      <c r="B66" s="51"/>
      <c r="C66" s="16"/>
      <c r="D66" s="16"/>
      <c r="E66" s="16"/>
      <c r="F66" s="73"/>
      <c r="G66" s="73"/>
      <c r="H66" s="47" t="s">
        <v>40</v>
      </c>
      <c r="I66" s="47"/>
      <c r="J66" s="47"/>
      <c r="K66" s="47"/>
      <c r="L66" s="47" t="s">
        <v>41</v>
      </c>
      <c r="M66" s="47"/>
      <c r="N66" s="47"/>
      <c r="O66" s="47"/>
      <c r="P66" s="47" t="s">
        <v>42</v>
      </c>
      <c r="Q66" s="16"/>
      <c r="R66" s="44"/>
      <c r="S66" s="16"/>
      <c r="T66" s="16"/>
      <c r="U66" s="16"/>
      <c r="V66" s="16"/>
      <c r="W66" s="47" t="s">
        <v>40</v>
      </c>
      <c r="X66" s="47"/>
      <c r="Y66" s="47"/>
      <c r="Z66" s="47"/>
      <c r="AA66" s="47" t="s">
        <v>41</v>
      </c>
      <c r="AB66" s="47"/>
      <c r="AC66" s="47"/>
      <c r="AD66" s="47"/>
      <c r="AE66" s="47" t="s">
        <v>42</v>
      </c>
      <c r="AF66" s="16"/>
      <c r="AG66" s="1044"/>
      <c r="AH66" s="1045"/>
      <c r="AI66" s="1045"/>
      <c r="AJ66" s="1045"/>
      <c r="AK66" s="1045"/>
      <c r="AL66" s="1045"/>
      <c r="AM66" s="1045"/>
      <c r="AN66" s="1045"/>
      <c r="AO66" s="1045"/>
      <c r="AP66" s="1045"/>
      <c r="AQ66" s="1045"/>
      <c r="AR66" s="1045"/>
      <c r="AS66" s="1045"/>
      <c r="AT66" s="1045"/>
      <c r="AU66" s="1046"/>
      <c r="AV66" s="1044"/>
      <c r="AW66" s="1045"/>
      <c r="AX66" s="1045"/>
      <c r="AY66" s="1045"/>
      <c r="AZ66" s="1045"/>
      <c r="BA66" s="1045"/>
      <c r="BB66" s="1045"/>
      <c r="BC66" s="1045"/>
      <c r="BD66" s="1045"/>
      <c r="BE66" s="1045"/>
      <c r="BF66" s="1045"/>
      <c r="BG66" s="1045"/>
      <c r="BH66" s="1050"/>
      <c r="CE66" s="64"/>
      <c r="CF66" s="64"/>
      <c r="CG66" s="64"/>
      <c r="CH66" s="64"/>
      <c r="CI66" s="64"/>
      <c r="CJ66" s="64"/>
      <c r="CK66" s="64"/>
      <c r="CL66" s="64"/>
    </row>
    <row r="67" spans="2:90" s="12" customFormat="1" ht="15" customHeight="1" thickBot="1">
      <c r="B67" s="24" t="s">
        <v>51</v>
      </c>
      <c r="C67" s="32"/>
      <c r="D67" s="27"/>
      <c r="E67" s="27"/>
      <c r="F67" s="27"/>
      <c r="G67" s="27"/>
      <c r="H67" s="27"/>
      <c r="I67" s="27"/>
      <c r="J67" s="27"/>
      <c r="K67" s="27"/>
      <c r="L67" s="27"/>
      <c r="M67" s="27"/>
      <c r="N67" s="27"/>
      <c r="O67" s="27"/>
      <c r="P67" s="27"/>
      <c r="Q67" s="27"/>
      <c r="R67" s="27"/>
      <c r="S67" s="27"/>
      <c r="T67" s="27"/>
      <c r="U67" s="27"/>
      <c r="V67" s="27"/>
      <c r="W67" s="27"/>
      <c r="X67" s="27"/>
      <c r="Y67" s="33"/>
      <c r="Z67" s="33"/>
      <c r="AA67" s="27"/>
      <c r="AB67" s="27"/>
      <c r="AC67" s="33"/>
      <c r="AD67" s="33"/>
      <c r="AE67" s="33"/>
      <c r="AF67" s="33"/>
      <c r="AG67" s="33"/>
      <c r="AH67" s="27"/>
      <c r="AI67" s="28"/>
      <c r="AJ67" s="28"/>
      <c r="AK67" s="28"/>
      <c r="AL67" s="28"/>
      <c r="AM67" s="28"/>
      <c r="AN67" s="29"/>
      <c r="AO67" s="29"/>
      <c r="AP67" s="29"/>
      <c r="AQ67" s="29"/>
      <c r="AR67" s="32"/>
      <c r="AS67" s="30"/>
      <c r="AT67" s="30"/>
      <c r="AU67" s="30"/>
      <c r="AV67" s="30"/>
      <c r="AW67" s="30"/>
      <c r="AX67" s="30"/>
      <c r="AY67" s="30"/>
      <c r="AZ67" s="30"/>
      <c r="BA67" s="30"/>
      <c r="BB67" s="30"/>
      <c r="BC67" s="30"/>
      <c r="BD67" s="30"/>
      <c r="BE67" s="30"/>
      <c r="BF67" s="30"/>
      <c r="BG67" s="30"/>
      <c r="BH67" s="31"/>
      <c r="CE67" s="64"/>
      <c r="CF67" s="64"/>
      <c r="CG67" s="64"/>
      <c r="CH67" s="64"/>
      <c r="CI67" s="64"/>
      <c r="CJ67" s="64"/>
      <c r="CK67" s="64"/>
      <c r="CL67" s="64"/>
    </row>
    <row r="68" spans="2:90" s="12" customFormat="1" ht="15" customHeight="1">
      <c r="B68" s="107" t="s">
        <v>119</v>
      </c>
      <c r="C68" s="19"/>
      <c r="D68" s="19"/>
      <c r="E68" s="19"/>
      <c r="F68" s="19"/>
      <c r="G68" s="19"/>
      <c r="H68" s="19"/>
      <c r="I68" s="19"/>
      <c r="J68" s="19"/>
      <c r="K68" s="19"/>
      <c r="L68" s="19"/>
      <c r="M68" s="19"/>
      <c r="N68" s="19"/>
      <c r="O68" s="19"/>
      <c r="P68" s="19"/>
      <c r="Q68" s="19"/>
      <c r="R68" s="19"/>
      <c r="S68" s="19"/>
      <c r="T68" s="19"/>
      <c r="U68" s="19"/>
      <c r="V68" s="823" t="s">
        <v>296</v>
      </c>
      <c r="W68" s="19" t="s">
        <v>126</v>
      </c>
      <c r="X68" s="19"/>
      <c r="Y68" s="92"/>
      <c r="Z68" s="92"/>
      <c r="AA68" s="19"/>
      <c r="AB68" s="823" t="s">
        <v>124</v>
      </c>
      <c r="AC68" s="19" t="s">
        <v>130</v>
      </c>
      <c r="AD68" s="19"/>
      <c r="AE68" s="19"/>
      <c r="AF68" s="19"/>
      <c r="AG68" s="1040"/>
      <c r="AH68" s="1040"/>
      <c r="AI68" s="1040"/>
      <c r="AJ68" s="1040"/>
      <c r="AK68" s="1040"/>
      <c r="AL68" s="1040"/>
      <c r="AM68" s="1040"/>
      <c r="AN68" s="1040"/>
      <c r="AO68" s="1040"/>
      <c r="AP68" s="1040"/>
      <c r="AQ68" s="1040"/>
      <c r="AR68" s="1040"/>
      <c r="AS68" s="1040"/>
      <c r="AT68" s="1040"/>
      <c r="AU68" s="1040"/>
      <c r="AV68" s="1040"/>
      <c r="AW68" s="1040"/>
      <c r="AX68" s="1040"/>
      <c r="AY68" s="1040"/>
      <c r="AZ68" s="1040"/>
      <c r="BA68" s="1040"/>
      <c r="BB68" s="1040"/>
      <c r="BC68" s="1040"/>
      <c r="BD68" s="1040"/>
      <c r="BE68" s="1040"/>
      <c r="BF68" s="19" t="s">
        <v>219</v>
      </c>
      <c r="BG68" s="19"/>
      <c r="BH68" s="93"/>
      <c r="CE68" s="64"/>
      <c r="CF68" s="64"/>
      <c r="CG68" s="64"/>
      <c r="CH68" s="64"/>
      <c r="CI68" s="64"/>
      <c r="CJ68" s="64"/>
      <c r="CK68" s="64"/>
      <c r="CL68" s="64"/>
    </row>
    <row r="69" spans="2:90" s="12" customFormat="1" ht="11.25">
      <c r="B69" s="51" t="s">
        <v>59</v>
      </c>
      <c r="C69" s="16"/>
      <c r="D69" s="16"/>
      <c r="E69" s="16"/>
      <c r="F69" s="16"/>
      <c r="G69" s="16"/>
      <c r="H69" s="16"/>
      <c r="I69" s="16"/>
      <c r="J69" s="16"/>
      <c r="K69" s="16"/>
      <c r="L69" s="16"/>
      <c r="M69" s="16"/>
      <c r="N69" s="16"/>
      <c r="O69" s="16"/>
      <c r="P69" s="16"/>
      <c r="Q69" s="16"/>
      <c r="R69" s="16"/>
      <c r="S69" s="16"/>
      <c r="T69" s="16"/>
      <c r="U69" s="16"/>
      <c r="V69" s="16"/>
      <c r="W69" s="16" t="s">
        <v>52</v>
      </c>
      <c r="X69" s="16"/>
      <c r="Y69" s="39"/>
      <c r="Z69" s="39"/>
      <c r="AA69" s="16"/>
      <c r="AB69" s="16"/>
      <c r="AC69" s="39" t="s">
        <v>53</v>
      </c>
      <c r="AD69" s="39"/>
      <c r="AE69" s="39"/>
      <c r="AF69" s="39"/>
      <c r="AG69" s="39"/>
      <c r="AH69" s="16"/>
      <c r="AI69" s="40"/>
      <c r="AJ69" s="40"/>
      <c r="AK69" s="40"/>
      <c r="AL69" s="40"/>
      <c r="AM69" s="40"/>
      <c r="AN69" s="16"/>
      <c r="AO69" s="16"/>
      <c r="AP69" s="16"/>
      <c r="AQ69" s="16"/>
      <c r="AR69" s="16"/>
      <c r="AS69" s="16"/>
      <c r="AT69" s="16"/>
      <c r="AU69" s="16"/>
      <c r="AV69" s="16"/>
      <c r="AW69" s="16"/>
      <c r="AX69" s="16"/>
      <c r="AY69" s="16"/>
      <c r="AZ69" s="16"/>
      <c r="BA69" s="16"/>
      <c r="BB69" s="16"/>
      <c r="BC69" s="16"/>
      <c r="BD69" s="16"/>
      <c r="BE69" s="16"/>
      <c r="BF69" s="16"/>
      <c r="BG69" s="16"/>
      <c r="BH69" s="52"/>
      <c r="CE69" s="64"/>
      <c r="CF69" s="64"/>
      <c r="CG69" s="64"/>
      <c r="CH69" s="64"/>
      <c r="CI69" s="64"/>
      <c r="CJ69" s="64"/>
      <c r="CK69" s="64"/>
      <c r="CL69" s="64"/>
    </row>
    <row r="70" spans="2:90" s="12" customFormat="1" ht="15" customHeight="1">
      <c r="B70" s="22" t="s">
        <v>120</v>
      </c>
      <c r="C70" s="15"/>
      <c r="D70" s="15"/>
      <c r="E70" s="15"/>
      <c r="F70" s="15"/>
      <c r="G70" s="15"/>
      <c r="H70" s="1026"/>
      <c r="I70" s="1026"/>
      <c r="J70" s="1026"/>
      <c r="K70" s="1026"/>
      <c r="L70" s="15" t="s">
        <v>4</v>
      </c>
      <c r="M70" s="15"/>
      <c r="N70" s="1026"/>
      <c r="O70" s="1026"/>
      <c r="P70" s="15" t="s">
        <v>5</v>
      </c>
      <c r="Q70" s="15"/>
      <c r="R70" s="15"/>
      <c r="S70" s="15" t="s">
        <v>225</v>
      </c>
      <c r="T70" s="15"/>
      <c r="U70" s="1026"/>
      <c r="V70" s="1026"/>
      <c r="W70" s="1026"/>
      <c r="X70" s="1026"/>
      <c r="Y70" s="15" t="s">
        <v>4</v>
      </c>
      <c r="Z70" s="35"/>
      <c r="AA70" s="1026"/>
      <c r="AB70" s="1026"/>
      <c r="AC70" s="35" t="s">
        <v>5</v>
      </c>
      <c r="AD70" s="35"/>
      <c r="AE70" s="15"/>
      <c r="AF70" s="15"/>
      <c r="AG70" s="15"/>
      <c r="AH70" s="35" t="s">
        <v>27</v>
      </c>
      <c r="AI70" s="823" t="s">
        <v>124</v>
      </c>
      <c r="AJ70" s="15" t="s">
        <v>131</v>
      </c>
      <c r="AK70" s="15"/>
      <c r="AL70" s="15"/>
      <c r="AM70" s="15"/>
      <c r="AN70" s="15"/>
      <c r="AO70" s="15"/>
      <c r="AP70" s="823" t="s">
        <v>296</v>
      </c>
      <c r="AQ70" s="15" t="s">
        <v>900</v>
      </c>
      <c r="AR70" s="15"/>
      <c r="AS70" s="15"/>
      <c r="AT70" s="15"/>
      <c r="AU70" s="15"/>
      <c r="AV70" s="15"/>
      <c r="AW70" s="823" t="s">
        <v>124</v>
      </c>
      <c r="AX70" s="15" t="s">
        <v>903</v>
      </c>
      <c r="AY70" s="15"/>
      <c r="AZ70" s="15"/>
      <c r="BA70" s="15"/>
      <c r="BB70" s="15" t="s">
        <v>904</v>
      </c>
      <c r="BC70" s="15"/>
      <c r="BD70" s="15"/>
      <c r="BE70" s="15"/>
      <c r="BF70" s="15"/>
      <c r="BG70" s="15"/>
      <c r="BH70" s="34"/>
      <c r="CE70" s="64"/>
      <c r="CF70" s="64"/>
      <c r="CG70" s="64"/>
      <c r="CH70" s="64"/>
      <c r="CI70" s="64"/>
      <c r="CJ70" s="64"/>
      <c r="CK70" s="64"/>
      <c r="CL70" s="64"/>
    </row>
    <row r="71" spans="2:90" s="12" customFormat="1" ht="11.25">
      <c r="B71" s="51" t="s">
        <v>58</v>
      </c>
      <c r="C71" s="16"/>
      <c r="D71" s="16"/>
      <c r="E71" s="16"/>
      <c r="F71" s="16"/>
      <c r="G71" s="16"/>
      <c r="H71" s="16"/>
      <c r="I71" s="16"/>
      <c r="J71" s="16"/>
      <c r="K71" s="16"/>
      <c r="L71" s="47" t="s">
        <v>40</v>
      </c>
      <c r="M71" s="16"/>
      <c r="N71" s="16"/>
      <c r="O71" s="16"/>
      <c r="P71" s="47" t="s">
        <v>41</v>
      </c>
      <c r="Q71" s="16"/>
      <c r="R71" s="16"/>
      <c r="S71" s="16"/>
      <c r="T71" s="47"/>
      <c r="U71" s="16"/>
      <c r="V71" s="16"/>
      <c r="W71" s="16"/>
      <c r="X71" s="47"/>
      <c r="Y71" s="47" t="s">
        <v>30</v>
      </c>
      <c r="Z71" s="16"/>
      <c r="AA71" s="16"/>
      <c r="AB71" s="16"/>
      <c r="AC71" s="47" t="s">
        <v>31</v>
      </c>
      <c r="AD71" s="16"/>
      <c r="AE71" s="16"/>
      <c r="AF71" s="16"/>
      <c r="AG71" s="16"/>
      <c r="AH71" s="16"/>
      <c r="AI71" s="16" t="s">
        <v>224</v>
      </c>
      <c r="AJ71" s="16"/>
      <c r="AK71" s="16"/>
      <c r="AL71" s="16"/>
      <c r="AM71" s="16"/>
      <c r="AN71" s="16"/>
      <c r="AO71" s="16"/>
      <c r="AP71" s="16"/>
      <c r="AQ71" s="16" t="s">
        <v>901</v>
      </c>
      <c r="AR71" s="16"/>
      <c r="AS71" s="16"/>
      <c r="AT71" s="16"/>
      <c r="AU71" s="16"/>
      <c r="AV71" s="16"/>
      <c r="AW71" s="16"/>
      <c r="AX71" s="16" t="s">
        <v>902</v>
      </c>
      <c r="AY71" s="16"/>
      <c r="AZ71" s="16"/>
      <c r="BA71" s="16"/>
      <c r="BB71" s="16"/>
      <c r="BC71" s="16"/>
      <c r="BD71" s="16"/>
      <c r="BE71" s="16"/>
      <c r="BF71" s="16"/>
      <c r="BG71" s="16"/>
      <c r="BH71" s="52"/>
      <c r="CE71" s="64"/>
      <c r="CF71" s="64"/>
      <c r="CG71" s="64"/>
      <c r="CH71" s="64"/>
      <c r="CI71" s="64"/>
      <c r="CJ71" s="64"/>
      <c r="CK71" s="64"/>
      <c r="CL71" s="64"/>
    </row>
    <row r="72" spans="2:90" s="12" customFormat="1" ht="15" customHeight="1">
      <c r="B72" s="22" t="s">
        <v>121</v>
      </c>
      <c r="C72" s="15"/>
      <c r="D72" s="15"/>
      <c r="E72" s="15"/>
      <c r="F72" s="15"/>
      <c r="G72" s="15"/>
      <c r="H72" s="15"/>
      <c r="I72" s="15"/>
      <c r="J72" s="15"/>
      <c r="K72" s="15"/>
      <c r="L72" s="15"/>
      <c r="M72" s="15"/>
      <c r="N72" s="15"/>
      <c r="O72" s="15"/>
      <c r="P72" s="15"/>
      <c r="Q72" s="15"/>
      <c r="R72" s="15"/>
      <c r="S72" s="15"/>
      <c r="T72" s="15"/>
      <c r="U72" s="15"/>
      <c r="V72" s="15"/>
      <c r="W72" s="15"/>
      <c r="X72" s="15"/>
      <c r="Y72" s="1047"/>
      <c r="Z72" s="1047"/>
      <c r="AA72" s="15"/>
      <c r="AB72" s="15"/>
      <c r="AC72" s="15"/>
      <c r="AD72" s="35"/>
      <c r="AE72" s="35"/>
      <c r="AF72" s="15"/>
      <c r="AG72" s="15"/>
      <c r="AH72" s="15"/>
      <c r="AI72" s="36"/>
      <c r="AJ72" s="36"/>
      <c r="AK72" s="36"/>
      <c r="AL72" s="36"/>
      <c r="AM72" s="36"/>
      <c r="AN72" s="15"/>
      <c r="AO72" s="15"/>
      <c r="AP72" s="15"/>
      <c r="AQ72" s="15"/>
      <c r="AR72" s="15"/>
      <c r="AS72" s="15"/>
      <c r="AT72" s="15"/>
      <c r="AU72" s="15"/>
      <c r="AV72" s="15"/>
      <c r="AW72" s="15"/>
      <c r="AX72" s="15"/>
      <c r="AY72" s="15"/>
      <c r="AZ72" s="15"/>
      <c r="BA72" s="15"/>
      <c r="BB72" s="15"/>
      <c r="BC72" s="15"/>
      <c r="BD72" s="15"/>
      <c r="BE72" s="15"/>
      <c r="BF72" s="15"/>
      <c r="BG72" s="15"/>
      <c r="BH72" s="34"/>
      <c r="CE72" s="64"/>
      <c r="CF72" s="64"/>
      <c r="CG72" s="64"/>
      <c r="CH72" s="64"/>
      <c r="CI72" s="64"/>
      <c r="CJ72" s="64"/>
      <c r="CK72" s="64"/>
      <c r="CL72" s="64"/>
    </row>
    <row r="73" spans="2:90" s="12" customFormat="1" ht="12" thickBot="1">
      <c r="B73" s="22" t="s">
        <v>60</v>
      </c>
      <c r="C73" s="15"/>
      <c r="D73" s="15"/>
      <c r="E73" s="15"/>
      <c r="F73" s="15"/>
      <c r="G73" s="15"/>
      <c r="H73" s="15"/>
      <c r="I73" s="15"/>
      <c r="J73" s="15"/>
      <c r="K73" s="15"/>
      <c r="L73" s="15"/>
      <c r="M73" s="15"/>
      <c r="N73" s="15"/>
      <c r="O73" s="15"/>
      <c r="P73" s="15"/>
      <c r="Q73" s="15"/>
      <c r="R73" s="15"/>
      <c r="S73" s="15"/>
      <c r="T73" s="15"/>
      <c r="U73" s="15"/>
      <c r="V73" s="15"/>
      <c r="W73" s="15"/>
      <c r="X73" s="15"/>
      <c r="Y73" s="35"/>
      <c r="Z73" s="35"/>
      <c r="AA73" s="15"/>
      <c r="AB73" s="15"/>
      <c r="AC73" s="35"/>
      <c r="AD73" s="35"/>
      <c r="AE73" s="35"/>
      <c r="AF73" s="35"/>
      <c r="AG73" s="35"/>
      <c r="AH73" s="15"/>
      <c r="AI73" s="36"/>
      <c r="AJ73" s="36"/>
      <c r="AK73" s="36"/>
      <c r="AL73" s="36"/>
      <c r="AM73" s="36"/>
      <c r="AN73" s="15"/>
      <c r="AO73" s="15"/>
      <c r="AP73" s="15"/>
      <c r="AQ73" s="15"/>
      <c r="AR73" s="15"/>
      <c r="AS73" s="15"/>
      <c r="AT73" s="15"/>
      <c r="AU73" s="15"/>
      <c r="AV73" s="15"/>
      <c r="AW73" s="15"/>
      <c r="AX73" s="15"/>
      <c r="AY73" s="15"/>
      <c r="AZ73" s="15"/>
      <c r="BA73" s="15"/>
      <c r="BB73" s="15"/>
      <c r="BC73" s="15"/>
      <c r="BD73" s="15"/>
      <c r="BE73" s="15"/>
      <c r="BF73" s="15"/>
      <c r="BG73" s="15"/>
      <c r="BH73" s="34"/>
      <c r="CE73" s="64"/>
      <c r="CF73" s="64"/>
      <c r="CG73" s="64"/>
      <c r="CH73" s="64"/>
      <c r="CI73" s="64"/>
      <c r="CJ73" s="64"/>
      <c r="CK73" s="64"/>
      <c r="CL73" s="64"/>
    </row>
    <row r="74" spans="2:90" s="12" customFormat="1" ht="15" customHeight="1">
      <c r="B74" s="1065"/>
      <c r="C74" s="1022"/>
      <c r="D74" s="1022"/>
      <c r="E74" s="1022"/>
      <c r="F74" s="1022"/>
      <c r="G74" s="1048"/>
      <c r="H74" s="1021" t="s">
        <v>11</v>
      </c>
      <c r="I74" s="1022"/>
      <c r="J74" s="1022"/>
      <c r="K74" s="1022"/>
      <c r="L74" s="1022"/>
      <c r="M74" s="1022"/>
      <c r="N74" s="1022"/>
      <c r="O74" s="1022"/>
      <c r="P74" s="1022"/>
      <c r="Q74" s="1022"/>
      <c r="R74" s="1022"/>
      <c r="S74" s="1022"/>
      <c r="T74" s="1048"/>
      <c r="U74" s="1021" t="s">
        <v>12</v>
      </c>
      <c r="V74" s="1022"/>
      <c r="W74" s="1022"/>
      <c r="X74" s="1022"/>
      <c r="Y74" s="1022"/>
      <c r="Z74" s="1022"/>
      <c r="AA74" s="1022"/>
      <c r="AB74" s="1022"/>
      <c r="AC74" s="1022"/>
      <c r="AD74" s="1022"/>
      <c r="AE74" s="1048"/>
      <c r="AF74" s="1021" t="s">
        <v>13</v>
      </c>
      <c r="AG74" s="1022"/>
      <c r="AH74" s="1022"/>
      <c r="AI74" s="1022"/>
      <c r="AJ74" s="1022"/>
      <c r="AK74" s="1022"/>
      <c r="AL74" s="1022"/>
      <c r="AM74" s="1022"/>
      <c r="AN74" s="1022"/>
      <c r="AO74" s="1022"/>
      <c r="AP74" s="1048"/>
      <c r="AQ74" s="1021" t="s">
        <v>14</v>
      </c>
      <c r="AR74" s="1022"/>
      <c r="AS74" s="1022"/>
      <c r="AT74" s="1022"/>
      <c r="AU74" s="1022"/>
      <c r="AV74" s="1022"/>
      <c r="AW74" s="1022"/>
      <c r="AX74" s="1022"/>
      <c r="AY74" s="1022"/>
      <c r="AZ74" s="1022"/>
      <c r="BA74" s="1022"/>
      <c r="BB74" s="983" t="s">
        <v>964</v>
      </c>
      <c r="BC74" s="983"/>
      <c r="BD74" s="983"/>
      <c r="BE74" s="983"/>
      <c r="BF74" s="983"/>
      <c r="BG74" s="983"/>
      <c r="BH74" s="984"/>
      <c r="CE74" s="64"/>
      <c r="CF74" s="64"/>
      <c r="CG74" s="64"/>
      <c r="CH74" s="64"/>
      <c r="CI74" s="64"/>
      <c r="CJ74" s="64"/>
      <c r="CK74" s="64"/>
      <c r="CL74" s="64"/>
    </row>
    <row r="75" spans="2:90" s="12" customFormat="1" ht="13.5" customHeight="1">
      <c r="B75" s="1025"/>
      <c r="C75" s="1019"/>
      <c r="D75" s="1019"/>
      <c r="E75" s="1019"/>
      <c r="F75" s="1019"/>
      <c r="G75" s="1020"/>
      <c r="H75" s="1018" t="s">
        <v>54</v>
      </c>
      <c r="I75" s="1019"/>
      <c r="J75" s="1019"/>
      <c r="K75" s="1019"/>
      <c r="L75" s="1019"/>
      <c r="M75" s="1019"/>
      <c r="N75" s="1019"/>
      <c r="O75" s="1019"/>
      <c r="P75" s="1019"/>
      <c r="Q75" s="1019"/>
      <c r="R75" s="1019"/>
      <c r="S75" s="1019"/>
      <c r="T75" s="1020"/>
      <c r="U75" s="1018" t="s">
        <v>55</v>
      </c>
      <c r="V75" s="1019"/>
      <c r="W75" s="1019"/>
      <c r="X75" s="1019"/>
      <c r="Y75" s="1019"/>
      <c r="Z75" s="1019"/>
      <c r="AA75" s="1019"/>
      <c r="AB75" s="1019"/>
      <c r="AC75" s="1019"/>
      <c r="AD75" s="1019"/>
      <c r="AE75" s="1020"/>
      <c r="AF75" s="1018" t="s">
        <v>56</v>
      </c>
      <c r="AG75" s="1019"/>
      <c r="AH75" s="1019"/>
      <c r="AI75" s="1019"/>
      <c r="AJ75" s="1019"/>
      <c r="AK75" s="1019"/>
      <c r="AL75" s="1019"/>
      <c r="AM75" s="1019"/>
      <c r="AN75" s="1019"/>
      <c r="AO75" s="1019"/>
      <c r="AP75" s="1020"/>
      <c r="AQ75" s="1018" t="s">
        <v>57</v>
      </c>
      <c r="AR75" s="1019"/>
      <c r="AS75" s="1019"/>
      <c r="AT75" s="1019"/>
      <c r="AU75" s="1019"/>
      <c r="AV75" s="1019"/>
      <c r="AW75" s="1019"/>
      <c r="AX75" s="1019"/>
      <c r="AY75" s="1019"/>
      <c r="AZ75" s="1019"/>
      <c r="BA75" s="1019"/>
      <c r="BB75" s="985" t="s">
        <v>965</v>
      </c>
      <c r="BC75" s="985"/>
      <c r="BD75" s="985"/>
      <c r="BE75" s="985"/>
      <c r="BF75" s="985"/>
      <c r="BG75" s="985"/>
      <c r="BH75" s="986"/>
      <c r="CE75" s="64"/>
      <c r="CF75" s="64"/>
      <c r="CG75" s="64"/>
      <c r="CH75" s="64"/>
      <c r="CI75" s="64"/>
      <c r="CJ75" s="64"/>
      <c r="CK75" s="64"/>
      <c r="CL75" s="64"/>
    </row>
    <row r="76" spans="2:90" s="12" customFormat="1" ht="15" customHeight="1">
      <c r="B76" s="1013" t="s">
        <v>222</v>
      </c>
      <c r="C76" s="1014"/>
      <c r="D76" s="1014"/>
      <c r="E76" s="1014"/>
      <c r="F76" s="1014"/>
      <c r="G76" s="1015"/>
      <c r="H76" s="1051" t="s">
        <v>1333</v>
      </c>
      <c r="I76" s="1052"/>
      <c r="J76" s="1052"/>
      <c r="K76" s="1052"/>
      <c r="L76" s="1052"/>
      <c r="M76" s="1052"/>
      <c r="N76" s="1052"/>
      <c r="O76" s="1052"/>
      <c r="P76" s="1052"/>
      <c r="Q76" s="1052"/>
      <c r="R76" s="1052"/>
      <c r="S76" s="1052"/>
      <c r="T76" s="1053"/>
      <c r="U76" s="1006" t="s">
        <v>1295</v>
      </c>
      <c r="V76" s="1007"/>
      <c r="W76" s="1007"/>
      <c r="X76" s="1007"/>
      <c r="Y76" s="1007"/>
      <c r="Z76" s="1007"/>
      <c r="AA76" s="1007"/>
      <c r="AB76" s="1007"/>
      <c r="AC76" s="1007"/>
      <c r="AD76" s="1007"/>
      <c r="AE76" s="1008"/>
      <c r="AF76" s="1099" t="s">
        <v>1300</v>
      </c>
      <c r="AG76" s="1100"/>
      <c r="AH76" s="1100"/>
      <c r="AI76" s="1100"/>
      <c r="AJ76" s="18"/>
      <c r="AK76" s="15" t="s">
        <v>4</v>
      </c>
      <c r="AL76" s="1012" t="s">
        <v>1301</v>
      </c>
      <c r="AM76" s="1012"/>
      <c r="AN76" s="1012"/>
      <c r="AO76" s="15" t="s">
        <v>9</v>
      </c>
      <c r="AP76" s="18"/>
      <c r="AQ76" s="1066" t="s">
        <v>1302</v>
      </c>
      <c r="AR76" s="1012"/>
      <c r="AS76" s="1012"/>
      <c r="AT76" s="1012"/>
      <c r="AU76" s="18"/>
      <c r="AV76" s="15" t="s">
        <v>4</v>
      </c>
      <c r="AW76" s="1012" t="s">
        <v>1303</v>
      </c>
      <c r="AX76" s="1012"/>
      <c r="AY76" s="1012"/>
      <c r="AZ76" s="15" t="s">
        <v>9</v>
      </c>
      <c r="BA76" s="18"/>
      <c r="BB76" s="987" t="s">
        <v>966</v>
      </c>
      <c r="BC76" s="988"/>
      <c r="BD76" s="988"/>
      <c r="BE76" s="988"/>
      <c r="BF76" s="988"/>
      <c r="BG76" s="988"/>
      <c r="BH76" s="989"/>
      <c r="CE76" s="64"/>
      <c r="CF76" s="64"/>
      <c r="CG76" s="64"/>
      <c r="CH76" s="64"/>
      <c r="CI76" s="64"/>
      <c r="CJ76" s="64"/>
      <c r="CK76" s="64"/>
      <c r="CL76" s="64"/>
    </row>
    <row r="77" spans="2:90" s="12" customFormat="1" ht="10.5" customHeight="1">
      <c r="B77" s="1034" t="s">
        <v>223</v>
      </c>
      <c r="C77" s="1035"/>
      <c r="D77" s="1035"/>
      <c r="E77" s="1035"/>
      <c r="F77" s="1035"/>
      <c r="G77" s="1036"/>
      <c r="H77" s="1054"/>
      <c r="I77" s="1055"/>
      <c r="J77" s="1055"/>
      <c r="K77" s="1055"/>
      <c r="L77" s="1055"/>
      <c r="M77" s="1055"/>
      <c r="N77" s="1055"/>
      <c r="O77" s="1055"/>
      <c r="P77" s="1055"/>
      <c r="Q77" s="1055"/>
      <c r="R77" s="1055"/>
      <c r="S77" s="1055"/>
      <c r="T77" s="1056"/>
      <c r="U77" s="1009"/>
      <c r="V77" s="1010"/>
      <c r="W77" s="1010"/>
      <c r="X77" s="1010"/>
      <c r="Y77" s="1010"/>
      <c r="Z77" s="1010"/>
      <c r="AA77" s="1010"/>
      <c r="AB77" s="1010"/>
      <c r="AC77" s="1010"/>
      <c r="AD77" s="1010"/>
      <c r="AE77" s="1011"/>
      <c r="AF77" s="548"/>
      <c r="AG77" s="549"/>
      <c r="AH77" s="549"/>
      <c r="AI77" s="549"/>
      <c r="AJ77" s="16"/>
      <c r="AK77" s="185" t="s">
        <v>40</v>
      </c>
      <c r="AL77" s="549"/>
      <c r="AM77" s="549"/>
      <c r="AN77" s="549"/>
      <c r="AO77" s="185" t="s">
        <v>41</v>
      </c>
      <c r="AP77" s="16"/>
      <c r="AQ77" s="552"/>
      <c r="AR77" s="549"/>
      <c r="AS77" s="549"/>
      <c r="AT77" s="549"/>
      <c r="AU77" s="16"/>
      <c r="AV77" s="185" t="s">
        <v>40</v>
      </c>
      <c r="AW77" s="549"/>
      <c r="AX77" s="549"/>
      <c r="AY77" s="549"/>
      <c r="AZ77" s="185" t="s">
        <v>41</v>
      </c>
      <c r="BA77" s="16"/>
      <c r="BB77" s="990"/>
      <c r="BC77" s="991"/>
      <c r="BD77" s="991"/>
      <c r="BE77" s="991"/>
      <c r="BF77" s="991"/>
      <c r="BG77" s="991"/>
      <c r="BH77" s="992"/>
      <c r="CE77" s="64"/>
      <c r="CF77" s="64"/>
      <c r="CG77" s="64"/>
      <c r="CH77" s="64"/>
      <c r="CI77" s="64"/>
      <c r="CJ77" s="64"/>
      <c r="CK77" s="64"/>
      <c r="CL77" s="64"/>
    </row>
    <row r="78" spans="2:90" s="12" customFormat="1" ht="15" customHeight="1">
      <c r="B78" s="1013" t="s">
        <v>61</v>
      </c>
      <c r="C78" s="1014"/>
      <c r="D78" s="1014"/>
      <c r="E78" s="1014"/>
      <c r="F78" s="1014"/>
      <c r="G78" s="1015"/>
      <c r="H78" s="1051" t="s">
        <v>1333</v>
      </c>
      <c r="I78" s="1052"/>
      <c r="J78" s="1052"/>
      <c r="K78" s="1052"/>
      <c r="L78" s="1052"/>
      <c r="M78" s="1052"/>
      <c r="N78" s="1052"/>
      <c r="O78" s="1052"/>
      <c r="P78" s="1052"/>
      <c r="Q78" s="1052"/>
      <c r="R78" s="1052"/>
      <c r="S78" s="1052"/>
      <c r="T78" s="1053"/>
      <c r="U78" s="1006" t="s">
        <v>1295</v>
      </c>
      <c r="V78" s="1007"/>
      <c r="W78" s="1007"/>
      <c r="X78" s="1007"/>
      <c r="Y78" s="1007"/>
      <c r="Z78" s="1007"/>
      <c r="AA78" s="1007"/>
      <c r="AB78" s="1007"/>
      <c r="AC78" s="1007"/>
      <c r="AD78" s="1007"/>
      <c r="AE78" s="1008"/>
      <c r="AF78" s="1099" t="s">
        <v>1302</v>
      </c>
      <c r="AG78" s="1100"/>
      <c r="AH78" s="1100"/>
      <c r="AI78" s="1100"/>
      <c r="AJ78" s="15"/>
      <c r="AK78" s="15" t="s">
        <v>4</v>
      </c>
      <c r="AL78" s="1012" t="s">
        <v>1301</v>
      </c>
      <c r="AM78" s="1012"/>
      <c r="AN78" s="1012"/>
      <c r="AO78" s="15" t="s">
        <v>9</v>
      </c>
      <c r="AP78" s="15"/>
      <c r="AQ78" s="1066" t="s">
        <v>1304</v>
      </c>
      <c r="AR78" s="1012"/>
      <c r="AS78" s="1012"/>
      <c r="AT78" s="1012"/>
      <c r="AU78" s="15"/>
      <c r="AV78" s="15" t="s">
        <v>4</v>
      </c>
      <c r="AW78" s="1012" t="s">
        <v>1303</v>
      </c>
      <c r="AX78" s="1012"/>
      <c r="AY78" s="1012"/>
      <c r="AZ78" s="15" t="s">
        <v>9</v>
      </c>
      <c r="BA78" s="15"/>
      <c r="BB78" s="987" t="s">
        <v>966</v>
      </c>
      <c r="BC78" s="988"/>
      <c r="BD78" s="988"/>
      <c r="BE78" s="988"/>
      <c r="BF78" s="988"/>
      <c r="BG78" s="988"/>
      <c r="BH78" s="989"/>
      <c r="CE78" s="64"/>
      <c r="CF78" s="64"/>
      <c r="CG78" s="64"/>
      <c r="CH78" s="64"/>
      <c r="CI78" s="64"/>
      <c r="CJ78" s="64"/>
      <c r="CK78" s="64"/>
      <c r="CL78" s="64"/>
    </row>
    <row r="79" spans="2:90" s="12" customFormat="1" ht="10.5" customHeight="1">
      <c r="B79" s="1034" t="s">
        <v>62</v>
      </c>
      <c r="C79" s="1035"/>
      <c r="D79" s="1035"/>
      <c r="E79" s="1035"/>
      <c r="F79" s="1035"/>
      <c r="G79" s="1036"/>
      <c r="H79" s="1054"/>
      <c r="I79" s="1055"/>
      <c r="J79" s="1055"/>
      <c r="K79" s="1055"/>
      <c r="L79" s="1055"/>
      <c r="M79" s="1055"/>
      <c r="N79" s="1055"/>
      <c r="O79" s="1055"/>
      <c r="P79" s="1055"/>
      <c r="Q79" s="1055"/>
      <c r="R79" s="1055"/>
      <c r="S79" s="1055"/>
      <c r="T79" s="1056"/>
      <c r="U79" s="1009"/>
      <c r="V79" s="1010"/>
      <c r="W79" s="1010"/>
      <c r="X79" s="1010"/>
      <c r="Y79" s="1010"/>
      <c r="Z79" s="1010"/>
      <c r="AA79" s="1010"/>
      <c r="AB79" s="1010"/>
      <c r="AC79" s="1010"/>
      <c r="AD79" s="1010"/>
      <c r="AE79" s="1011"/>
      <c r="AF79" s="550"/>
      <c r="AG79" s="551"/>
      <c r="AH79" s="551"/>
      <c r="AI79" s="551"/>
      <c r="AJ79" s="15"/>
      <c r="AK79" s="185" t="s">
        <v>40</v>
      </c>
      <c r="AL79" s="551"/>
      <c r="AM79" s="551"/>
      <c r="AN79" s="551"/>
      <c r="AO79" s="185" t="s">
        <v>41</v>
      </c>
      <c r="AP79" s="15"/>
      <c r="AQ79" s="553"/>
      <c r="AR79" s="551"/>
      <c r="AS79" s="551"/>
      <c r="AT79" s="551"/>
      <c r="AU79" s="15"/>
      <c r="AV79" s="185" t="s">
        <v>40</v>
      </c>
      <c r="AW79" s="551"/>
      <c r="AX79" s="551"/>
      <c r="AY79" s="551"/>
      <c r="AZ79" s="185" t="s">
        <v>41</v>
      </c>
      <c r="BA79" s="15"/>
      <c r="BB79" s="990"/>
      <c r="BC79" s="991"/>
      <c r="BD79" s="991"/>
      <c r="BE79" s="991"/>
      <c r="BF79" s="991"/>
      <c r="BG79" s="991"/>
      <c r="BH79" s="992"/>
      <c r="CE79" s="64"/>
      <c r="CF79" s="64"/>
      <c r="CG79" s="64"/>
      <c r="CH79" s="64"/>
      <c r="CI79" s="64"/>
      <c r="CJ79" s="64"/>
      <c r="CK79" s="64"/>
      <c r="CL79" s="64"/>
    </row>
    <row r="80" spans="2:90" s="12" customFormat="1" ht="15" customHeight="1">
      <c r="B80" s="1002" t="s">
        <v>1256</v>
      </c>
      <c r="C80" s="976"/>
      <c r="D80" s="976"/>
      <c r="E80" s="976"/>
      <c r="F80" s="976"/>
      <c r="G80" s="977"/>
      <c r="H80" s="1051" t="s">
        <v>1334</v>
      </c>
      <c r="I80" s="1052"/>
      <c r="J80" s="1052"/>
      <c r="K80" s="1052"/>
      <c r="L80" s="1052"/>
      <c r="M80" s="1052"/>
      <c r="N80" s="1052"/>
      <c r="O80" s="1052"/>
      <c r="P80" s="1052"/>
      <c r="Q80" s="1052"/>
      <c r="R80" s="1052"/>
      <c r="S80" s="1052"/>
      <c r="T80" s="1053"/>
      <c r="U80" s="1006" t="s">
        <v>1325</v>
      </c>
      <c r="V80" s="1007"/>
      <c r="W80" s="1007"/>
      <c r="X80" s="1007"/>
      <c r="Y80" s="1007"/>
      <c r="Z80" s="1007"/>
      <c r="AA80" s="1007"/>
      <c r="AB80" s="1007"/>
      <c r="AC80" s="1007"/>
      <c r="AD80" s="1007"/>
      <c r="AE80" s="1008"/>
      <c r="AF80" s="1099" t="s">
        <v>1304</v>
      </c>
      <c r="AG80" s="1100"/>
      <c r="AH80" s="1100"/>
      <c r="AI80" s="1100"/>
      <c r="AJ80" s="18"/>
      <c r="AK80" s="15" t="s">
        <v>4</v>
      </c>
      <c r="AL80" s="1012" t="s">
        <v>1301</v>
      </c>
      <c r="AM80" s="1012"/>
      <c r="AN80" s="1012"/>
      <c r="AO80" s="15" t="s">
        <v>9</v>
      </c>
      <c r="AP80" s="720"/>
      <c r="AQ80" s="1066" t="s">
        <v>1305</v>
      </c>
      <c r="AR80" s="1012"/>
      <c r="AS80" s="1012"/>
      <c r="AT80" s="1012"/>
      <c r="AU80" s="18"/>
      <c r="AV80" s="15" t="s">
        <v>4</v>
      </c>
      <c r="AW80" s="1012" t="s">
        <v>1303</v>
      </c>
      <c r="AX80" s="1012"/>
      <c r="AY80" s="1012"/>
      <c r="AZ80" s="15" t="s">
        <v>9</v>
      </c>
      <c r="BA80" s="18"/>
      <c r="BB80" s="993" t="s">
        <v>966</v>
      </c>
      <c r="BC80" s="994"/>
      <c r="BD80" s="994"/>
      <c r="BE80" s="994"/>
      <c r="BF80" s="994"/>
      <c r="BG80" s="994"/>
      <c r="BH80" s="995"/>
      <c r="CE80" s="64"/>
      <c r="CF80" s="64"/>
      <c r="CG80" s="64"/>
      <c r="CH80" s="64"/>
      <c r="CI80" s="64"/>
      <c r="CJ80" s="64"/>
      <c r="CK80" s="64"/>
      <c r="CL80" s="64"/>
    </row>
    <row r="81" spans="2:90" s="12" customFormat="1" ht="10.5" customHeight="1">
      <c r="B81" s="1003"/>
      <c r="C81" s="1004"/>
      <c r="D81" s="1004"/>
      <c r="E81" s="1004"/>
      <c r="F81" s="1004"/>
      <c r="G81" s="1005"/>
      <c r="H81" s="1054"/>
      <c r="I81" s="1055"/>
      <c r="J81" s="1055"/>
      <c r="K81" s="1055"/>
      <c r="L81" s="1055"/>
      <c r="M81" s="1055"/>
      <c r="N81" s="1055"/>
      <c r="O81" s="1055"/>
      <c r="P81" s="1055"/>
      <c r="Q81" s="1055"/>
      <c r="R81" s="1055"/>
      <c r="S81" s="1055"/>
      <c r="T81" s="1056"/>
      <c r="U81" s="1009"/>
      <c r="V81" s="1010"/>
      <c r="W81" s="1010"/>
      <c r="X81" s="1010"/>
      <c r="Y81" s="1010"/>
      <c r="Z81" s="1010"/>
      <c r="AA81" s="1010"/>
      <c r="AB81" s="1010"/>
      <c r="AC81" s="1010"/>
      <c r="AD81" s="1010"/>
      <c r="AE81" s="1011"/>
      <c r="AF81" s="548"/>
      <c r="AG81" s="549"/>
      <c r="AH81" s="549"/>
      <c r="AI81" s="549"/>
      <c r="AJ81" s="16"/>
      <c r="AK81" s="185" t="s">
        <v>40</v>
      </c>
      <c r="AL81" s="549"/>
      <c r="AM81" s="549"/>
      <c r="AN81" s="549"/>
      <c r="AO81" s="185" t="s">
        <v>41</v>
      </c>
      <c r="AP81" s="16"/>
      <c r="AQ81" s="552"/>
      <c r="AR81" s="549"/>
      <c r="AS81" s="825"/>
      <c r="AT81" s="549"/>
      <c r="AU81" s="16"/>
      <c r="AV81" s="185" t="s">
        <v>40</v>
      </c>
      <c r="AW81" s="549"/>
      <c r="AX81" s="549"/>
      <c r="AY81" s="549"/>
      <c r="AZ81" s="185" t="s">
        <v>41</v>
      </c>
      <c r="BA81" s="16"/>
      <c r="BB81" s="996"/>
      <c r="BC81" s="997"/>
      <c r="BD81" s="997"/>
      <c r="BE81" s="997"/>
      <c r="BF81" s="997"/>
      <c r="BG81" s="997"/>
      <c r="BH81" s="998"/>
      <c r="CE81" s="64"/>
      <c r="CF81" s="64"/>
      <c r="CG81" s="64"/>
      <c r="CH81" s="64"/>
      <c r="CI81" s="64"/>
      <c r="CJ81" s="64"/>
      <c r="CK81" s="64"/>
      <c r="CL81" s="64"/>
    </row>
    <row r="82" spans="2:90" s="12" customFormat="1" ht="15" customHeight="1">
      <c r="B82" s="1002" t="s">
        <v>1307</v>
      </c>
      <c r="C82" s="976"/>
      <c r="D82" s="976"/>
      <c r="E82" s="976"/>
      <c r="F82" s="976"/>
      <c r="G82" s="977"/>
      <c r="H82" s="1051" t="s">
        <v>1308</v>
      </c>
      <c r="I82" s="1052"/>
      <c r="J82" s="1052"/>
      <c r="K82" s="1052"/>
      <c r="L82" s="1052"/>
      <c r="M82" s="1052"/>
      <c r="N82" s="1052"/>
      <c r="O82" s="1052"/>
      <c r="P82" s="1052"/>
      <c r="Q82" s="1052"/>
      <c r="R82" s="1052"/>
      <c r="S82" s="1052"/>
      <c r="T82" s="1053"/>
      <c r="U82" s="1006" t="s">
        <v>1309</v>
      </c>
      <c r="V82" s="1007"/>
      <c r="W82" s="1007"/>
      <c r="X82" s="1007"/>
      <c r="Y82" s="1007"/>
      <c r="Z82" s="1007"/>
      <c r="AA82" s="1007"/>
      <c r="AB82" s="1007"/>
      <c r="AC82" s="1007"/>
      <c r="AD82" s="1007"/>
      <c r="AE82" s="1008"/>
      <c r="AF82" s="1099" t="s">
        <v>1305</v>
      </c>
      <c r="AG82" s="1100"/>
      <c r="AH82" s="1100"/>
      <c r="AI82" s="1100"/>
      <c r="AJ82" s="18"/>
      <c r="AK82" s="15" t="s">
        <v>4</v>
      </c>
      <c r="AL82" s="1012" t="s">
        <v>1301</v>
      </c>
      <c r="AM82" s="1012"/>
      <c r="AN82" s="1012"/>
      <c r="AO82" s="15" t="s">
        <v>9</v>
      </c>
      <c r="AP82" s="18"/>
      <c r="AQ82" s="1066" t="s">
        <v>1306</v>
      </c>
      <c r="AR82" s="1012"/>
      <c r="AS82" s="1012"/>
      <c r="AT82" s="1012"/>
      <c r="AU82" s="18"/>
      <c r="AV82" s="15" t="s">
        <v>4</v>
      </c>
      <c r="AW82" s="1012" t="s">
        <v>1301</v>
      </c>
      <c r="AX82" s="1012"/>
      <c r="AY82" s="1012"/>
      <c r="AZ82" s="15" t="s">
        <v>9</v>
      </c>
      <c r="BA82" s="18"/>
      <c r="BB82" s="993" t="s">
        <v>1310</v>
      </c>
      <c r="BC82" s="994"/>
      <c r="BD82" s="994"/>
      <c r="BE82" s="994"/>
      <c r="BF82" s="994"/>
      <c r="BG82" s="994"/>
      <c r="BH82" s="995"/>
      <c r="CE82" s="64"/>
      <c r="CF82" s="64"/>
      <c r="CG82" s="64"/>
      <c r="CH82" s="64"/>
      <c r="CI82" s="64"/>
      <c r="CJ82" s="64"/>
      <c r="CK82" s="64"/>
      <c r="CL82" s="64"/>
    </row>
    <row r="83" spans="2:90" s="12" customFormat="1" ht="10.5" customHeight="1">
      <c r="B83" s="1003"/>
      <c r="C83" s="1004"/>
      <c r="D83" s="1004"/>
      <c r="E83" s="1004"/>
      <c r="F83" s="1004"/>
      <c r="G83" s="1005"/>
      <c r="H83" s="1054"/>
      <c r="I83" s="1055"/>
      <c r="J83" s="1055"/>
      <c r="K83" s="1055"/>
      <c r="L83" s="1055"/>
      <c r="M83" s="1055"/>
      <c r="N83" s="1055"/>
      <c r="O83" s="1055"/>
      <c r="P83" s="1055"/>
      <c r="Q83" s="1055"/>
      <c r="R83" s="1055"/>
      <c r="S83" s="1055"/>
      <c r="T83" s="1056"/>
      <c r="U83" s="1009"/>
      <c r="V83" s="1010"/>
      <c r="W83" s="1010"/>
      <c r="X83" s="1010"/>
      <c r="Y83" s="1010"/>
      <c r="Z83" s="1010"/>
      <c r="AA83" s="1010"/>
      <c r="AB83" s="1010"/>
      <c r="AC83" s="1010"/>
      <c r="AD83" s="1010"/>
      <c r="AE83" s="1011"/>
      <c r="AF83" s="548"/>
      <c r="AG83" s="549"/>
      <c r="AH83" s="549"/>
      <c r="AI83" s="549"/>
      <c r="AJ83" s="16"/>
      <c r="AK83" s="185" t="s">
        <v>40</v>
      </c>
      <c r="AL83" s="549"/>
      <c r="AM83" s="549"/>
      <c r="AN83" s="549"/>
      <c r="AO83" s="185" t="s">
        <v>41</v>
      </c>
      <c r="AP83" s="16"/>
      <c r="AQ83" s="552"/>
      <c r="AR83" s="549"/>
      <c r="AS83" s="549"/>
      <c r="AT83" s="549"/>
      <c r="AU83" s="16"/>
      <c r="AV83" s="185" t="s">
        <v>40</v>
      </c>
      <c r="AW83" s="549"/>
      <c r="AX83" s="549"/>
      <c r="AY83" s="549"/>
      <c r="AZ83" s="185" t="s">
        <v>41</v>
      </c>
      <c r="BA83" s="16"/>
      <c r="BB83" s="996"/>
      <c r="BC83" s="997"/>
      <c r="BD83" s="997"/>
      <c r="BE83" s="997"/>
      <c r="BF83" s="997"/>
      <c r="BG83" s="997"/>
      <c r="BH83" s="998"/>
      <c r="CE83" s="64"/>
      <c r="CF83" s="64"/>
      <c r="CG83" s="64"/>
      <c r="CH83" s="64"/>
      <c r="CI83" s="64"/>
      <c r="CJ83" s="64"/>
      <c r="CK83" s="64"/>
      <c r="CL83" s="64"/>
    </row>
    <row r="84" spans="2:90" s="12" customFormat="1" ht="15" customHeight="1">
      <c r="B84" s="1002"/>
      <c r="C84" s="976"/>
      <c r="D84" s="976"/>
      <c r="E84" s="976"/>
      <c r="F84" s="976"/>
      <c r="G84" s="977"/>
      <c r="H84" s="1051"/>
      <c r="I84" s="1052"/>
      <c r="J84" s="1052"/>
      <c r="K84" s="1052"/>
      <c r="L84" s="1052"/>
      <c r="M84" s="1052"/>
      <c r="N84" s="1052"/>
      <c r="O84" s="1052"/>
      <c r="P84" s="1052"/>
      <c r="Q84" s="1052"/>
      <c r="R84" s="1052"/>
      <c r="S84" s="1052"/>
      <c r="T84" s="1053"/>
      <c r="U84" s="1006"/>
      <c r="V84" s="1007"/>
      <c r="W84" s="1007"/>
      <c r="X84" s="1007"/>
      <c r="Y84" s="1007"/>
      <c r="Z84" s="1007"/>
      <c r="AA84" s="1007"/>
      <c r="AB84" s="1007"/>
      <c r="AC84" s="1007"/>
      <c r="AD84" s="1007"/>
      <c r="AE84" s="1008"/>
      <c r="AF84" s="1099"/>
      <c r="AG84" s="1100"/>
      <c r="AH84" s="1100"/>
      <c r="AI84" s="1100"/>
      <c r="AJ84" s="18"/>
      <c r="AK84" s="15" t="s">
        <v>4</v>
      </c>
      <c r="AL84" s="1012"/>
      <c r="AM84" s="1012"/>
      <c r="AN84" s="1012"/>
      <c r="AO84" s="15" t="s">
        <v>9</v>
      </c>
      <c r="AP84" s="18"/>
      <c r="AQ84" s="1066"/>
      <c r="AR84" s="1012"/>
      <c r="AS84" s="1012"/>
      <c r="AT84" s="1012"/>
      <c r="AU84" s="18"/>
      <c r="AV84" s="15" t="s">
        <v>4</v>
      </c>
      <c r="AW84" s="1012"/>
      <c r="AX84" s="1012"/>
      <c r="AY84" s="1012"/>
      <c r="AZ84" s="15" t="s">
        <v>9</v>
      </c>
      <c r="BA84" s="18"/>
      <c r="BB84" s="993"/>
      <c r="BC84" s="994"/>
      <c r="BD84" s="994"/>
      <c r="BE84" s="994"/>
      <c r="BF84" s="994"/>
      <c r="BG84" s="994"/>
      <c r="BH84" s="995"/>
      <c r="CE84" s="64"/>
      <c r="CF84" s="64"/>
      <c r="CG84" s="64"/>
      <c r="CH84" s="64"/>
      <c r="CI84" s="64"/>
      <c r="CJ84" s="64"/>
      <c r="CK84" s="64"/>
      <c r="CL84" s="64"/>
    </row>
    <row r="85" spans="2:90" s="12" customFormat="1" ht="10.5" customHeight="1">
      <c r="B85" s="1003"/>
      <c r="C85" s="1004"/>
      <c r="D85" s="1004"/>
      <c r="E85" s="1004"/>
      <c r="F85" s="1004"/>
      <c r="G85" s="1005"/>
      <c r="H85" s="1054"/>
      <c r="I85" s="1055"/>
      <c r="J85" s="1055"/>
      <c r="K85" s="1055"/>
      <c r="L85" s="1055"/>
      <c r="M85" s="1055"/>
      <c r="N85" s="1055"/>
      <c r="O85" s="1055"/>
      <c r="P85" s="1055"/>
      <c r="Q85" s="1055"/>
      <c r="R85" s="1055"/>
      <c r="S85" s="1055"/>
      <c r="T85" s="1056"/>
      <c r="U85" s="1009"/>
      <c r="V85" s="1010"/>
      <c r="W85" s="1010"/>
      <c r="X85" s="1010"/>
      <c r="Y85" s="1010"/>
      <c r="Z85" s="1010"/>
      <c r="AA85" s="1010"/>
      <c r="AB85" s="1010"/>
      <c r="AC85" s="1010"/>
      <c r="AD85" s="1010"/>
      <c r="AE85" s="1011"/>
      <c r="AF85" s="548"/>
      <c r="AG85" s="549"/>
      <c r="AH85" s="549"/>
      <c r="AI85" s="549"/>
      <c r="AJ85" s="16"/>
      <c r="AK85" s="185" t="s">
        <v>30</v>
      </c>
      <c r="AL85" s="549"/>
      <c r="AM85" s="549"/>
      <c r="AN85" s="549"/>
      <c r="AO85" s="185" t="s">
        <v>31</v>
      </c>
      <c r="AP85" s="45"/>
      <c r="AQ85" s="552"/>
      <c r="AR85" s="549"/>
      <c r="AS85" s="549"/>
      <c r="AT85" s="549"/>
      <c r="AU85" s="16"/>
      <c r="AV85" s="185" t="s">
        <v>30</v>
      </c>
      <c r="AW85" s="549"/>
      <c r="AX85" s="549"/>
      <c r="AY85" s="549"/>
      <c r="AZ85" s="185" t="s">
        <v>31</v>
      </c>
      <c r="BA85" s="16"/>
      <c r="BB85" s="996"/>
      <c r="BC85" s="997"/>
      <c r="BD85" s="997"/>
      <c r="BE85" s="997"/>
      <c r="BF85" s="997"/>
      <c r="BG85" s="997"/>
      <c r="BH85" s="998"/>
      <c r="CE85" s="64"/>
      <c r="CF85" s="64"/>
      <c r="CG85" s="64"/>
      <c r="CH85" s="64"/>
      <c r="CI85" s="64"/>
      <c r="CJ85" s="64"/>
      <c r="CK85" s="64"/>
      <c r="CL85" s="64"/>
    </row>
    <row r="86" spans="2:90" s="12" customFormat="1" ht="15" customHeight="1">
      <c r="B86" s="1002"/>
      <c r="C86" s="976"/>
      <c r="D86" s="976"/>
      <c r="E86" s="976"/>
      <c r="F86" s="976"/>
      <c r="G86" s="977"/>
      <c r="H86" s="1051"/>
      <c r="I86" s="1052"/>
      <c r="J86" s="1052"/>
      <c r="K86" s="1052"/>
      <c r="L86" s="1052"/>
      <c r="M86" s="1052"/>
      <c r="N86" s="1052"/>
      <c r="O86" s="1052"/>
      <c r="P86" s="1052"/>
      <c r="Q86" s="1052"/>
      <c r="R86" s="1052"/>
      <c r="S86" s="1052"/>
      <c r="T86" s="1053"/>
      <c r="U86" s="1006"/>
      <c r="V86" s="1007"/>
      <c r="W86" s="1007"/>
      <c r="X86" s="1007"/>
      <c r="Y86" s="1007"/>
      <c r="Z86" s="1007"/>
      <c r="AA86" s="1007"/>
      <c r="AB86" s="1007"/>
      <c r="AC86" s="1007"/>
      <c r="AD86" s="1007"/>
      <c r="AE86" s="1008"/>
      <c r="AF86" s="1099"/>
      <c r="AG86" s="1100"/>
      <c r="AH86" s="1100"/>
      <c r="AI86" s="1100"/>
      <c r="AJ86" s="18"/>
      <c r="AK86" s="15" t="s">
        <v>4</v>
      </c>
      <c r="AL86" s="1012"/>
      <c r="AM86" s="1012"/>
      <c r="AN86" s="1012"/>
      <c r="AO86" s="15" t="s">
        <v>9</v>
      </c>
      <c r="AP86" s="18"/>
      <c r="AQ86" s="1066"/>
      <c r="AR86" s="1012"/>
      <c r="AS86" s="1012"/>
      <c r="AT86" s="1012"/>
      <c r="AU86" s="18"/>
      <c r="AV86" s="15" t="s">
        <v>4</v>
      </c>
      <c r="AW86" s="1012"/>
      <c r="AX86" s="1012"/>
      <c r="AY86" s="1012"/>
      <c r="AZ86" s="15" t="s">
        <v>9</v>
      </c>
      <c r="BA86" s="18"/>
      <c r="BB86" s="993"/>
      <c r="BC86" s="994"/>
      <c r="BD86" s="994"/>
      <c r="BE86" s="994"/>
      <c r="BF86" s="994"/>
      <c r="BG86" s="994"/>
      <c r="BH86" s="995"/>
      <c r="CE86" s="64"/>
      <c r="CF86" s="64"/>
      <c r="CG86" s="64"/>
      <c r="CH86" s="64"/>
      <c r="CI86" s="64"/>
      <c r="CJ86" s="64"/>
      <c r="CK86" s="64"/>
      <c r="CL86" s="64"/>
    </row>
    <row r="87" spans="2:90" s="12" customFormat="1" ht="10.5" customHeight="1" thickBot="1">
      <c r="B87" s="1038"/>
      <c r="C87" s="979"/>
      <c r="D87" s="979"/>
      <c r="E87" s="979"/>
      <c r="F87" s="979"/>
      <c r="G87" s="980"/>
      <c r="H87" s="1175"/>
      <c r="I87" s="1176"/>
      <c r="J87" s="1176"/>
      <c r="K87" s="1176"/>
      <c r="L87" s="1176"/>
      <c r="M87" s="1176"/>
      <c r="N87" s="1176"/>
      <c r="O87" s="1176"/>
      <c r="P87" s="1176"/>
      <c r="Q87" s="1176"/>
      <c r="R87" s="1176"/>
      <c r="S87" s="1176"/>
      <c r="T87" s="1177"/>
      <c r="U87" s="1060"/>
      <c r="V87" s="1061"/>
      <c r="W87" s="1061"/>
      <c r="X87" s="1061"/>
      <c r="Y87" s="1061"/>
      <c r="Z87" s="1061"/>
      <c r="AA87" s="1061"/>
      <c r="AB87" s="1061"/>
      <c r="AC87" s="1061"/>
      <c r="AD87" s="1061"/>
      <c r="AE87" s="1062"/>
      <c r="AF87" s="613"/>
      <c r="AG87" s="23"/>
      <c r="AH87" s="23"/>
      <c r="AI87" s="23"/>
      <c r="AJ87" s="23"/>
      <c r="AK87" s="186" t="s">
        <v>40</v>
      </c>
      <c r="AL87" s="23"/>
      <c r="AM87" s="23"/>
      <c r="AN87" s="23"/>
      <c r="AO87" s="186" t="s">
        <v>41</v>
      </c>
      <c r="AP87" s="125"/>
      <c r="AQ87" s="78"/>
      <c r="AR87" s="23"/>
      <c r="AS87" s="23"/>
      <c r="AT87" s="23"/>
      <c r="AU87" s="23"/>
      <c r="AV87" s="186" t="s">
        <v>40</v>
      </c>
      <c r="AW87" s="23"/>
      <c r="AX87" s="23"/>
      <c r="AY87" s="23"/>
      <c r="AZ87" s="186" t="s">
        <v>41</v>
      </c>
      <c r="BA87" s="23"/>
      <c r="BB87" s="999"/>
      <c r="BC87" s="1000"/>
      <c r="BD87" s="1000"/>
      <c r="BE87" s="1000"/>
      <c r="BF87" s="1000"/>
      <c r="BG87" s="1000"/>
      <c r="BH87" s="1001"/>
      <c r="CE87" s="64"/>
      <c r="CF87" s="64"/>
      <c r="CG87" s="64"/>
      <c r="CH87" s="64"/>
      <c r="CI87" s="64"/>
      <c r="CJ87" s="64"/>
      <c r="CK87" s="64"/>
      <c r="CL87" s="64"/>
    </row>
    <row r="88" spans="2:90" s="12" customFormat="1" ht="15" customHeight="1">
      <c r="B88" s="22" t="s">
        <v>122</v>
      </c>
      <c r="C88" s="15"/>
      <c r="D88" s="15"/>
      <c r="E88" s="15"/>
      <c r="F88" s="15"/>
      <c r="G88" s="15"/>
      <c r="H88" s="15"/>
      <c r="I88" s="15"/>
      <c r="J88" s="15"/>
      <c r="K88" s="15"/>
      <c r="L88" s="15"/>
      <c r="M88" s="823" t="s">
        <v>124</v>
      </c>
      <c r="N88" s="35" t="s">
        <v>126</v>
      </c>
      <c r="O88" s="15"/>
      <c r="P88" s="15"/>
      <c r="Q88" s="823" t="s">
        <v>296</v>
      </c>
      <c r="R88" s="15" t="s">
        <v>129</v>
      </c>
      <c r="S88" s="15"/>
      <c r="T88" s="15"/>
      <c r="U88" s="15"/>
      <c r="V88" s="15" t="s">
        <v>15</v>
      </c>
      <c r="W88" s="15"/>
      <c r="X88" s="15"/>
      <c r="Y88" s="35"/>
      <c r="Z88" s="15"/>
      <c r="AA88" s="15"/>
      <c r="AB88" s="15"/>
      <c r="AC88" s="35"/>
      <c r="AD88" s="35"/>
      <c r="AE88" s="35"/>
      <c r="AF88" s="35"/>
      <c r="AG88" s="35"/>
      <c r="AH88" s="15"/>
      <c r="AI88" s="36"/>
      <c r="AJ88" s="36"/>
      <c r="AK88" s="36"/>
      <c r="AL88" s="36"/>
      <c r="AM88" s="36"/>
      <c r="AN88" s="15"/>
      <c r="AO88" s="15"/>
      <c r="AP88" s="15"/>
      <c r="AQ88" s="15"/>
      <c r="AR88" s="15"/>
      <c r="AS88" s="15"/>
      <c r="AT88" s="15"/>
      <c r="AU88" s="15"/>
      <c r="AV88" s="15"/>
      <c r="AW88" s="15"/>
      <c r="AX88" s="15"/>
      <c r="AY88" s="15"/>
      <c r="AZ88" s="15"/>
      <c r="BA88" s="15"/>
      <c r="BB88" s="15"/>
      <c r="BC88" s="15"/>
      <c r="BD88" s="15"/>
      <c r="BE88" s="15"/>
      <c r="BF88" s="15"/>
      <c r="BG88" s="15"/>
      <c r="BH88" s="34"/>
      <c r="CE88" s="64"/>
      <c r="CF88" s="64"/>
      <c r="CG88" s="64"/>
      <c r="CH88" s="64"/>
      <c r="CI88" s="64"/>
      <c r="CJ88" s="64"/>
      <c r="CK88" s="64"/>
      <c r="CL88" s="64"/>
    </row>
    <row r="89" spans="2:90" s="12" customFormat="1" ht="11.25">
      <c r="B89" s="22"/>
      <c r="C89" s="15" t="s">
        <v>91</v>
      </c>
      <c r="D89" s="15"/>
      <c r="E89" s="15"/>
      <c r="F89" s="15"/>
      <c r="G89" s="15"/>
      <c r="H89" s="15"/>
      <c r="I89" s="15"/>
      <c r="J89" s="15"/>
      <c r="K89" s="16"/>
      <c r="L89" s="16"/>
      <c r="M89" s="39"/>
      <c r="N89" s="16" t="s">
        <v>92</v>
      </c>
      <c r="O89" s="16"/>
      <c r="P89" s="16"/>
      <c r="Q89" s="16"/>
      <c r="R89" s="39" t="s">
        <v>43</v>
      </c>
      <c r="S89" s="15"/>
      <c r="T89" s="16"/>
      <c r="U89" s="39"/>
      <c r="V89" s="35"/>
      <c r="W89" s="15" t="s">
        <v>899</v>
      </c>
      <c r="X89" s="15"/>
      <c r="Y89" s="35"/>
      <c r="Z89" s="35"/>
      <c r="AA89" s="15"/>
      <c r="AB89" s="15"/>
      <c r="AC89" s="35"/>
      <c r="AD89" s="35"/>
      <c r="AE89" s="35"/>
      <c r="AF89" s="35"/>
      <c r="AG89" s="35"/>
      <c r="AH89" s="15"/>
      <c r="AI89" s="36"/>
      <c r="AJ89" s="36"/>
      <c r="AK89" s="36"/>
      <c r="AL89" s="36"/>
      <c r="AM89" s="36"/>
      <c r="AN89" s="15"/>
      <c r="AO89" s="15"/>
      <c r="AP89" s="15"/>
      <c r="AQ89" s="15"/>
      <c r="AR89" s="15"/>
      <c r="AS89" s="15"/>
      <c r="AT89" s="15"/>
      <c r="AU89" s="15"/>
      <c r="AV89" s="15"/>
      <c r="AW89" s="15"/>
      <c r="AX89" s="15"/>
      <c r="AY89" s="15"/>
      <c r="AZ89" s="15"/>
      <c r="BA89" s="15"/>
      <c r="BB89" s="15"/>
      <c r="BC89" s="15"/>
      <c r="BD89" s="15"/>
      <c r="BE89" s="15"/>
      <c r="BF89" s="15"/>
      <c r="BG89" s="15"/>
      <c r="BH89" s="34"/>
      <c r="CE89" s="64"/>
      <c r="CF89" s="64"/>
      <c r="CG89" s="64"/>
      <c r="CH89" s="64"/>
      <c r="CI89" s="64"/>
      <c r="CJ89" s="64"/>
      <c r="CK89" s="64"/>
      <c r="CL89" s="64"/>
    </row>
    <row r="90" spans="2:90" s="15" customFormat="1" ht="15" customHeight="1">
      <c r="B90" s="1013" t="s">
        <v>16</v>
      </c>
      <c r="C90" s="1014"/>
      <c r="D90" s="1014"/>
      <c r="E90" s="1014"/>
      <c r="F90" s="1014"/>
      <c r="G90" s="1014"/>
      <c r="H90" s="1014"/>
      <c r="I90" s="1014"/>
      <c r="J90" s="1014"/>
      <c r="K90" s="1014"/>
      <c r="L90" s="1014"/>
      <c r="M90" s="1014"/>
      <c r="N90" s="1014"/>
      <c r="O90" s="1014"/>
      <c r="P90" s="1015"/>
      <c r="Q90" s="1017" t="s">
        <v>160</v>
      </c>
      <c r="R90" s="1014"/>
      <c r="S90" s="1014"/>
      <c r="T90" s="1014"/>
      <c r="U90" s="1014"/>
      <c r="V90" s="1014"/>
      <c r="W90" s="1014"/>
      <c r="X90" s="1014"/>
      <c r="Y90" s="1014"/>
      <c r="Z90" s="1014"/>
      <c r="AA90" s="1014"/>
      <c r="AB90" s="1014"/>
      <c r="AC90" s="1014"/>
      <c r="AD90" s="1014"/>
      <c r="AE90" s="1014"/>
      <c r="AF90" s="1014"/>
      <c r="AG90" s="1014"/>
      <c r="AH90" s="1014"/>
      <c r="AI90" s="1014"/>
      <c r="AJ90" s="1014"/>
      <c r="AK90" s="1014"/>
      <c r="AL90" s="1015"/>
      <c r="AM90" s="1017" t="s">
        <v>17</v>
      </c>
      <c r="AN90" s="1014"/>
      <c r="AO90" s="1014"/>
      <c r="AP90" s="1014"/>
      <c r="AQ90" s="1014"/>
      <c r="AR90" s="1014"/>
      <c r="AS90" s="1014"/>
      <c r="AT90" s="1014"/>
      <c r="AU90" s="1014"/>
      <c r="AV90" s="1014"/>
      <c r="AW90" s="1015"/>
      <c r="AX90" s="1017" t="s">
        <v>18</v>
      </c>
      <c r="AY90" s="1014"/>
      <c r="AZ90" s="1014"/>
      <c r="BA90" s="1014"/>
      <c r="BB90" s="1014"/>
      <c r="BC90" s="1014"/>
      <c r="BD90" s="1014"/>
      <c r="BE90" s="1014"/>
      <c r="BF90" s="1014"/>
      <c r="BG90" s="1014"/>
      <c r="BH90" s="1037"/>
      <c r="CE90" s="63"/>
      <c r="CF90" s="63"/>
      <c r="CG90" s="63"/>
      <c r="CH90" s="63"/>
      <c r="CI90" s="63"/>
      <c r="CJ90" s="63"/>
      <c r="CK90" s="63"/>
      <c r="CL90" s="63"/>
    </row>
    <row r="91" spans="2:90" s="12" customFormat="1" ht="13.5" customHeight="1">
      <c r="B91" s="1025" t="s">
        <v>66</v>
      </c>
      <c r="C91" s="1019"/>
      <c r="D91" s="1019"/>
      <c r="E91" s="1019"/>
      <c r="F91" s="1019"/>
      <c r="G91" s="1019"/>
      <c r="H91" s="1019"/>
      <c r="I91" s="1019"/>
      <c r="J91" s="1019"/>
      <c r="K91" s="1019"/>
      <c r="L91" s="1019"/>
      <c r="M91" s="1019"/>
      <c r="N91" s="1019"/>
      <c r="O91" s="1019"/>
      <c r="P91" s="1020"/>
      <c r="Q91" s="1018" t="s">
        <v>55</v>
      </c>
      <c r="R91" s="1019"/>
      <c r="S91" s="1019"/>
      <c r="T91" s="1019"/>
      <c r="U91" s="1019"/>
      <c r="V91" s="1019"/>
      <c r="W91" s="1019"/>
      <c r="X91" s="1019"/>
      <c r="Y91" s="1019"/>
      <c r="Z91" s="1019"/>
      <c r="AA91" s="1019"/>
      <c r="AB91" s="1019"/>
      <c r="AC91" s="1019"/>
      <c r="AD91" s="1019"/>
      <c r="AE91" s="1019"/>
      <c r="AF91" s="1019"/>
      <c r="AG91" s="1019"/>
      <c r="AH91" s="1019"/>
      <c r="AI91" s="1019"/>
      <c r="AJ91" s="1019"/>
      <c r="AK91" s="1019"/>
      <c r="AL91" s="1020"/>
      <c r="AM91" s="1018" t="s">
        <v>56</v>
      </c>
      <c r="AN91" s="1019"/>
      <c r="AO91" s="1019"/>
      <c r="AP91" s="1019"/>
      <c r="AQ91" s="1019"/>
      <c r="AR91" s="1019"/>
      <c r="AS91" s="1019"/>
      <c r="AT91" s="1019"/>
      <c r="AU91" s="1019"/>
      <c r="AV91" s="1019"/>
      <c r="AW91" s="1020"/>
      <c r="AX91" s="1018" t="s">
        <v>63</v>
      </c>
      <c r="AY91" s="1019"/>
      <c r="AZ91" s="1019"/>
      <c r="BA91" s="1019"/>
      <c r="BB91" s="1019"/>
      <c r="BC91" s="1019"/>
      <c r="BD91" s="1019"/>
      <c r="BE91" s="1019"/>
      <c r="BF91" s="1019"/>
      <c r="BG91" s="1019"/>
      <c r="BH91" s="1039"/>
      <c r="CE91" s="64"/>
      <c r="CF91" s="64"/>
      <c r="CG91" s="64"/>
      <c r="CH91" s="64"/>
      <c r="CI91" s="64"/>
      <c r="CJ91" s="64"/>
      <c r="CK91" s="64"/>
      <c r="CL91" s="64"/>
    </row>
    <row r="92" spans="2:90" s="12" customFormat="1" ht="15" customHeight="1">
      <c r="B92" s="1104" t="s">
        <v>1311</v>
      </c>
      <c r="C92" s="1105"/>
      <c r="D92" s="1105"/>
      <c r="E92" s="1105"/>
      <c r="F92" s="1105"/>
      <c r="G92" s="1105"/>
      <c r="H92" s="1105"/>
      <c r="I92" s="1105"/>
      <c r="J92" s="1105"/>
      <c r="K92" s="1105"/>
      <c r="L92" s="1105"/>
      <c r="M92" s="1105"/>
      <c r="N92" s="1105"/>
      <c r="O92" s="1105"/>
      <c r="P92" s="1106"/>
      <c r="Q92" s="969" t="s">
        <v>1312</v>
      </c>
      <c r="R92" s="970"/>
      <c r="S92" s="970"/>
      <c r="T92" s="970"/>
      <c r="U92" s="970"/>
      <c r="V92" s="970"/>
      <c r="W92" s="970"/>
      <c r="X92" s="970"/>
      <c r="Y92" s="970"/>
      <c r="Z92" s="970"/>
      <c r="AA92" s="970"/>
      <c r="AB92" s="970"/>
      <c r="AC92" s="970"/>
      <c r="AD92" s="970"/>
      <c r="AE92" s="970"/>
      <c r="AF92" s="970"/>
      <c r="AG92" s="970"/>
      <c r="AH92" s="970"/>
      <c r="AI92" s="970"/>
      <c r="AJ92" s="970"/>
      <c r="AK92" s="970"/>
      <c r="AL92" s="1095"/>
      <c r="AM92" s="1121" t="s">
        <v>1313</v>
      </c>
      <c r="AN92" s="1122"/>
      <c r="AO92" s="1122"/>
      <c r="AP92" s="1122"/>
      <c r="AQ92" s="15"/>
      <c r="AR92" s="15" t="s">
        <v>4</v>
      </c>
      <c r="AS92" s="981" t="s">
        <v>1314</v>
      </c>
      <c r="AT92" s="981"/>
      <c r="AU92" s="981"/>
      <c r="AV92" s="15" t="s">
        <v>9</v>
      </c>
      <c r="AW92" s="15"/>
      <c r="AX92" s="1186" t="s">
        <v>1315</v>
      </c>
      <c r="AY92" s="1178"/>
      <c r="AZ92" s="1178"/>
      <c r="BA92" s="1178"/>
      <c r="BB92" s="113"/>
      <c r="BC92" s="113" t="s">
        <v>4</v>
      </c>
      <c r="BD92" s="1183" t="s">
        <v>1316</v>
      </c>
      <c r="BE92" s="1183"/>
      <c r="BF92" s="1183"/>
      <c r="BG92" s="113" t="s">
        <v>9</v>
      </c>
      <c r="BH92" s="68"/>
      <c r="CE92" s="64"/>
      <c r="CF92" s="64"/>
      <c r="CG92" s="64"/>
      <c r="CH92" s="64"/>
      <c r="CI92" s="64"/>
      <c r="CJ92" s="64"/>
      <c r="CK92" s="64"/>
      <c r="CL92" s="64"/>
    </row>
    <row r="93" spans="2:90" s="12" customFormat="1" ht="10.5" customHeight="1">
      <c r="B93" s="1107"/>
      <c r="C93" s="1108"/>
      <c r="D93" s="1108"/>
      <c r="E93" s="1108"/>
      <c r="F93" s="1108"/>
      <c r="G93" s="1108"/>
      <c r="H93" s="1108"/>
      <c r="I93" s="1108"/>
      <c r="J93" s="1108"/>
      <c r="K93" s="1108"/>
      <c r="L93" s="1108"/>
      <c r="M93" s="1108"/>
      <c r="N93" s="1108"/>
      <c r="O93" s="1108"/>
      <c r="P93" s="1109"/>
      <c r="Q93" s="1096"/>
      <c r="R93" s="1097"/>
      <c r="S93" s="1097"/>
      <c r="T93" s="1097"/>
      <c r="U93" s="1097"/>
      <c r="V93" s="1097"/>
      <c r="W93" s="1097"/>
      <c r="X93" s="1097"/>
      <c r="Y93" s="1097"/>
      <c r="Z93" s="1097"/>
      <c r="AA93" s="1097"/>
      <c r="AB93" s="1097"/>
      <c r="AC93" s="1097"/>
      <c r="AD93" s="1097"/>
      <c r="AE93" s="1097"/>
      <c r="AF93" s="1097"/>
      <c r="AG93" s="1097"/>
      <c r="AH93" s="1097"/>
      <c r="AI93" s="1097"/>
      <c r="AJ93" s="1097"/>
      <c r="AK93" s="1097"/>
      <c r="AL93" s="1098"/>
      <c r="AM93" s="59"/>
      <c r="AN93" s="16"/>
      <c r="AO93" s="16"/>
      <c r="AP93" s="16"/>
      <c r="AQ93" s="16"/>
      <c r="AR93" s="47" t="s">
        <v>40</v>
      </c>
      <c r="AS93" s="16"/>
      <c r="AT93" s="16"/>
      <c r="AU93" s="16"/>
      <c r="AV93" s="47" t="s">
        <v>41</v>
      </c>
      <c r="AW93" s="16"/>
      <c r="AX93" s="114"/>
      <c r="AY93" s="115"/>
      <c r="AZ93" s="115"/>
      <c r="BA93" s="115"/>
      <c r="BB93" s="115"/>
      <c r="BC93" s="116" t="s">
        <v>75</v>
      </c>
      <c r="BD93" s="115"/>
      <c r="BE93" s="115"/>
      <c r="BF93" s="115"/>
      <c r="BG93" s="116" t="s">
        <v>76</v>
      </c>
      <c r="BH93" s="117"/>
      <c r="CE93" s="64"/>
      <c r="CF93" s="64"/>
      <c r="CG93" s="64"/>
      <c r="CH93" s="64"/>
      <c r="CI93" s="64"/>
      <c r="CJ93" s="64"/>
      <c r="CK93" s="64"/>
      <c r="CL93" s="64"/>
    </row>
    <row r="94" spans="2:90" s="12" customFormat="1" ht="15" customHeight="1">
      <c r="B94" s="1104"/>
      <c r="C94" s="1105"/>
      <c r="D94" s="1105"/>
      <c r="E94" s="1105"/>
      <c r="F94" s="1105"/>
      <c r="G94" s="1105"/>
      <c r="H94" s="1105"/>
      <c r="I94" s="1105"/>
      <c r="J94" s="1105"/>
      <c r="K94" s="1105"/>
      <c r="L94" s="1105"/>
      <c r="M94" s="1105"/>
      <c r="N94" s="1105"/>
      <c r="O94" s="1105"/>
      <c r="P94" s="1106"/>
      <c r="Q94" s="969"/>
      <c r="R94" s="970"/>
      <c r="S94" s="970"/>
      <c r="T94" s="970"/>
      <c r="U94" s="970"/>
      <c r="V94" s="970"/>
      <c r="W94" s="970"/>
      <c r="X94" s="970"/>
      <c r="Y94" s="970"/>
      <c r="Z94" s="970"/>
      <c r="AA94" s="970"/>
      <c r="AB94" s="970"/>
      <c r="AC94" s="970"/>
      <c r="AD94" s="970"/>
      <c r="AE94" s="970"/>
      <c r="AF94" s="970"/>
      <c r="AG94" s="970"/>
      <c r="AH94" s="970"/>
      <c r="AI94" s="970"/>
      <c r="AJ94" s="970"/>
      <c r="AK94" s="970"/>
      <c r="AL94" s="1095"/>
      <c r="AM94" s="1121"/>
      <c r="AN94" s="1178"/>
      <c r="AO94" s="1178"/>
      <c r="AP94" s="1178"/>
      <c r="AQ94" s="15"/>
      <c r="AR94" s="15" t="s">
        <v>4</v>
      </c>
      <c r="AS94" s="981"/>
      <c r="AT94" s="981"/>
      <c r="AU94" s="981"/>
      <c r="AV94" s="15" t="s">
        <v>9</v>
      </c>
      <c r="AW94" s="15"/>
      <c r="AX94" s="1121"/>
      <c r="AY94" s="1178"/>
      <c r="AZ94" s="1178"/>
      <c r="BA94" s="1178"/>
      <c r="BB94" s="15"/>
      <c r="BC94" s="15" t="s">
        <v>4</v>
      </c>
      <c r="BD94" s="1184"/>
      <c r="BE94" s="1184"/>
      <c r="BF94" s="1184"/>
      <c r="BG94" s="15" t="s">
        <v>9</v>
      </c>
      <c r="BH94" s="34"/>
      <c r="CE94" s="64"/>
      <c r="CF94" s="64"/>
      <c r="CG94" s="64"/>
      <c r="CH94" s="64"/>
      <c r="CI94" s="64"/>
      <c r="CJ94" s="64"/>
      <c r="CK94" s="64"/>
      <c r="CL94" s="64"/>
    </row>
    <row r="95" spans="2:90" s="12" customFormat="1" ht="10.5" customHeight="1">
      <c r="B95" s="1107"/>
      <c r="C95" s="1108"/>
      <c r="D95" s="1108"/>
      <c r="E95" s="1108"/>
      <c r="F95" s="1108"/>
      <c r="G95" s="1108"/>
      <c r="H95" s="1108"/>
      <c r="I95" s="1108"/>
      <c r="J95" s="1108"/>
      <c r="K95" s="1108"/>
      <c r="L95" s="1108"/>
      <c r="M95" s="1108"/>
      <c r="N95" s="1108"/>
      <c r="O95" s="1108"/>
      <c r="P95" s="1109"/>
      <c r="Q95" s="1096"/>
      <c r="R95" s="1097"/>
      <c r="S95" s="1097"/>
      <c r="T95" s="1097"/>
      <c r="U95" s="1097"/>
      <c r="V95" s="1097"/>
      <c r="W95" s="1097"/>
      <c r="X95" s="1097"/>
      <c r="Y95" s="1097"/>
      <c r="Z95" s="1097"/>
      <c r="AA95" s="1097"/>
      <c r="AB95" s="1097"/>
      <c r="AC95" s="1097"/>
      <c r="AD95" s="1097"/>
      <c r="AE95" s="1097"/>
      <c r="AF95" s="1097"/>
      <c r="AG95" s="1097"/>
      <c r="AH95" s="1097"/>
      <c r="AI95" s="1097"/>
      <c r="AJ95" s="1097"/>
      <c r="AK95" s="1097"/>
      <c r="AL95" s="1098"/>
      <c r="AM95" s="59"/>
      <c r="AN95" s="16"/>
      <c r="AO95" s="16"/>
      <c r="AP95" s="16"/>
      <c r="AQ95" s="16"/>
      <c r="AR95" s="47" t="s">
        <v>40</v>
      </c>
      <c r="AS95" s="16"/>
      <c r="AT95" s="16"/>
      <c r="AU95" s="16"/>
      <c r="AV95" s="47" t="s">
        <v>41</v>
      </c>
      <c r="AW95" s="16"/>
      <c r="AX95" s="44"/>
      <c r="AY95" s="16"/>
      <c r="AZ95" s="16"/>
      <c r="BA95" s="16"/>
      <c r="BB95" s="16"/>
      <c r="BC95" s="47" t="s">
        <v>40</v>
      </c>
      <c r="BD95" s="16"/>
      <c r="BE95" s="16"/>
      <c r="BF95" s="16"/>
      <c r="BG95" s="47" t="s">
        <v>41</v>
      </c>
      <c r="BH95" s="52"/>
      <c r="CE95" s="64"/>
      <c r="CF95" s="64"/>
      <c r="CG95" s="64"/>
      <c r="CH95" s="64"/>
      <c r="CI95" s="64"/>
      <c r="CJ95" s="64"/>
      <c r="CK95" s="64"/>
      <c r="CL95" s="64"/>
    </row>
    <row r="96" spans="2:90" s="12" customFormat="1" ht="15" customHeight="1">
      <c r="B96" s="22" t="s">
        <v>123</v>
      </c>
      <c r="C96" s="15"/>
      <c r="D96" s="15"/>
      <c r="E96" s="15"/>
      <c r="F96" s="15"/>
      <c r="G96" s="15"/>
      <c r="H96" s="15"/>
      <c r="I96" s="15"/>
      <c r="J96" s="15"/>
      <c r="K96" s="15"/>
      <c r="L96" s="15"/>
      <c r="M96" s="15"/>
      <c r="N96" s="15"/>
      <c r="O96" s="15"/>
      <c r="P96" s="15"/>
      <c r="Q96" s="15"/>
      <c r="R96" s="15"/>
      <c r="S96" s="15"/>
      <c r="T96" s="15"/>
      <c r="U96" s="15"/>
      <c r="V96" s="15"/>
      <c r="W96" s="15"/>
      <c r="X96" s="15"/>
      <c r="Y96" s="35"/>
      <c r="Z96" s="35"/>
      <c r="AA96" s="15"/>
      <c r="AB96" s="15"/>
      <c r="AC96" s="35"/>
      <c r="AD96" s="35"/>
      <c r="AE96" s="35"/>
      <c r="AF96" s="35"/>
      <c r="AG96" s="35"/>
      <c r="AH96" s="15"/>
      <c r="AI96" s="36"/>
      <c r="AJ96" s="36"/>
      <c r="AK96" s="36"/>
      <c r="AL96" s="38"/>
      <c r="AM96" s="36"/>
      <c r="AN96" s="15"/>
      <c r="AO96" s="15"/>
      <c r="AP96" s="15"/>
      <c r="AQ96" s="15"/>
      <c r="AR96" s="15"/>
      <c r="AS96" s="15"/>
      <c r="AT96" s="15"/>
      <c r="AU96" s="15"/>
      <c r="AV96" s="15"/>
      <c r="AW96" s="15"/>
      <c r="AX96" s="15"/>
      <c r="AY96" s="15"/>
      <c r="AZ96" s="15"/>
      <c r="BA96" s="15"/>
      <c r="BB96" s="15"/>
      <c r="BC96" s="15"/>
      <c r="BD96" s="15"/>
      <c r="BE96" s="15"/>
      <c r="BF96" s="15"/>
      <c r="BG96" s="15"/>
      <c r="BH96" s="34"/>
      <c r="CE96" s="64"/>
      <c r="CF96" s="64"/>
      <c r="CG96" s="64"/>
      <c r="CH96" s="64"/>
      <c r="CI96" s="64"/>
      <c r="CJ96" s="64"/>
      <c r="CK96" s="64"/>
      <c r="CL96" s="64"/>
    </row>
    <row r="97" spans="2:90" s="12" customFormat="1" ht="11.25">
      <c r="B97" s="22"/>
      <c r="C97" s="15" t="s">
        <v>64</v>
      </c>
      <c r="D97" s="15"/>
      <c r="E97" s="15"/>
      <c r="F97" s="15"/>
      <c r="G97" s="15"/>
      <c r="H97" s="15"/>
      <c r="I97" s="15"/>
      <c r="J97" s="15"/>
      <c r="K97" s="15"/>
      <c r="L97" s="15"/>
      <c r="M97" s="15"/>
      <c r="N97" s="15"/>
      <c r="O97" s="15"/>
      <c r="P97" s="15"/>
      <c r="Q97" s="15"/>
      <c r="R97" s="15"/>
      <c r="S97" s="15"/>
      <c r="T97" s="15"/>
      <c r="U97" s="15"/>
      <c r="V97" s="15"/>
      <c r="W97" s="15"/>
      <c r="X97" s="15"/>
      <c r="Y97" s="35"/>
      <c r="Z97" s="35"/>
      <c r="AA97" s="15"/>
      <c r="AB97" s="15"/>
      <c r="AC97" s="35"/>
      <c r="AD97" s="35"/>
      <c r="AE97" s="35"/>
      <c r="AF97" s="35"/>
      <c r="AG97" s="35"/>
      <c r="AH97" s="15"/>
      <c r="AI97" s="36"/>
      <c r="AJ97" s="36"/>
      <c r="AK97" s="36"/>
      <c r="AL97" s="36"/>
      <c r="AM97" s="36"/>
      <c r="AN97" s="15"/>
      <c r="AO97" s="15"/>
      <c r="AP97" s="15"/>
      <c r="AQ97" s="15"/>
      <c r="AR97" s="15"/>
      <c r="AS97" s="15"/>
      <c r="AT97" s="15"/>
      <c r="AU97" s="15"/>
      <c r="AV97" s="15"/>
      <c r="AW97" s="15"/>
      <c r="AX97" s="15"/>
      <c r="AY97" s="15"/>
      <c r="AZ97" s="15"/>
      <c r="BA97" s="15"/>
      <c r="BB97" s="15"/>
      <c r="BC97" s="15"/>
      <c r="BD97" s="15"/>
      <c r="BE97" s="15"/>
      <c r="BF97" s="15"/>
      <c r="BG97" s="15"/>
      <c r="BH97" s="34"/>
      <c r="CE97" s="64"/>
      <c r="CF97" s="64"/>
      <c r="CG97" s="64"/>
      <c r="CH97" s="64"/>
      <c r="CI97" s="64"/>
      <c r="CJ97" s="64"/>
      <c r="CK97" s="64"/>
      <c r="CL97" s="64"/>
    </row>
    <row r="98" spans="2:90" s="12" customFormat="1" ht="15" customHeight="1">
      <c r="B98" s="1110" t="s">
        <v>11</v>
      </c>
      <c r="C98" s="1110"/>
      <c r="D98" s="1110"/>
      <c r="E98" s="1110"/>
      <c r="F98" s="1110"/>
      <c r="G98" s="1110"/>
      <c r="H98" s="1110"/>
      <c r="I98" s="1110"/>
      <c r="J98" s="1110"/>
      <c r="K98" s="1110"/>
      <c r="L98" s="1110"/>
      <c r="M98" s="1110"/>
      <c r="N98" s="1110"/>
      <c r="O98" s="1110" t="s">
        <v>12</v>
      </c>
      <c r="P98" s="1110"/>
      <c r="Q98" s="1110"/>
      <c r="R98" s="1110"/>
      <c r="S98" s="1110"/>
      <c r="T98" s="1110"/>
      <c r="U98" s="1110"/>
      <c r="V98" s="1110"/>
      <c r="W98" s="1110"/>
      <c r="X98" s="1110"/>
      <c r="Y98" s="1110"/>
      <c r="Z98" s="1110"/>
      <c r="AA98" s="1110"/>
      <c r="AB98" s="1110"/>
      <c r="AC98" s="1110"/>
      <c r="AD98" s="1110"/>
      <c r="AE98" s="1110"/>
      <c r="AF98" s="1110"/>
      <c r="AG98" s="1110"/>
      <c r="AH98" s="1110"/>
      <c r="AI98" s="1111" t="s">
        <v>108</v>
      </c>
      <c r="AJ98" s="1112"/>
      <c r="AK98" s="1112"/>
      <c r="AL98" s="1112"/>
      <c r="AM98" s="1112"/>
      <c r="AN98" s="1112"/>
      <c r="AO98" s="1112"/>
      <c r="AP98" s="1112"/>
      <c r="AQ98" s="1112"/>
      <c r="AR98" s="1112"/>
      <c r="AS98" s="1112"/>
      <c r="AT98" s="1112"/>
      <c r="AU98" s="1112"/>
      <c r="AV98" s="1112"/>
      <c r="AW98" s="1112"/>
      <c r="AX98" s="1112"/>
      <c r="AY98" s="1112"/>
      <c r="AZ98" s="1112"/>
      <c r="BA98" s="1112"/>
      <c r="BB98" s="1112"/>
      <c r="BC98" s="1112"/>
      <c r="BD98" s="1112"/>
      <c r="BE98" s="1112"/>
      <c r="BF98" s="1112"/>
      <c r="BG98" s="1112"/>
      <c r="BH98" s="1113"/>
      <c r="CE98" s="64"/>
      <c r="CF98" s="64"/>
      <c r="CG98" s="64"/>
      <c r="CH98" s="64"/>
      <c r="CI98" s="64"/>
      <c r="CJ98" s="64"/>
      <c r="CK98" s="64"/>
      <c r="CL98" s="64"/>
    </row>
    <row r="99" spans="2:90" s="12" customFormat="1" ht="13.5" customHeight="1">
      <c r="B99" s="1110"/>
      <c r="C99" s="1110"/>
      <c r="D99" s="1110"/>
      <c r="E99" s="1110"/>
      <c r="F99" s="1110"/>
      <c r="G99" s="1110"/>
      <c r="H99" s="1110"/>
      <c r="I99" s="1110"/>
      <c r="J99" s="1110"/>
      <c r="K99" s="1110"/>
      <c r="L99" s="1110"/>
      <c r="M99" s="1110"/>
      <c r="N99" s="1110"/>
      <c r="O99" s="1110"/>
      <c r="P99" s="1110"/>
      <c r="Q99" s="1110"/>
      <c r="R99" s="1110"/>
      <c r="S99" s="1110"/>
      <c r="T99" s="1110"/>
      <c r="U99" s="1110"/>
      <c r="V99" s="1110"/>
      <c r="W99" s="1110"/>
      <c r="X99" s="1110"/>
      <c r="Y99" s="1110"/>
      <c r="Z99" s="1110"/>
      <c r="AA99" s="1110"/>
      <c r="AB99" s="1110"/>
      <c r="AC99" s="1110"/>
      <c r="AD99" s="1110"/>
      <c r="AE99" s="1110"/>
      <c r="AF99" s="1110"/>
      <c r="AG99" s="1110"/>
      <c r="AH99" s="1110"/>
      <c r="AI99" s="1114" t="s">
        <v>109</v>
      </c>
      <c r="AJ99" s="1115"/>
      <c r="AK99" s="1115"/>
      <c r="AL99" s="1115"/>
      <c r="AM99" s="1115"/>
      <c r="AN99" s="1115"/>
      <c r="AO99" s="1115"/>
      <c r="AP99" s="1115"/>
      <c r="AQ99" s="1115"/>
      <c r="AR99" s="1115"/>
      <c r="AS99" s="1115"/>
      <c r="AT99" s="1115"/>
      <c r="AU99" s="1115"/>
      <c r="AV99" s="1115"/>
      <c r="AW99" s="1115"/>
      <c r="AX99" s="1115"/>
      <c r="AY99" s="1115"/>
      <c r="AZ99" s="1115"/>
      <c r="BA99" s="1115"/>
      <c r="BB99" s="1115"/>
      <c r="BC99" s="1115"/>
      <c r="BD99" s="1115"/>
      <c r="BE99" s="1115"/>
      <c r="BF99" s="1115"/>
      <c r="BG99" s="1115"/>
      <c r="BH99" s="1116"/>
      <c r="CE99" s="64"/>
      <c r="CF99" s="64"/>
      <c r="CG99" s="64"/>
      <c r="CH99" s="64"/>
      <c r="CI99" s="64"/>
      <c r="CJ99" s="64"/>
      <c r="CK99" s="64"/>
      <c r="CL99" s="64"/>
    </row>
    <row r="100" spans="2:90" s="12" customFormat="1" ht="15" customHeight="1">
      <c r="B100" s="1117" t="s">
        <v>1317</v>
      </c>
      <c r="C100" s="1117"/>
      <c r="D100" s="1117"/>
      <c r="E100" s="1117"/>
      <c r="F100" s="1117"/>
      <c r="G100" s="1117"/>
      <c r="H100" s="1117"/>
      <c r="I100" s="1117"/>
      <c r="J100" s="1117"/>
      <c r="K100" s="1117"/>
      <c r="L100" s="1117"/>
      <c r="M100" s="1117"/>
      <c r="N100" s="1117"/>
      <c r="O100" s="1117" t="s">
        <v>1339</v>
      </c>
      <c r="P100" s="1117"/>
      <c r="Q100" s="1117"/>
      <c r="R100" s="1117"/>
      <c r="S100" s="1117"/>
      <c r="T100" s="1117"/>
      <c r="U100" s="1117"/>
      <c r="V100" s="1117"/>
      <c r="W100" s="1117"/>
      <c r="X100" s="1117"/>
      <c r="Y100" s="1117"/>
      <c r="Z100" s="1117"/>
      <c r="AA100" s="1117"/>
      <c r="AB100" s="1117"/>
      <c r="AC100" s="1117"/>
      <c r="AD100" s="1117"/>
      <c r="AE100" s="1117"/>
      <c r="AF100" s="1117"/>
      <c r="AG100" s="1117"/>
      <c r="AH100" s="1117"/>
      <c r="AI100" s="1093">
        <v>2017</v>
      </c>
      <c r="AJ100" s="1094"/>
      <c r="AK100" s="1094"/>
      <c r="AL100" s="1094"/>
      <c r="AM100" s="1094"/>
      <c r="AN100" s="18"/>
      <c r="AO100" s="18" t="s">
        <v>4</v>
      </c>
      <c r="AP100" s="1094">
        <v>3</v>
      </c>
      <c r="AQ100" s="1094"/>
      <c r="AR100" s="1094"/>
      <c r="AS100" s="18" t="s">
        <v>20</v>
      </c>
      <c r="AT100" s="18"/>
      <c r="AU100" s="1094" t="s">
        <v>1335</v>
      </c>
      <c r="AV100" s="1094"/>
      <c r="AW100" s="1094"/>
      <c r="AX100" s="1094"/>
      <c r="AY100" s="18"/>
      <c r="AZ100" s="18" t="s">
        <v>4</v>
      </c>
      <c r="BA100" s="1094"/>
      <c r="BB100" s="1094"/>
      <c r="BC100" s="1094"/>
      <c r="BD100" s="18" t="s">
        <v>5</v>
      </c>
      <c r="BE100" s="18"/>
      <c r="BF100" s="18"/>
      <c r="BG100" s="18"/>
      <c r="BH100" s="50"/>
      <c r="CE100" s="64"/>
      <c r="CF100" s="64"/>
      <c r="CG100" s="64"/>
      <c r="CH100" s="64"/>
      <c r="CI100" s="64"/>
      <c r="CJ100" s="64"/>
      <c r="CK100" s="64"/>
      <c r="CL100" s="64"/>
    </row>
    <row r="101" spans="2:90" s="12" customFormat="1" ht="10.5" customHeight="1">
      <c r="B101" s="1117"/>
      <c r="C101" s="1117"/>
      <c r="D101" s="1117"/>
      <c r="E101" s="1117"/>
      <c r="F101" s="1117"/>
      <c r="G101" s="1117"/>
      <c r="H101" s="1117"/>
      <c r="I101" s="1117"/>
      <c r="J101" s="1117"/>
      <c r="K101" s="1117"/>
      <c r="L101" s="1117"/>
      <c r="M101" s="1117"/>
      <c r="N101" s="1117"/>
      <c r="O101" s="1117"/>
      <c r="P101" s="1117"/>
      <c r="Q101" s="1117"/>
      <c r="R101" s="1117"/>
      <c r="S101" s="1117"/>
      <c r="T101" s="1117"/>
      <c r="U101" s="1117"/>
      <c r="V101" s="1117"/>
      <c r="W101" s="1117"/>
      <c r="X101" s="1117"/>
      <c r="Y101" s="1117"/>
      <c r="Z101" s="1117"/>
      <c r="AA101" s="1117"/>
      <c r="AB101" s="1117"/>
      <c r="AC101" s="1117"/>
      <c r="AD101" s="1117"/>
      <c r="AE101" s="1117"/>
      <c r="AF101" s="1117"/>
      <c r="AG101" s="1117"/>
      <c r="AH101" s="1117"/>
      <c r="AI101" s="42"/>
      <c r="AJ101" s="15"/>
      <c r="AK101" s="15"/>
      <c r="AL101" s="15"/>
      <c r="AM101" s="15"/>
      <c r="AN101" s="15"/>
      <c r="AO101" s="48" t="s">
        <v>40</v>
      </c>
      <c r="AP101" s="15"/>
      <c r="AQ101" s="15"/>
      <c r="AR101" s="15"/>
      <c r="AS101" s="48" t="s">
        <v>41</v>
      </c>
      <c r="AT101" s="15"/>
      <c r="AU101" s="15"/>
      <c r="AV101" s="15"/>
      <c r="AW101" s="15"/>
      <c r="AX101" s="15"/>
      <c r="AY101" s="15"/>
      <c r="AZ101" s="48" t="s">
        <v>75</v>
      </c>
      <c r="BA101" s="15"/>
      <c r="BB101" s="15"/>
      <c r="BC101" s="15"/>
      <c r="BD101" s="48" t="s">
        <v>41</v>
      </c>
      <c r="BE101" s="15"/>
      <c r="BF101" s="15"/>
      <c r="BG101" s="15"/>
      <c r="BH101" s="34"/>
      <c r="CE101" s="64"/>
      <c r="CF101" s="64"/>
      <c r="CG101" s="64"/>
      <c r="CH101" s="64"/>
      <c r="CI101" s="64"/>
      <c r="CJ101" s="64"/>
      <c r="CK101" s="64"/>
      <c r="CL101" s="64"/>
    </row>
    <row r="102" spans="2:90" s="12" customFormat="1" ht="10.5" customHeight="1">
      <c r="B102" s="1117"/>
      <c r="C102" s="1117"/>
      <c r="D102" s="1117"/>
      <c r="E102" s="1117"/>
      <c r="F102" s="1117"/>
      <c r="G102" s="1117"/>
      <c r="H102" s="1117"/>
      <c r="I102" s="1117"/>
      <c r="J102" s="1117"/>
      <c r="K102" s="1117"/>
      <c r="L102" s="1117"/>
      <c r="M102" s="1117"/>
      <c r="N102" s="1117"/>
      <c r="O102" s="1117"/>
      <c r="P102" s="1117"/>
      <c r="Q102" s="1117"/>
      <c r="R102" s="1117"/>
      <c r="S102" s="1117"/>
      <c r="T102" s="1117"/>
      <c r="U102" s="1117"/>
      <c r="V102" s="1117"/>
      <c r="W102" s="1117"/>
      <c r="X102" s="1117"/>
      <c r="Y102" s="1117"/>
      <c r="Z102" s="1117"/>
      <c r="AA102" s="1117"/>
      <c r="AB102" s="1117"/>
      <c r="AC102" s="1117"/>
      <c r="AD102" s="1117"/>
      <c r="AE102" s="1117"/>
      <c r="AF102" s="1117"/>
      <c r="AG102" s="1117"/>
      <c r="AH102" s="1117"/>
      <c r="AI102" s="44"/>
      <c r="AJ102" s="82"/>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52"/>
      <c r="CE102" s="64"/>
      <c r="CF102" s="64"/>
      <c r="CG102" s="64"/>
      <c r="CH102" s="64"/>
      <c r="CI102" s="64"/>
      <c r="CJ102" s="64"/>
      <c r="CK102" s="64"/>
      <c r="CL102" s="64"/>
    </row>
    <row r="103" spans="2:90" s="12" customFormat="1" ht="15" customHeight="1">
      <c r="B103" s="1117"/>
      <c r="C103" s="1117"/>
      <c r="D103" s="1117"/>
      <c r="E103" s="1117"/>
      <c r="F103" s="1117"/>
      <c r="G103" s="1117"/>
      <c r="H103" s="1117"/>
      <c r="I103" s="1117"/>
      <c r="J103" s="1117"/>
      <c r="K103" s="1117"/>
      <c r="L103" s="1117"/>
      <c r="M103" s="1117"/>
      <c r="N103" s="1117"/>
      <c r="O103" s="1117"/>
      <c r="P103" s="1117"/>
      <c r="Q103" s="1117"/>
      <c r="R103" s="1117"/>
      <c r="S103" s="1117"/>
      <c r="T103" s="1117"/>
      <c r="U103" s="1117"/>
      <c r="V103" s="1117"/>
      <c r="W103" s="1117"/>
      <c r="X103" s="1117"/>
      <c r="Y103" s="1117"/>
      <c r="Z103" s="1117"/>
      <c r="AA103" s="1117"/>
      <c r="AB103" s="1117"/>
      <c r="AC103" s="1117"/>
      <c r="AD103" s="1117"/>
      <c r="AE103" s="1117"/>
      <c r="AF103" s="1117"/>
      <c r="AG103" s="1117"/>
      <c r="AH103" s="1117"/>
      <c r="AI103" s="1179"/>
      <c r="AJ103" s="1118"/>
      <c r="AK103" s="1118"/>
      <c r="AL103" s="1118"/>
      <c r="AM103" s="1118"/>
      <c r="AN103" s="15"/>
      <c r="AO103" s="15" t="s">
        <v>4</v>
      </c>
      <c r="AP103" s="1118"/>
      <c r="AQ103" s="1118"/>
      <c r="AR103" s="1118"/>
      <c r="AS103" s="15" t="s">
        <v>20</v>
      </c>
      <c r="AT103" s="15"/>
      <c r="AU103" s="1118"/>
      <c r="AV103" s="1118"/>
      <c r="AW103" s="1118"/>
      <c r="AX103" s="1118"/>
      <c r="AY103" s="15"/>
      <c r="AZ103" s="15" t="s">
        <v>4</v>
      </c>
      <c r="BA103" s="1118"/>
      <c r="BB103" s="1118"/>
      <c r="BC103" s="1118"/>
      <c r="BD103" s="15" t="s">
        <v>5</v>
      </c>
      <c r="BE103" s="15"/>
      <c r="BF103" s="15"/>
      <c r="BG103" s="15"/>
      <c r="BH103" s="34"/>
      <c r="CE103" s="64"/>
      <c r="CF103" s="64"/>
      <c r="CG103" s="64"/>
      <c r="CH103" s="64"/>
      <c r="CI103" s="64"/>
      <c r="CJ103" s="64"/>
      <c r="CK103" s="64"/>
      <c r="CL103" s="64"/>
    </row>
    <row r="104" spans="2:90" s="12" customFormat="1" ht="10.5" customHeight="1">
      <c r="B104" s="1117"/>
      <c r="C104" s="1117"/>
      <c r="D104" s="1117"/>
      <c r="E104" s="1117"/>
      <c r="F104" s="1117"/>
      <c r="G104" s="1117"/>
      <c r="H104" s="1117"/>
      <c r="I104" s="1117"/>
      <c r="J104" s="1117"/>
      <c r="K104" s="1117"/>
      <c r="L104" s="1117"/>
      <c r="M104" s="1117"/>
      <c r="N104" s="1117"/>
      <c r="O104" s="1117"/>
      <c r="P104" s="1117"/>
      <c r="Q104" s="1117"/>
      <c r="R104" s="1117"/>
      <c r="S104" s="1117"/>
      <c r="T104" s="1117"/>
      <c r="U104" s="1117"/>
      <c r="V104" s="1117"/>
      <c r="W104" s="1117"/>
      <c r="X104" s="1117"/>
      <c r="Y104" s="1117"/>
      <c r="Z104" s="1117"/>
      <c r="AA104" s="1117"/>
      <c r="AB104" s="1117"/>
      <c r="AC104" s="1117"/>
      <c r="AD104" s="1117"/>
      <c r="AE104" s="1117"/>
      <c r="AF104" s="1117"/>
      <c r="AG104" s="1117"/>
      <c r="AH104" s="1117"/>
      <c r="AI104" s="42"/>
      <c r="AJ104" s="15"/>
      <c r="AK104" s="15"/>
      <c r="AL104" s="15"/>
      <c r="AM104" s="15"/>
      <c r="AN104" s="15"/>
      <c r="AO104" s="48" t="s">
        <v>40</v>
      </c>
      <c r="AP104" s="15"/>
      <c r="AQ104" s="15"/>
      <c r="AR104" s="15"/>
      <c r="AS104" s="48" t="s">
        <v>41</v>
      </c>
      <c r="AT104" s="15"/>
      <c r="AU104" s="15"/>
      <c r="AV104" s="15"/>
      <c r="AW104" s="15"/>
      <c r="AX104" s="15"/>
      <c r="AY104" s="15"/>
      <c r="AZ104" s="48" t="s">
        <v>40</v>
      </c>
      <c r="BA104" s="15"/>
      <c r="BB104" s="15"/>
      <c r="BC104" s="15"/>
      <c r="BD104" s="48" t="s">
        <v>76</v>
      </c>
      <c r="BE104" s="15"/>
      <c r="BF104" s="15"/>
      <c r="BG104" s="15"/>
      <c r="BH104" s="34"/>
      <c r="CE104" s="64"/>
      <c r="CF104" s="64"/>
      <c r="CG104" s="64"/>
      <c r="CH104" s="64"/>
      <c r="CI104" s="64"/>
      <c r="CJ104" s="64"/>
      <c r="CK104" s="64"/>
      <c r="CL104" s="64"/>
    </row>
    <row r="105" spans="2:90" s="12" customFormat="1" ht="11.25" customHeight="1" thickBot="1">
      <c r="B105" s="1117"/>
      <c r="C105" s="1117"/>
      <c r="D105" s="1117"/>
      <c r="E105" s="1117"/>
      <c r="F105" s="1117"/>
      <c r="G105" s="1117"/>
      <c r="H105" s="1117"/>
      <c r="I105" s="1117"/>
      <c r="J105" s="1117"/>
      <c r="K105" s="1117"/>
      <c r="L105" s="1117"/>
      <c r="M105" s="1117"/>
      <c r="N105" s="1117"/>
      <c r="O105" s="1117"/>
      <c r="P105" s="1117"/>
      <c r="Q105" s="1117"/>
      <c r="R105" s="1117"/>
      <c r="S105" s="1117"/>
      <c r="T105" s="1117"/>
      <c r="U105" s="1117"/>
      <c r="V105" s="1117"/>
      <c r="W105" s="1117"/>
      <c r="X105" s="1117"/>
      <c r="Y105" s="1117"/>
      <c r="Z105" s="1117"/>
      <c r="AA105" s="1117"/>
      <c r="AB105" s="1117"/>
      <c r="AC105" s="1117"/>
      <c r="AD105" s="1117"/>
      <c r="AE105" s="1117"/>
      <c r="AF105" s="1117"/>
      <c r="AG105" s="1117"/>
      <c r="AH105" s="1117"/>
      <c r="AI105" s="44"/>
      <c r="AJ105" s="82"/>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52"/>
      <c r="CE105" s="64"/>
      <c r="CF105" s="64"/>
      <c r="CG105" s="64"/>
      <c r="CH105" s="64"/>
      <c r="CI105" s="64"/>
      <c r="CJ105" s="64"/>
      <c r="CK105" s="64"/>
      <c r="CL105" s="64"/>
    </row>
    <row r="106" spans="2:90" s="12" customFormat="1" ht="15" customHeight="1" thickBot="1">
      <c r="B106" s="24" t="s">
        <v>69</v>
      </c>
      <c r="C106" s="32"/>
      <c r="D106" s="27"/>
      <c r="E106" s="27"/>
      <c r="F106" s="27"/>
      <c r="G106" s="27"/>
      <c r="H106" s="27"/>
      <c r="I106" s="27"/>
      <c r="J106" s="27"/>
      <c r="K106" s="30" t="s">
        <v>70</v>
      </c>
      <c r="L106" s="27"/>
      <c r="M106" s="30"/>
      <c r="N106" s="27"/>
      <c r="O106" s="27"/>
      <c r="P106" s="27"/>
      <c r="Q106" s="27"/>
      <c r="R106" s="27"/>
      <c r="S106" s="27"/>
      <c r="T106" s="27"/>
      <c r="U106" s="27"/>
      <c r="V106" s="27"/>
      <c r="W106" s="27"/>
      <c r="X106" s="27"/>
      <c r="Y106" s="33"/>
      <c r="Z106" s="33"/>
      <c r="AA106" s="27"/>
      <c r="AB106" s="27"/>
      <c r="AC106" s="33"/>
      <c r="AD106" s="33"/>
      <c r="AE106" s="33"/>
      <c r="AF106" s="33"/>
      <c r="AG106" s="33"/>
      <c r="AH106" s="27"/>
      <c r="AI106" s="28"/>
      <c r="AJ106" s="28"/>
      <c r="AK106" s="28"/>
      <c r="AL106" s="28"/>
      <c r="AM106" s="28"/>
      <c r="AN106" s="29"/>
      <c r="AO106" s="29"/>
      <c r="AP106" s="29"/>
      <c r="AQ106" s="29"/>
      <c r="AR106" s="32"/>
      <c r="AS106" s="30"/>
      <c r="AT106" s="30"/>
      <c r="AU106" s="30"/>
      <c r="AV106" s="30"/>
      <c r="AW106" s="30"/>
      <c r="AX106" s="30"/>
      <c r="AY106" s="30"/>
      <c r="AZ106" s="30"/>
      <c r="BA106" s="30"/>
      <c r="BB106" s="30"/>
      <c r="BC106" s="30"/>
      <c r="BD106" s="30"/>
      <c r="BE106" s="30"/>
      <c r="BF106" s="30"/>
      <c r="BG106" s="30"/>
      <c r="BH106" s="31"/>
      <c r="CE106" s="64"/>
      <c r="CF106" s="64"/>
      <c r="CG106" s="64"/>
      <c r="CH106" s="64"/>
      <c r="CI106" s="64"/>
      <c r="CJ106" s="64"/>
      <c r="CK106" s="64"/>
      <c r="CL106" s="64"/>
    </row>
    <row r="107" spans="2:90" s="12" customFormat="1" ht="15" customHeight="1">
      <c r="B107" s="1173" t="s">
        <v>1119</v>
      </c>
      <c r="C107" s="1174"/>
      <c r="D107" s="823" t="s">
        <v>296</v>
      </c>
      <c r="E107" s="15" t="s">
        <v>126</v>
      </c>
      <c r="F107" s="15"/>
      <c r="G107" s="15"/>
      <c r="H107" s="823" t="s">
        <v>125</v>
      </c>
      <c r="I107" s="15" t="s">
        <v>129</v>
      </c>
      <c r="J107" s="15" t="s">
        <v>132</v>
      </c>
      <c r="K107" s="823"/>
      <c r="L107" s="135" t="s">
        <v>758</v>
      </c>
      <c r="M107" s="15" t="s">
        <v>894</v>
      </c>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c r="AL107" s="15"/>
      <c r="AM107" s="15"/>
      <c r="AN107" s="15"/>
      <c r="AO107" s="15"/>
      <c r="AP107" s="15"/>
      <c r="AQ107" s="15"/>
      <c r="AR107" s="15"/>
      <c r="AS107" s="15"/>
      <c r="AT107" s="15"/>
      <c r="AU107" s="15"/>
      <c r="AV107" s="15"/>
      <c r="AW107" s="15"/>
      <c r="AX107" s="15"/>
      <c r="AY107" s="15"/>
      <c r="AZ107" s="15"/>
      <c r="BA107" s="15"/>
      <c r="BB107" s="15"/>
      <c r="BC107" s="15"/>
      <c r="BD107" s="15"/>
      <c r="BE107" s="15"/>
      <c r="BF107" s="15"/>
      <c r="BG107" s="15"/>
      <c r="BH107" s="34"/>
      <c r="CE107" s="64"/>
      <c r="CF107" s="64"/>
      <c r="CG107" s="64"/>
      <c r="CH107" s="64"/>
      <c r="CI107" s="64"/>
      <c r="CJ107" s="64"/>
      <c r="CK107" s="64"/>
      <c r="CL107" s="64"/>
    </row>
    <row r="108" spans="2:90" s="12" customFormat="1" ht="11.25">
      <c r="B108" s="51"/>
      <c r="C108" s="16"/>
      <c r="D108" s="16" t="s">
        <v>87</v>
      </c>
      <c r="E108" s="16"/>
      <c r="F108" s="16"/>
      <c r="G108" s="16"/>
      <c r="H108" s="16" t="s">
        <v>89</v>
      </c>
      <c r="I108" s="16"/>
      <c r="J108" s="16"/>
      <c r="K108" s="16"/>
      <c r="L108" s="16"/>
      <c r="M108" s="16" t="s">
        <v>88</v>
      </c>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52"/>
      <c r="CE108" s="64"/>
      <c r="CF108" s="64"/>
      <c r="CG108" s="64"/>
      <c r="CH108" s="64"/>
      <c r="CI108" s="64"/>
      <c r="CJ108" s="64"/>
      <c r="CK108" s="64"/>
      <c r="CL108" s="64"/>
    </row>
    <row r="109" spans="2:90" s="12" customFormat="1" ht="15" customHeight="1">
      <c r="B109" s="1013" t="s">
        <v>169</v>
      </c>
      <c r="C109" s="1014"/>
      <c r="D109" s="1014"/>
      <c r="E109" s="1014"/>
      <c r="F109" s="1014"/>
      <c r="G109" s="1014"/>
      <c r="H109" s="1015"/>
      <c r="I109" s="1017" t="s">
        <v>166</v>
      </c>
      <c r="J109" s="1014"/>
      <c r="K109" s="1014"/>
      <c r="L109" s="1014"/>
      <c r="M109" s="1014"/>
      <c r="N109" s="1015"/>
      <c r="O109" s="1017" t="s">
        <v>165</v>
      </c>
      <c r="P109" s="1014"/>
      <c r="Q109" s="1014"/>
      <c r="R109" s="1014"/>
      <c r="S109" s="1014"/>
      <c r="T109" s="1015"/>
      <c r="U109" s="1017" t="s">
        <v>163</v>
      </c>
      <c r="V109" s="1014"/>
      <c r="W109" s="1014"/>
      <c r="X109" s="1014"/>
      <c r="Y109" s="1014"/>
      <c r="Z109" s="1014"/>
      <c r="AA109" s="1014"/>
      <c r="AB109" s="1015"/>
      <c r="AC109" s="1017" t="s">
        <v>161</v>
      </c>
      <c r="AD109" s="1014"/>
      <c r="AE109" s="1014"/>
      <c r="AF109" s="1014"/>
      <c r="AG109" s="1014"/>
      <c r="AH109" s="1014"/>
      <c r="AI109" s="1014"/>
      <c r="AJ109" s="1014"/>
      <c r="AK109" s="1014"/>
      <c r="AL109" s="1014"/>
      <c r="AM109" s="1014"/>
      <c r="AN109" s="1014"/>
      <c r="AO109" s="1014"/>
      <c r="AP109" s="1014"/>
      <c r="AQ109" s="1014"/>
      <c r="AR109" s="1014"/>
      <c r="AS109" s="1014"/>
      <c r="AT109" s="1014"/>
      <c r="AU109" s="1014"/>
      <c r="AV109" s="1014"/>
      <c r="AW109" s="1014"/>
      <c r="AX109" s="1014"/>
      <c r="AY109" s="1014"/>
      <c r="AZ109" s="1014"/>
      <c r="BA109" s="1014"/>
      <c r="BB109" s="1014"/>
      <c r="BC109" s="1014"/>
      <c r="BD109" s="1014"/>
      <c r="BE109" s="1014"/>
      <c r="BF109" s="1014"/>
      <c r="BG109" s="1014"/>
      <c r="BH109" s="1037"/>
      <c r="CE109" s="64"/>
      <c r="CF109" s="64"/>
      <c r="CG109" s="64"/>
      <c r="CH109" s="64"/>
      <c r="CI109" s="64"/>
      <c r="CJ109" s="64"/>
      <c r="CK109" s="64"/>
      <c r="CL109" s="64"/>
    </row>
    <row r="110" spans="2:90" s="12" customFormat="1" ht="15" customHeight="1">
      <c r="B110" s="1025" t="s">
        <v>168</v>
      </c>
      <c r="C110" s="1019"/>
      <c r="D110" s="1019"/>
      <c r="E110" s="1019"/>
      <c r="F110" s="1019"/>
      <c r="G110" s="1019"/>
      <c r="H110" s="1020"/>
      <c r="I110" s="1123" t="s">
        <v>99</v>
      </c>
      <c r="J110" s="1035"/>
      <c r="K110" s="1035"/>
      <c r="L110" s="1035"/>
      <c r="M110" s="1035"/>
      <c r="N110" s="1036"/>
      <c r="O110" s="1018" t="s">
        <v>167</v>
      </c>
      <c r="P110" s="1019"/>
      <c r="Q110" s="1019"/>
      <c r="R110" s="1019"/>
      <c r="S110" s="1019"/>
      <c r="T110" s="1020"/>
      <c r="U110" s="1018" t="s">
        <v>164</v>
      </c>
      <c r="V110" s="1019"/>
      <c r="W110" s="1019"/>
      <c r="X110" s="1019"/>
      <c r="Y110" s="1019"/>
      <c r="Z110" s="1019"/>
      <c r="AA110" s="1019"/>
      <c r="AB110" s="1020"/>
      <c r="AC110" s="1018" t="s">
        <v>162</v>
      </c>
      <c r="AD110" s="1019"/>
      <c r="AE110" s="1019"/>
      <c r="AF110" s="1019"/>
      <c r="AG110" s="1019"/>
      <c r="AH110" s="1019"/>
      <c r="AI110" s="1019"/>
      <c r="AJ110" s="1019"/>
      <c r="AK110" s="1019"/>
      <c r="AL110" s="1019"/>
      <c r="AM110" s="1019"/>
      <c r="AN110" s="1019"/>
      <c r="AO110" s="1019"/>
      <c r="AP110" s="1019"/>
      <c r="AQ110" s="1019"/>
      <c r="AR110" s="1019"/>
      <c r="AS110" s="1019"/>
      <c r="AT110" s="1019"/>
      <c r="AU110" s="1019"/>
      <c r="AV110" s="1019"/>
      <c r="AW110" s="1019"/>
      <c r="AX110" s="1019"/>
      <c r="AY110" s="1019"/>
      <c r="AZ110" s="1019"/>
      <c r="BA110" s="1019"/>
      <c r="BB110" s="1019"/>
      <c r="BC110" s="1019"/>
      <c r="BD110" s="1019"/>
      <c r="BE110" s="1019"/>
      <c r="BF110" s="1019"/>
      <c r="BG110" s="1019"/>
      <c r="BH110" s="1039"/>
      <c r="CE110" s="64"/>
      <c r="CF110" s="64"/>
      <c r="CG110" s="64"/>
      <c r="CH110" s="64"/>
      <c r="CI110" s="64"/>
      <c r="CJ110" s="64"/>
      <c r="CK110" s="64"/>
      <c r="CL110" s="64"/>
    </row>
    <row r="111" spans="2:90" s="12" customFormat="1" ht="15" customHeight="1">
      <c r="B111" s="982"/>
      <c r="C111" s="981"/>
      <c r="D111" s="981"/>
      <c r="E111" s="35" t="s">
        <v>4</v>
      </c>
      <c r="F111" s="981"/>
      <c r="G111" s="981"/>
      <c r="H111" s="15" t="s">
        <v>9</v>
      </c>
      <c r="I111" s="975"/>
      <c r="J111" s="976"/>
      <c r="K111" s="976"/>
      <c r="L111" s="976"/>
      <c r="M111" s="976"/>
      <c r="N111" s="977"/>
      <c r="O111" s="975"/>
      <c r="P111" s="976"/>
      <c r="Q111" s="976"/>
      <c r="R111" s="976"/>
      <c r="S111" s="976"/>
      <c r="T111" s="977"/>
      <c r="U111" s="823" t="s">
        <v>124</v>
      </c>
      <c r="V111" s="15" t="s">
        <v>184</v>
      </c>
      <c r="W111" s="15"/>
      <c r="X111" s="15"/>
      <c r="Y111" s="823" t="s">
        <v>124</v>
      </c>
      <c r="Z111" s="15" t="s">
        <v>183</v>
      </c>
      <c r="AA111" s="15"/>
      <c r="AB111" s="43"/>
      <c r="AC111" s="969"/>
      <c r="AD111" s="970"/>
      <c r="AE111" s="970"/>
      <c r="AF111" s="970"/>
      <c r="AG111" s="970"/>
      <c r="AH111" s="970"/>
      <c r="AI111" s="970"/>
      <c r="AJ111" s="970"/>
      <c r="AK111" s="970"/>
      <c r="AL111" s="970"/>
      <c r="AM111" s="970"/>
      <c r="AN111" s="970"/>
      <c r="AO111" s="970"/>
      <c r="AP111" s="970"/>
      <c r="AQ111" s="970"/>
      <c r="AR111" s="970"/>
      <c r="AS111" s="970"/>
      <c r="AT111" s="970"/>
      <c r="AU111" s="970"/>
      <c r="AV111" s="970"/>
      <c r="AW111" s="970"/>
      <c r="AX111" s="970"/>
      <c r="AY111" s="970"/>
      <c r="AZ111" s="970"/>
      <c r="BA111" s="970"/>
      <c r="BB111" s="970"/>
      <c r="BC111" s="970"/>
      <c r="BD111" s="970"/>
      <c r="BE111" s="970"/>
      <c r="BF111" s="970"/>
      <c r="BG111" s="970"/>
      <c r="BH111" s="971"/>
      <c r="CE111" s="64"/>
      <c r="CF111" s="64"/>
      <c r="CG111" s="64"/>
      <c r="CH111" s="64"/>
      <c r="CI111" s="64"/>
      <c r="CJ111" s="64"/>
      <c r="CK111" s="64"/>
      <c r="CL111" s="64"/>
    </row>
    <row r="112" spans="2:90" s="12" customFormat="1" ht="11.25">
      <c r="B112" s="51"/>
      <c r="C112" s="47" t="s">
        <v>40</v>
      </c>
      <c r="D112" s="47"/>
      <c r="E112" s="16"/>
      <c r="F112" s="16"/>
      <c r="G112" s="47" t="s">
        <v>90</v>
      </c>
      <c r="H112" s="16"/>
      <c r="I112" s="1059"/>
      <c r="J112" s="1004"/>
      <c r="K112" s="1004"/>
      <c r="L112" s="1004"/>
      <c r="M112" s="1004"/>
      <c r="N112" s="1005"/>
      <c r="O112" s="1059"/>
      <c r="P112" s="1004"/>
      <c r="Q112" s="1004"/>
      <c r="R112" s="1004"/>
      <c r="S112" s="1004"/>
      <c r="T112" s="1005"/>
      <c r="U112" s="16" t="s">
        <v>185</v>
      </c>
      <c r="V112" s="16"/>
      <c r="W112" s="16"/>
      <c r="X112" s="16"/>
      <c r="Y112" s="723"/>
      <c r="Z112" s="16" t="s">
        <v>186</v>
      </c>
      <c r="AA112" s="16"/>
      <c r="AB112" s="45"/>
      <c r="AC112" s="1096"/>
      <c r="AD112" s="1097"/>
      <c r="AE112" s="1097"/>
      <c r="AF112" s="1097"/>
      <c r="AG112" s="1097"/>
      <c r="AH112" s="1097"/>
      <c r="AI112" s="1097"/>
      <c r="AJ112" s="1097"/>
      <c r="AK112" s="1097"/>
      <c r="AL112" s="1097"/>
      <c r="AM112" s="1097"/>
      <c r="AN112" s="1097"/>
      <c r="AO112" s="1097"/>
      <c r="AP112" s="1097"/>
      <c r="AQ112" s="1097"/>
      <c r="AR112" s="1097"/>
      <c r="AS112" s="1097"/>
      <c r="AT112" s="1097"/>
      <c r="AU112" s="1097"/>
      <c r="AV112" s="1097"/>
      <c r="AW112" s="1097"/>
      <c r="AX112" s="1097"/>
      <c r="AY112" s="1097"/>
      <c r="AZ112" s="1097"/>
      <c r="BA112" s="1097"/>
      <c r="BB112" s="1097"/>
      <c r="BC112" s="1097"/>
      <c r="BD112" s="1097"/>
      <c r="BE112" s="1097"/>
      <c r="BF112" s="1097"/>
      <c r="BG112" s="1097"/>
      <c r="BH112" s="1185"/>
      <c r="CE112" s="64"/>
      <c r="CF112" s="64"/>
      <c r="CG112" s="64"/>
      <c r="CH112" s="64"/>
      <c r="CI112" s="64"/>
      <c r="CJ112" s="64"/>
      <c r="CK112" s="64"/>
      <c r="CL112" s="64"/>
    </row>
    <row r="113" spans="2:90" s="12" customFormat="1" ht="15" customHeight="1">
      <c r="B113" s="982"/>
      <c r="C113" s="981"/>
      <c r="D113" s="981"/>
      <c r="E113" s="37" t="s">
        <v>4</v>
      </c>
      <c r="F113" s="981"/>
      <c r="G113" s="981"/>
      <c r="H113" s="18" t="s">
        <v>9</v>
      </c>
      <c r="I113" s="975"/>
      <c r="J113" s="976"/>
      <c r="K113" s="976"/>
      <c r="L113" s="976"/>
      <c r="M113" s="976"/>
      <c r="N113" s="977"/>
      <c r="O113" s="975"/>
      <c r="P113" s="976"/>
      <c r="Q113" s="976"/>
      <c r="R113" s="976"/>
      <c r="S113" s="976"/>
      <c r="T113" s="977"/>
      <c r="U113" s="826" t="s">
        <v>125</v>
      </c>
      <c r="V113" s="18" t="s">
        <v>184</v>
      </c>
      <c r="W113" s="18"/>
      <c r="X113" s="18"/>
      <c r="Y113" s="826" t="s">
        <v>125</v>
      </c>
      <c r="Z113" s="18" t="s">
        <v>183</v>
      </c>
      <c r="AA113" s="18"/>
      <c r="AB113" s="81"/>
      <c r="AC113" s="969"/>
      <c r="AD113" s="970"/>
      <c r="AE113" s="970"/>
      <c r="AF113" s="970"/>
      <c r="AG113" s="970"/>
      <c r="AH113" s="970"/>
      <c r="AI113" s="970"/>
      <c r="AJ113" s="970"/>
      <c r="AK113" s="970"/>
      <c r="AL113" s="970"/>
      <c r="AM113" s="970"/>
      <c r="AN113" s="970"/>
      <c r="AO113" s="970"/>
      <c r="AP113" s="970"/>
      <c r="AQ113" s="970"/>
      <c r="AR113" s="970"/>
      <c r="AS113" s="970"/>
      <c r="AT113" s="970"/>
      <c r="AU113" s="970"/>
      <c r="AV113" s="970"/>
      <c r="AW113" s="970"/>
      <c r="AX113" s="970"/>
      <c r="AY113" s="970"/>
      <c r="AZ113" s="970"/>
      <c r="BA113" s="970"/>
      <c r="BB113" s="970"/>
      <c r="BC113" s="970"/>
      <c r="BD113" s="970"/>
      <c r="BE113" s="970"/>
      <c r="BF113" s="970"/>
      <c r="BG113" s="970"/>
      <c r="BH113" s="971"/>
      <c r="CE113" s="64"/>
      <c r="CF113" s="64"/>
      <c r="CG113" s="64"/>
      <c r="CH113" s="64"/>
      <c r="CI113" s="64"/>
      <c r="CJ113" s="64"/>
      <c r="CK113" s="64"/>
      <c r="CL113" s="64"/>
    </row>
    <row r="114" spans="2:90" s="12" customFormat="1" ht="14.25" customHeight="1">
      <c r="B114" s="51"/>
      <c r="C114" s="47" t="s">
        <v>40</v>
      </c>
      <c r="D114" s="47"/>
      <c r="E114" s="16"/>
      <c r="F114" s="16"/>
      <c r="G114" s="47" t="s">
        <v>90</v>
      </c>
      <c r="H114" s="16"/>
      <c r="I114" s="1059"/>
      <c r="J114" s="1004"/>
      <c r="K114" s="1004"/>
      <c r="L114" s="1004"/>
      <c r="M114" s="1004"/>
      <c r="N114" s="1005"/>
      <c r="O114" s="1059"/>
      <c r="P114" s="1004"/>
      <c r="Q114" s="1004"/>
      <c r="R114" s="1004"/>
      <c r="S114" s="1004"/>
      <c r="T114" s="1005"/>
      <c r="U114" s="16" t="s">
        <v>185</v>
      </c>
      <c r="V114" s="16"/>
      <c r="W114" s="16"/>
      <c r="X114" s="16"/>
      <c r="Y114" s="16"/>
      <c r="Z114" s="16" t="s">
        <v>186</v>
      </c>
      <c r="AA114" s="16"/>
      <c r="AB114" s="45"/>
      <c r="AC114" s="1096"/>
      <c r="AD114" s="1097"/>
      <c r="AE114" s="1097"/>
      <c r="AF114" s="1097"/>
      <c r="AG114" s="1097"/>
      <c r="AH114" s="1097"/>
      <c r="AI114" s="1097"/>
      <c r="AJ114" s="1097"/>
      <c r="AK114" s="1097"/>
      <c r="AL114" s="1097"/>
      <c r="AM114" s="1097"/>
      <c r="AN114" s="1097"/>
      <c r="AO114" s="1097"/>
      <c r="AP114" s="1097"/>
      <c r="AQ114" s="1097"/>
      <c r="AR114" s="1097"/>
      <c r="AS114" s="1097"/>
      <c r="AT114" s="1097"/>
      <c r="AU114" s="1097"/>
      <c r="AV114" s="1097"/>
      <c r="AW114" s="1097"/>
      <c r="AX114" s="1097"/>
      <c r="AY114" s="1097"/>
      <c r="AZ114" s="1097"/>
      <c r="BA114" s="1097"/>
      <c r="BB114" s="1097"/>
      <c r="BC114" s="1097"/>
      <c r="BD114" s="1097"/>
      <c r="BE114" s="1097"/>
      <c r="BF114" s="1097"/>
      <c r="BG114" s="1097"/>
      <c r="BH114" s="1185"/>
      <c r="CE114" s="64"/>
      <c r="CF114" s="64"/>
      <c r="CG114" s="64"/>
      <c r="CH114" s="64"/>
      <c r="CI114" s="64"/>
      <c r="CJ114" s="64"/>
      <c r="CK114" s="64"/>
      <c r="CL114" s="64"/>
    </row>
    <row r="115" spans="2:90" s="12" customFormat="1" ht="15" customHeight="1">
      <c r="B115" s="982"/>
      <c r="C115" s="981"/>
      <c r="D115" s="981"/>
      <c r="E115" s="35" t="s">
        <v>4</v>
      </c>
      <c r="F115" s="981"/>
      <c r="G115" s="981"/>
      <c r="H115" s="15" t="s">
        <v>9</v>
      </c>
      <c r="I115" s="975"/>
      <c r="J115" s="976"/>
      <c r="K115" s="976"/>
      <c r="L115" s="976"/>
      <c r="M115" s="976"/>
      <c r="N115" s="977"/>
      <c r="O115" s="975"/>
      <c r="P115" s="976"/>
      <c r="Q115" s="976"/>
      <c r="R115" s="976"/>
      <c r="S115" s="976"/>
      <c r="T115" s="977"/>
      <c r="U115" s="823" t="s">
        <v>125</v>
      </c>
      <c r="V115" s="15" t="s">
        <v>184</v>
      </c>
      <c r="W115" s="15"/>
      <c r="X115" s="15"/>
      <c r="Y115" s="823" t="s">
        <v>125</v>
      </c>
      <c r="Z115" s="15" t="s">
        <v>183</v>
      </c>
      <c r="AA115" s="15"/>
      <c r="AB115" s="43"/>
      <c r="AC115" s="969"/>
      <c r="AD115" s="970"/>
      <c r="AE115" s="970"/>
      <c r="AF115" s="970"/>
      <c r="AG115" s="970"/>
      <c r="AH115" s="970"/>
      <c r="AI115" s="970"/>
      <c r="AJ115" s="970"/>
      <c r="AK115" s="970"/>
      <c r="AL115" s="970"/>
      <c r="AM115" s="970"/>
      <c r="AN115" s="970"/>
      <c r="AO115" s="970"/>
      <c r="AP115" s="970"/>
      <c r="AQ115" s="970"/>
      <c r="AR115" s="970"/>
      <c r="AS115" s="970"/>
      <c r="AT115" s="970"/>
      <c r="AU115" s="970"/>
      <c r="AV115" s="970"/>
      <c r="AW115" s="970"/>
      <c r="AX115" s="970"/>
      <c r="AY115" s="970"/>
      <c r="AZ115" s="970"/>
      <c r="BA115" s="970"/>
      <c r="BB115" s="970"/>
      <c r="BC115" s="970"/>
      <c r="BD115" s="970"/>
      <c r="BE115" s="970"/>
      <c r="BF115" s="970"/>
      <c r="BG115" s="970"/>
      <c r="BH115" s="971"/>
      <c r="CE115" s="64"/>
      <c r="CF115" s="64"/>
      <c r="CG115" s="64"/>
      <c r="CH115" s="64"/>
      <c r="CI115" s="64"/>
      <c r="CJ115" s="64"/>
      <c r="CK115" s="64"/>
      <c r="CL115" s="64"/>
    </row>
    <row r="116" spans="2:90" s="12" customFormat="1" ht="14.25" customHeight="1" thickBot="1">
      <c r="B116" s="54"/>
      <c r="C116" s="79" t="s">
        <v>30</v>
      </c>
      <c r="D116" s="79"/>
      <c r="E116" s="23"/>
      <c r="F116" s="23"/>
      <c r="G116" s="79" t="s">
        <v>31</v>
      </c>
      <c r="H116" s="23"/>
      <c r="I116" s="978"/>
      <c r="J116" s="979"/>
      <c r="K116" s="979"/>
      <c r="L116" s="979"/>
      <c r="M116" s="979"/>
      <c r="N116" s="980"/>
      <c r="O116" s="978"/>
      <c r="P116" s="979"/>
      <c r="Q116" s="979"/>
      <c r="R116" s="979"/>
      <c r="S116" s="979"/>
      <c r="T116" s="980"/>
      <c r="U116" s="23" t="s">
        <v>185</v>
      </c>
      <c r="V116" s="23"/>
      <c r="W116" s="23"/>
      <c r="X116" s="23"/>
      <c r="Y116" s="23"/>
      <c r="Z116" s="23" t="s">
        <v>186</v>
      </c>
      <c r="AA116" s="23"/>
      <c r="AB116" s="125"/>
      <c r="AC116" s="972"/>
      <c r="AD116" s="973"/>
      <c r="AE116" s="973"/>
      <c r="AF116" s="973"/>
      <c r="AG116" s="973"/>
      <c r="AH116" s="973"/>
      <c r="AI116" s="973"/>
      <c r="AJ116" s="973"/>
      <c r="AK116" s="973"/>
      <c r="AL116" s="973"/>
      <c r="AM116" s="973"/>
      <c r="AN116" s="973"/>
      <c r="AO116" s="973"/>
      <c r="AP116" s="973"/>
      <c r="AQ116" s="973"/>
      <c r="AR116" s="973"/>
      <c r="AS116" s="973"/>
      <c r="AT116" s="973"/>
      <c r="AU116" s="973"/>
      <c r="AV116" s="973"/>
      <c r="AW116" s="973"/>
      <c r="AX116" s="973"/>
      <c r="AY116" s="973"/>
      <c r="AZ116" s="973"/>
      <c r="BA116" s="973"/>
      <c r="BB116" s="973"/>
      <c r="BC116" s="973"/>
      <c r="BD116" s="973"/>
      <c r="BE116" s="973"/>
      <c r="BF116" s="973"/>
      <c r="BG116" s="973"/>
      <c r="BH116" s="974"/>
      <c r="CE116" s="64"/>
      <c r="CF116" s="64"/>
      <c r="CG116" s="64"/>
      <c r="CH116" s="64"/>
      <c r="CI116" s="64"/>
      <c r="CJ116" s="64"/>
      <c r="CK116" s="64"/>
      <c r="CL116" s="64"/>
    </row>
    <row r="117" spans="2:90" s="55" customFormat="1" ht="15" customHeight="1" thickBot="1">
      <c r="B117" s="23"/>
      <c r="C117" s="23"/>
      <c r="D117" s="23"/>
      <c r="E117" s="23"/>
      <c r="F117" s="23"/>
      <c r="G117" s="23"/>
      <c r="H117" s="23"/>
      <c r="I117" s="23"/>
      <c r="J117" s="23"/>
      <c r="K117" s="23"/>
      <c r="L117" s="23"/>
      <c r="M117" s="23"/>
      <c r="N117" s="23"/>
      <c r="O117" s="23"/>
      <c r="P117" s="23"/>
      <c r="Q117" s="23"/>
      <c r="R117" s="23"/>
      <c r="S117" s="23"/>
      <c r="T117" s="83"/>
      <c r="U117" s="23"/>
      <c r="V117" s="23"/>
      <c r="W117" s="23"/>
      <c r="X117" s="23"/>
      <c r="Y117" s="23"/>
      <c r="Z117" s="23"/>
      <c r="AA117" s="23"/>
      <c r="AB117" s="23"/>
      <c r="AC117" s="23"/>
      <c r="AD117" s="23"/>
      <c r="AE117" s="23"/>
      <c r="AF117" s="23"/>
      <c r="AG117" s="8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102" t="s">
        <v>35</v>
      </c>
      <c r="CE117" s="648"/>
      <c r="CF117" s="648"/>
      <c r="CG117" s="648"/>
      <c r="CH117" s="648"/>
      <c r="CI117" s="648"/>
      <c r="CJ117" s="648"/>
      <c r="CK117" s="648"/>
      <c r="CL117" s="648"/>
    </row>
    <row r="118" spans="2:90" s="12" customFormat="1" ht="15" customHeight="1" thickBot="1">
      <c r="B118" s="24" t="s">
        <v>97</v>
      </c>
      <c r="C118" s="32"/>
      <c r="D118" s="27"/>
      <c r="E118" s="27"/>
      <c r="F118" s="27"/>
      <c r="G118" s="27"/>
      <c r="H118" s="27"/>
      <c r="I118" s="27"/>
      <c r="J118" s="27"/>
      <c r="K118" s="27"/>
      <c r="L118" s="27"/>
      <c r="M118" s="27"/>
      <c r="N118" s="27"/>
      <c r="O118" s="27"/>
      <c r="P118" s="27"/>
      <c r="Q118" s="27"/>
      <c r="R118" s="27"/>
      <c r="S118" s="27"/>
      <c r="T118" s="27"/>
      <c r="U118" s="27"/>
      <c r="V118" s="27"/>
      <c r="W118" s="27"/>
      <c r="X118" s="27"/>
      <c r="Y118" s="33"/>
      <c r="Z118" s="33"/>
      <c r="AA118" s="27"/>
      <c r="AB118" s="27"/>
      <c r="AC118" s="33"/>
      <c r="AD118" s="33"/>
      <c r="AE118" s="33"/>
      <c r="AF118" s="33"/>
      <c r="AG118" s="33"/>
      <c r="AH118" s="27"/>
      <c r="AI118" s="28"/>
      <c r="AJ118" s="28"/>
      <c r="AK118" s="28"/>
      <c r="AL118" s="28"/>
      <c r="AM118" s="28"/>
      <c r="AN118" s="29"/>
      <c r="AO118" s="29"/>
      <c r="AP118" s="29"/>
      <c r="AQ118" s="29"/>
      <c r="AR118" s="32"/>
      <c r="AS118" s="30"/>
      <c r="AT118" s="30"/>
      <c r="AU118" s="30"/>
      <c r="AV118" s="30"/>
      <c r="AW118" s="30"/>
      <c r="AX118" s="30"/>
      <c r="AY118" s="30"/>
      <c r="AZ118" s="30"/>
      <c r="BA118" s="30"/>
      <c r="BB118" s="30"/>
      <c r="BC118" s="30"/>
      <c r="BD118" s="30"/>
      <c r="BE118" s="30"/>
      <c r="BF118" s="30"/>
      <c r="BG118" s="30"/>
      <c r="BH118" s="31"/>
      <c r="CE118" s="64"/>
      <c r="CF118" s="64"/>
      <c r="CG118" s="64"/>
      <c r="CH118" s="64"/>
      <c r="CI118" s="64"/>
      <c r="CJ118" s="64"/>
      <c r="CK118" s="64"/>
      <c r="CL118" s="64"/>
    </row>
    <row r="119" spans="2:90" s="12" customFormat="1" ht="15" customHeight="1">
      <c r="B119" s="22" t="s">
        <v>170</v>
      </c>
      <c r="C119" s="15"/>
      <c r="D119" s="15"/>
      <c r="E119" s="15"/>
      <c r="F119" s="15"/>
      <c r="G119" s="15"/>
      <c r="H119" s="15"/>
      <c r="I119" s="19" t="s">
        <v>72</v>
      </c>
      <c r="J119" s="19"/>
      <c r="K119" s="19"/>
      <c r="L119" s="19"/>
      <c r="M119" s="1067" t="s">
        <v>1281</v>
      </c>
      <c r="N119" s="1067"/>
      <c r="O119" s="1067"/>
      <c r="P119" s="1067"/>
      <c r="Q119" s="1067"/>
      <c r="R119" s="1067"/>
      <c r="S119" s="1067"/>
      <c r="T119" s="1067"/>
      <c r="U119" s="1067"/>
      <c r="V119" s="1067"/>
      <c r="W119" s="1067"/>
      <c r="X119" s="1067"/>
      <c r="Y119" s="1067"/>
      <c r="Z119" s="1067"/>
      <c r="AA119" s="1067"/>
      <c r="AB119" s="1067"/>
      <c r="AC119" s="1067"/>
      <c r="AD119" s="1067"/>
      <c r="AE119" s="1067"/>
      <c r="AF119" s="1067"/>
      <c r="AG119" s="1067"/>
      <c r="AH119" s="1067"/>
      <c r="AI119" s="1067"/>
      <c r="AJ119" s="1067"/>
      <c r="AK119" s="19"/>
      <c r="AL119" s="19" t="s">
        <v>67</v>
      </c>
      <c r="AM119" s="19"/>
      <c r="AN119" s="19"/>
      <c r="AO119" s="19"/>
      <c r="AP119" s="19"/>
      <c r="AQ119" s="19"/>
      <c r="AR119" s="19"/>
      <c r="AS119" s="19"/>
      <c r="AT119" s="530"/>
      <c r="AU119" s="19"/>
      <c r="AV119" s="530"/>
      <c r="AW119" s="19"/>
      <c r="AX119" s="19"/>
      <c r="AY119" s="1172" t="s">
        <v>1318</v>
      </c>
      <c r="AZ119" s="1172"/>
      <c r="BA119" s="1172"/>
      <c r="BB119" s="1172"/>
      <c r="BC119" s="1172"/>
      <c r="BD119" s="1172"/>
      <c r="BE119" s="1172"/>
      <c r="BF119" s="1172"/>
      <c r="BG119" s="19"/>
      <c r="BH119" s="93"/>
      <c r="CE119" s="64"/>
      <c r="CF119" s="64"/>
      <c r="CG119" s="64"/>
      <c r="CH119" s="64"/>
      <c r="CI119" s="64"/>
      <c r="CJ119" s="64"/>
      <c r="CK119" s="64"/>
      <c r="CL119" s="64"/>
    </row>
    <row r="120" spans="2:90" s="12" customFormat="1" ht="10.5" customHeight="1">
      <c r="B120" s="51"/>
      <c r="C120" s="16" t="s">
        <v>65</v>
      </c>
      <c r="D120" s="16"/>
      <c r="E120" s="16"/>
      <c r="F120" s="16"/>
      <c r="G120" s="16"/>
      <c r="H120" s="16"/>
      <c r="I120" s="16" t="s">
        <v>74</v>
      </c>
      <c r="J120" s="16"/>
      <c r="K120" s="16"/>
      <c r="L120" s="16"/>
      <c r="M120" s="1024"/>
      <c r="N120" s="1024"/>
      <c r="O120" s="1024"/>
      <c r="P120" s="1024"/>
      <c r="Q120" s="1024"/>
      <c r="R120" s="1024"/>
      <c r="S120" s="1024"/>
      <c r="T120" s="1024"/>
      <c r="U120" s="1024"/>
      <c r="V120" s="1024"/>
      <c r="W120" s="1024"/>
      <c r="X120" s="1024"/>
      <c r="Y120" s="1024"/>
      <c r="Z120" s="1024"/>
      <c r="AA120" s="1024"/>
      <c r="AB120" s="1024"/>
      <c r="AC120" s="1024"/>
      <c r="AD120" s="1024"/>
      <c r="AE120" s="1024"/>
      <c r="AF120" s="1024"/>
      <c r="AG120" s="1024"/>
      <c r="AH120" s="1024"/>
      <c r="AI120" s="1024"/>
      <c r="AJ120" s="1024"/>
      <c r="AK120" s="16"/>
      <c r="AL120" s="16" t="s">
        <v>73</v>
      </c>
      <c r="AM120" s="16"/>
      <c r="AN120" s="16"/>
      <c r="AO120" s="16"/>
      <c r="AP120" s="16"/>
      <c r="AQ120" s="16"/>
      <c r="AR120" s="16"/>
      <c r="AS120" s="16"/>
      <c r="AT120" s="16"/>
      <c r="AU120" s="16"/>
      <c r="AV120" s="16"/>
      <c r="AW120" s="16"/>
      <c r="AX120" s="16"/>
      <c r="AY120" s="1064"/>
      <c r="AZ120" s="1064"/>
      <c r="BA120" s="1064"/>
      <c r="BB120" s="1064"/>
      <c r="BC120" s="1064"/>
      <c r="BD120" s="1064"/>
      <c r="BE120" s="1064"/>
      <c r="BF120" s="1064"/>
      <c r="BG120" s="16"/>
      <c r="BH120" s="52"/>
      <c r="CE120" s="64"/>
      <c r="CF120" s="64"/>
      <c r="CG120" s="64"/>
      <c r="CH120" s="64"/>
      <c r="CI120" s="64"/>
      <c r="CJ120" s="64"/>
      <c r="CK120" s="64"/>
      <c r="CL120" s="64"/>
    </row>
    <row r="121" spans="2:90" s="12" customFormat="1" ht="15" customHeight="1">
      <c r="B121" s="22" t="s">
        <v>181</v>
      </c>
      <c r="C121" s="15"/>
      <c r="D121" s="15"/>
      <c r="E121" s="15"/>
      <c r="F121" s="15"/>
      <c r="G121" s="15"/>
      <c r="H121" s="15"/>
      <c r="I121" s="15"/>
      <c r="J121" s="1023" t="s">
        <v>1326</v>
      </c>
      <c r="K121" s="1023"/>
      <c r="L121" s="1023"/>
      <c r="M121" s="1023"/>
      <c r="N121" s="1023"/>
      <c r="O121" s="1023"/>
      <c r="P121" s="1023"/>
      <c r="Q121" s="1023"/>
      <c r="R121" s="1023"/>
      <c r="S121" s="1023"/>
      <c r="T121" s="1023"/>
      <c r="U121" s="1023"/>
      <c r="V121" s="1023"/>
      <c r="W121" s="1023"/>
      <c r="X121" s="1023"/>
      <c r="Y121" s="1023"/>
      <c r="Z121" s="1023"/>
      <c r="AA121" s="1023"/>
      <c r="AB121" s="1023"/>
      <c r="AC121" s="1023"/>
      <c r="AD121" s="1023"/>
      <c r="AE121" s="1023"/>
      <c r="AF121" s="1023"/>
      <c r="AG121" s="1023"/>
      <c r="AH121" s="1023"/>
      <c r="AI121" s="1023"/>
      <c r="AJ121" s="1023"/>
      <c r="AK121" s="1023"/>
      <c r="AL121" s="1023"/>
      <c r="AM121" s="1023"/>
      <c r="AN121" s="1023"/>
      <c r="AO121" s="15"/>
      <c r="AP121" s="15" t="s">
        <v>111</v>
      </c>
      <c r="AQ121" s="15"/>
      <c r="AR121" s="1088" t="s">
        <v>1319</v>
      </c>
      <c r="AS121" s="1089"/>
      <c r="AT121" s="1089"/>
      <c r="AU121" s="1089"/>
      <c r="AV121" s="1089"/>
      <c r="AW121" s="1089"/>
      <c r="AX121" s="1089"/>
      <c r="AY121" s="1089"/>
      <c r="AZ121" s="1089"/>
      <c r="BA121" s="1089"/>
      <c r="BB121" s="1089"/>
      <c r="BC121" s="1089"/>
      <c r="BD121" s="1089"/>
      <c r="BE121" s="1089"/>
      <c r="BF121" s="1089"/>
      <c r="BG121" s="1089"/>
      <c r="BH121" s="1090"/>
      <c r="CE121" s="64"/>
      <c r="CF121" s="64"/>
      <c r="CG121" s="64"/>
      <c r="CH121" s="64"/>
      <c r="CI121" s="64"/>
      <c r="CJ121" s="64"/>
      <c r="CK121" s="64"/>
      <c r="CL121" s="64"/>
    </row>
    <row r="122" spans="2:90" s="12" customFormat="1" ht="10.5" customHeight="1">
      <c r="B122" s="51"/>
      <c r="C122" s="16" t="s">
        <v>112</v>
      </c>
      <c r="D122" s="16"/>
      <c r="E122" s="16"/>
      <c r="F122" s="16"/>
      <c r="G122" s="16"/>
      <c r="H122" s="16"/>
      <c r="I122" s="16"/>
      <c r="J122" s="1024"/>
      <c r="K122" s="1024"/>
      <c r="L122" s="1024"/>
      <c r="M122" s="1024"/>
      <c r="N122" s="1024"/>
      <c r="O122" s="1024"/>
      <c r="P122" s="1024"/>
      <c r="Q122" s="1024"/>
      <c r="R122" s="1024"/>
      <c r="S122" s="1024"/>
      <c r="T122" s="1024"/>
      <c r="U122" s="1024"/>
      <c r="V122" s="1024"/>
      <c r="W122" s="1024"/>
      <c r="X122" s="1024"/>
      <c r="Y122" s="1024"/>
      <c r="Z122" s="1024"/>
      <c r="AA122" s="1024"/>
      <c r="AB122" s="1024"/>
      <c r="AC122" s="1024"/>
      <c r="AD122" s="1024"/>
      <c r="AE122" s="1024"/>
      <c r="AF122" s="1024"/>
      <c r="AG122" s="1024"/>
      <c r="AH122" s="1024"/>
      <c r="AI122" s="1024"/>
      <c r="AJ122" s="1024"/>
      <c r="AK122" s="1024"/>
      <c r="AL122" s="1024"/>
      <c r="AM122" s="1024"/>
      <c r="AN122" s="1024"/>
      <c r="AO122" s="16"/>
      <c r="AP122" s="16"/>
      <c r="AQ122" s="16"/>
      <c r="AR122" s="1091"/>
      <c r="AS122" s="1091"/>
      <c r="AT122" s="1091"/>
      <c r="AU122" s="1091"/>
      <c r="AV122" s="1091"/>
      <c r="AW122" s="1091"/>
      <c r="AX122" s="1091"/>
      <c r="AY122" s="1091"/>
      <c r="AZ122" s="1091"/>
      <c r="BA122" s="1091"/>
      <c r="BB122" s="1091"/>
      <c r="BC122" s="1091"/>
      <c r="BD122" s="1091"/>
      <c r="BE122" s="1091"/>
      <c r="BF122" s="1091"/>
      <c r="BG122" s="1091"/>
      <c r="BH122" s="1092"/>
      <c r="CE122" s="64"/>
      <c r="CF122" s="64"/>
      <c r="CG122" s="64"/>
      <c r="CH122" s="64"/>
      <c r="CI122" s="64"/>
      <c r="CJ122" s="64"/>
      <c r="CK122" s="64"/>
      <c r="CL122" s="64"/>
    </row>
    <row r="123" spans="2:90" s="12" customFormat="1" ht="15" customHeight="1">
      <c r="B123" s="22" t="s">
        <v>182</v>
      </c>
      <c r="C123" s="15"/>
      <c r="D123" s="15"/>
      <c r="E123" s="15"/>
      <c r="F123" s="15"/>
      <c r="G123" s="15"/>
      <c r="H123" s="15"/>
      <c r="I123" s="15"/>
      <c r="J123" s="15"/>
      <c r="K123" s="1103" t="s">
        <v>1341</v>
      </c>
      <c r="L123" s="1103"/>
      <c r="M123" s="1103"/>
      <c r="N123" s="1103"/>
      <c r="O123" s="1103"/>
      <c r="P123" s="1103"/>
      <c r="Q123" s="1103"/>
      <c r="R123" s="1103"/>
      <c r="S123" s="1103"/>
      <c r="T123" s="1103"/>
      <c r="U123" s="1103"/>
      <c r="V123" s="1103"/>
      <c r="W123" s="1103"/>
      <c r="X123" s="1103"/>
      <c r="Y123" s="1103"/>
      <c r="Z123" s="1103"/>
      <c r="AA123" s="1103"/>
      <c r="AB123" s="1103"/>
      <c r="AC123" s="1103"/>
      <c r="AD123" s="1103"/>
      <c r="AE123" s="1103"/>
      <c r="AF123" s="1103"/>
      <c r="AG123" s="1103"/>
      <c r="AH123" s="1103"/>
      <c r="AI123" s="1103"/>
      <c r="AJ123" s="1103"/>
      <c r="AK123" s="1103"/>
      <c r="AL123" s="1103"/>
      <c r="AM123" s="1103"/>
      <c r="AN123" s="1103"/>
      <c r="AO123" s="18"/>
      <c r="AP123" s="18" t="s">
        <v>104</v>
      </c>
      <c r="AQ123" s="15"/>
      <c r="AR123" s="1180" t="s">
        <v>1340</v>
      </c>
      <c r="AS123" s="1180"/>
      <c r="AT123" s="1180"/>
      <c r="AU123" s="1180"/>
      <c r="AV123" s="1180"/>
      <c r="AW123" s="1180"/>
      <c r="AX123" s="1180"/>
      <c r="AY123" s="1180"/>
      <c r="AZ123" s="1180"/>
      <c r="BA123" s="1180"/>
      <c r="BB123" s="1180"/>
      <c r="BC123" s="1180"/>
      <c r="BD123" s="1180"/>
      <c r="BE123" s="1180"/>
      <c r="BF123" s="1180"/>
      <c r="BG123" s="1180"/>
      <c r="BH123" s="1181"/>
      <c r="CE123" s="64"/>
      <c r="CF123" s="64"/>
      <c r="CG123" s="64"/>
      <c r="CH123" s="64"/>
      <c r="CI123" s="64"/>
      <c r="CJ123" s="64"/>
      <c r="CK123" s="64"/>
      <c r="CL123" s="64"/>
    </row>
    <row r="124" spans="2:90" s="12" customFormat="1" ht="10.5" customHeight="1">
      <c r="B124" s="51"/>
      <c r="C124" s="16" t="s">
        <v>113</v>
      </c>
      <c r="D124" s="16"/>
      <c r="E124" s="16"/>
      <c r="F124" s="16"/>
      <c r="G124" s="16"/>
      <c r="H124" s="16"/>
      <c r="I124" s="16"/>
      <c r="J124" s="16"/>
      <c r="K124" s="1024"/>
      <c r="L124" s="1024"/>
      <c r="M124" s="1024"/>
      <c r="N124" s="1024"/>
      <c r="O124" s="1024"/>
      <c r="P124" s="1024"/>
      <c r="Q124" s="1024"/>
      <c r="R124" s="1024"/>
      <c r="S124" s="1024"/>
      <c r="T124" s="1024"/>
      <c r="U124" s="1024"/>
      <c r="V124" s="1024"/>
      <c r="W124" s="1024"/>
      <c r="X124" s="1024"/>
      <c r="Y124" s="1024"/>
      <c r="Z124" s="1024"/>
      <c r="AA124" s="1024"/>
      <c r="AB124" s="1024"/>
      <c r="AC124" s="1024"/>
      <c r="AD124" s="1024"/>
      <c r="AE124" s="1024"/>
      <c r="AF124" s="1024"/>
      <c r="AG124" s="1024"/>
      <c r="AH124" s="1024"/>
      <c r="AI124" s="1024"/>
      <c r="AJ124" s="1024"/>
      <c r="AK124" s="1024"/>
      <c r="AL124" s="1024"/>
      <c r="AM124" s="1024"/>
      <c r="AN124" s="1024"/>
      <c r="AO124" s="16"/>
      <c r="AP124" s="16"/>
      <c r="AQ124" s="16"/>
      <c r="AR124" s="1091"/>
      <c r="AS124" s="1091"/>
      <c r="AT124" s="1091"/>
      <c r="AU124" s="1091"/>
      <c r="AV124" s="1091"/>
      <c r="AW124" s="1091"/>
      <c r="AX124" s="1091"/>
      <c r="AY124" s="1091"/>
      <c r="AZ124" s="1091"/>
      <c r="BA124" s="1091"/>
      <c r="BB124" s="1091"/>
      <c r="BC124" s="1091"/>
      <c r="BD124" s="1091"/>
      <c r="BE124" s="1091"/>
      <c r="BF124" s="1091"/>
      <c r="BG124" s="1091"/>
      <c r="BH124" s="1092"/>
      <c r="CE124" s="64"/>
      <c r="CF124" s="64"/>
      <c r="CG124" s="64"/>
      <c r="CH124" s="64"/>
      <c r="CI124" s="64"/>
      <c r="CJ124" s="64"/>
      <c r="CK124" s="64"/>
      <c r="CL124" s="64"/>
    </row>
    <row r="125" spans="2:90" s="12" customFormat="1" ht="15" customHeight="1">
      <c r="B125" s="20" t="s">
        <v>28</v>
      </c>
      <c r="C125" s="14"/>
      <c r="D125" s="14"/>
      <c r="E125" s="14"/>
      <c r="F125" s="14"/>
      <c r="G125" s="14"/>
      <c r="H125" s="14"/>
      <c r="I125" s="14"/>
      <c r="J125" s="14"/>
      <c r="K125" s="14"/>
      <c r="L125" s="14"/>
      <c r="M125" s="14"/>
      <c r="N125" s="14"/>
      <c r="O125" s="14"/>
      <c r="P125" s="14"/>
      <c r="Q125" s="14"/>
      <c r="R125" s="14"/>
      <c r="S125" s="14"/>
      <c r="T125" s="14"/>
      <c r="U125" s="14"/>
      <c r="V125" s="14"/>
      <c r="W125" s="14"/>
      <c r="X125" s="14"/>
      <c r="Y125" s="14" t="s">
        <v>178</v>
      </c>
      <c r="Z125" s="41"/>
      <c r="AA125" s="14"/>
      <c r="AB125" s="14"/>
      <c r="AC125" s="41"/>
      <c r="AD125" s="41"/>
      <c r="AE125" s="41"/>
      <c r="AF125" s="41"/>
      <c r="AG125" s="41"/>
      <c r="AH125" s="14"/>
      <c r="AI125" s="531"/>
      <c r="AJ125" s="531"/>
      <c r="AK125" s="531"/>
      <c r="AL125" s="531"/>
      <c r="AM125" s="531"/>
      <c r="AN125" s="14"/>
      <c r="AO125" s="14"/>
      <c r="AP125" s="14"/>
      <c r="AQ125" s="14"/>
      <c r="AR125" s="14"/>
      <c r="AS125" s="14"/>
      <c r="AT125" s="14"/>
      <c r="AU125" s="14"/>
      <c r="AV125" s="14"/>
      <c r="AW125" s="14"/>
      <c r="AX125" s="14"/>
      <c r="AY125" s="18"/>
      <c r="AZ125" s="18"/>
      <c r="BA125" s="18"/>
      <c r="BB125" s="18"/>
      <c r="BC125" s="18"/>
      <c r="BD125" s="18"/>
      <c r="BE125" s="18"/>
      <c r="BF125" s="18"/>
      <c r="BG125" s="14"/>
      <c r="BH125" s="53"/>
      <c r="CE125" s="64"/>
      <c r="CF125" s="64"/>
      <c r="CG125" s="64"/>
      <c r="CH125" s="64"/>
      <c r="CI125" s="64"/>
      <c r="CJ125" s="64"/>
      <c r="CK125" s="64"/>
      <c r="CL125" s="64"/>
    </row>
    <row r="126" spans="2:90" s="12" customFormat="1" ht="15" customHeight="1">
      <c r="B126" s="22" t="s">
        <v>68</v>
      </c>
      <c r="C126" s="15"/>
      <c r="D126" s="15"/>
      <c r="E126" s="15"/>
      <c r="F126" s="15"/>
      <c r="G126" s="15"/>
      <c r="H126" s="15"/>
      <c r="I126" s="15" t="s">
        <v>72</v>
      </c>
      <c r="J126" s="15"/>
      <c r="K126" s="15"/>
      <c r="L126" s="15"/>
      <c r="M126" s="1023"/>
      <c r="N126" s="1023"/>
      <c r="O126" s="1023"/>
      <c r="P126" s="1023"/>
      <c r="Q126" s="1023"/>
      <c r="R126" s="1023"/>
      <c r="S126" s="1023"/>
      <c r="T126" s="1023"/>
      <c r="U126" s="1023"/>
      <c r="V126" s="1023"/>
      <c r="W126" s="1023"/>
      <c r="X126" s="1023"/>
      <c r="Y126" s="1023"/>
      <c r="Z126" s="1023"/>
      <c r="AA126" s="1023"/>
      <c r="AB126" s="1023"/>
      <c r="AC126" s="1023"/>
      <c r="AD126" s="1023"/>
      <c r="AE126" s="1023"/>
      <c r="AF126" s="1023"/>
      <c r="AG126" s="1023"/>
      <c r="AH126" s="1023"/>
      <c r="AI126" s="1023"/>
      <c r="AJ126" s="1023"/>
      <c r="AK126" s="15"/>
      <c r="AL126" s="15" t="s">
        <v>67</v>
      </c>
      <c r="AM126" s="15"/>
      <c r="AN126" s="15"/>
      <c r="AO126" s="15"/>
      <c r="AP126" s="15"/>
      <c r="AQ126" s="15"/>
      <c r="AR126" s="15"/>
      <c r="AS126" s="15"/>
      <c r="AT126" s="80"/>
      <c r="AU126" s="15"/>
      <c r="AV126" s="80"/>
      <c r="AW126" s="15"/>
      <c r="AX126" s="15"/>
      <c r="AY126" s="1063"/>
      <c r="AZ126" s="1063"/>
      <c r="BA126" s="1063"/>
      <c r="BB126" s="1063"/>
      <c r="BC126" s="1063"/>
      <c r="BD126" s="1063"/>
      <c r="BE126" s="1063"/>
      <c r="BF126" s="1063"/>
      <c r="BG126" s="15"/>
      <c r="BH126" s="34"/>
      <c r="CE126" s="64"/>
      <c r="CF126" s="64"/>
      <c r="CG126" s="64"/>
      <c r="CH126" s="64"/>
      <c r="CI126" s="64"/>
      <c r="CJ126" s="64"/>
      <c r="CK126" s="64"/>
      <c r="CL126" s="64"/>
    </row>
    <row r="127" spans="2:90" s="12" customFormat="1" ht="10.5" customHeight="1">
      <c r="B127" s="51"/>
      <c r="C127" s="16" t="s">
        <v>65</v>
      </c>
      <c r="D127" s="16"/>
      <c r="E127" s="16"/>
      <c r="F127" s="16"/>
      <c r="G127" s="16"/>
      <c r="H127" s="16"/>
      <c r="I127" s="16" t="s">
        <v>74</v>
      </c>
      <c r="J127" s="16"/>
      <c r="K127" s="16"/>
      <c r="L127" s="16"/>
      <c r="M127" s="1024"/>
      <c r="N127" s="1024"/>
      <c r="O127" s="1024"/>
      <c r="P127" s="1024"/>
      <c r="Q127" s="1024"/>
      <c r="R127" s="1024"/>
      <c r="S127" s="1024"/>
      <c r="T127" s="1024"/>
      <c r="U127" s="1024"/>
      <c r="V127" s="1024"/>
      <c r="W127" s="1024"/>
      <c r="X127" s="1024"/>
      <c r="Y127" s="1024"/>
      <c r="Z127" s="1024"/>
      <c r="AA127" s="1024"/>
      <c r="AB127" s="1024"/>
      <c r="AC127" s="1024"/>
      <c r="AD127" s="1024"/>
      <c r="AE127" s="1024"/>
      <c r="AF127" s="1024"/>
      <c r="AG127" s="1024"/>
      <c r="AH127" s="1024"/>
      <c r="AI127" s="1024"/>
      <c r="AJ127" s="1024"/>
      <c r="AK127" s="16"/>
      <c r="AL127" s="16" t="s">
        <v>73</v>
      </c>
      <c r="AM127" s="16"/>
      <c r="AN127" s="16"/>
      <c r="AO127" s="16"/>
      <c r="AP127" s="16"/>
      <c r="AQ127" s="16"/>
      <c r="AR127" s="16"/>
      <c r="AS127" s="16"/>
      <c r="AT127" s="16"/>
      <c r="AU127" s="16"/>
      <c r="AV127" s="16"/>
      <c r="AW127" s="16"/>
      <c r="AX127" s="16"/>
      <c r="AY127" s="1064"/>
      <c r="AZ127" s="1064"/>
      <c r="BA127" s="1064"/>
      <c r="BB127" s="1064"/>
      <c r="BC127" s="1064"/>
      <c r="BD127" s="1064"/>
      <c r="BE127" s="1064"/>
      <c r="BF127" s="1064"/>
      <c r="BG127" s="16"/>
      <c r="BH127" s="52"/>
      <c r="CE127" s="64"/>
      <c r="CF127" s="64"/>
      <c r="CG127" s="64"/>
      <c r="CH127" s="64"/>
      <c r="CI127" s="64"/>
      <c r="CJ127" s="64"/>
      <c r="CK127" s="64"/>
      <c r="CL127" s="64"/>
    </row>
    <row r="128" spans="2:90" s="12" customFormat="1" ht="15" customHeight="1">
      <c r="B128" s="22" t="s">
        <v>181</v>
      </c>
      <c r="C128" s="15"/>
      <c r="D128" s="15"/>
      <c r="E128" s="15"/>
      <c r="F128" s="15"/>
      <c r="G128" s="15"/>
      <c r="H128" s="15"/>
      <c r="I128" s="15"/>
      <c r="J128" s="1103"/>
      <c r="K128" s="1103"/>
      <c r="L128" s="1103"/>
      <c r="M128" s="1103"/>
      <c r="N128" s="1103"/>
      <c r="O128" s="1103"/>
      <c r="P128" s="1103"/>
      <c r="Q128" s="1103"/>
      <c r="R128" s="1103"/>
      <c r="S128" s="1103"/>
      <c r="T128" s="1103"/>
      <c r="U128" s="1103"/>
      <c r="V128" s="1103"/>
      <c r="W128" s="1103"/>
      <c r="X128" s="1103"/>
      <c r="Y128" s="1103"/>
      <c r="Z128" s="1103"/>
      <c r="AA128" s="1103"/>
      <c r="AB128" s="1103"/>
      <c r="AC128" s="1103"/>
      <c r="AD128" s="1103"/>
      <c r="AE128" s="1103"/>
      <c r="AF128" s="1103"/>
      <c r="AG128" s="1103"/>
      <c r="AH128" s="1103"/>
      <c r="AI128" s="1103"/>
      <c r="AJ128" s="1103"/>
      <c r="AK128" s="1103"/>
      <c r="AL128" s="1103"/>
      <c r="AM128" s="1103"/>
      <c r="AN128" s="1103"/>
      <c r="AO128" s="15"/>
      <c r="AP128" s="15" t="s">
        <v>111</v>
      </c>
      <c r="AQ128" s="15"/>
      <c r="AR128" s="1103"/>
      <c r="AS128" s="1103"/>
      <c r="AT128" s="1103"/>
      <c r="AU128" s="1103"/>
      <c r="AV128" s="1103"/>
      <c r="AW128" s="1103"/>
      <c r="AX128" s="1103"/>
      <c r="AY128" s="1103"/>
      <c r="AZ128" s="1103"/>
      <c r="BA128" s="1103"/>
      <c r="BB128" s="1103"/>
      <c r="BC128" s="1103"/>
      <c r="BD128" s="1103"/>
      <c r="BE128" s="1103"/>
      <c r="BF128" s="1103"/>
      <c r="BG128" s="1103"/>
      <c r="BH128" s="1170"/>
      <c r="CE128" s="64"/>
      <c r="CF128" s="64"/>
      <c r="CG128" s="64"/>
      <c r="CH128" s="64"/>
      <c r="CI128" s="64"/>
      <c r="CJ128" s="64"/>
      <c r="CK128" s="64"/>
      <c r="CL128" s="64"/>
    </row>
    <row r="129" spans="2:90" s="12" customFormat="1" ht="15" customHeight="1">
      <c r="B129" s="51"/>
      <c r="C129" s="16" t="s">
        <v>112</v>
      </c>
      <c r="D129" s="16"/>
      <c r="E129" s="16"/>
      <c r="F129" s="16"/>
      <c r="G129" s="16"/>
      <c r="H129" s="16"/>
      <c r="I129" s="16"/>
      <c r="J129" s="1024"/>
      <c r="K129" s="1024"/>
      <c r="L129" s="1024"/>
      <c r="M129" s="1024"/>
      <c r="N129" s="1024"/>
      <c r="O129" s="1024"/>
      <c r="P129" s="1024"/>
      <c r="Q129" s="1024"/>
      <c r="R129" s="1024"/>
      <c r="S129" s="1024"/>
      <c r="T129" s="1024"/>
      <c r="U129" s="1024"/>
      <c r="V129" s="1024"/>
      <c r="W129" s="1024"/>
      <c r="X129" s="1024"/>
      <c r="Y129" s="1024"/>
      <c r="Z129" s="1024"/>
      <c r="AA129" s="1024"/>
      <c r="AB129" s="1024"/>
      <c r="AC129" s="1024"/>
      <c r="AD129" s="1024"/>
      <c r="AE129" s="1024"/>
      <c r="AF129" s="1024"/>
      <c r="AG129" s="1024"/>
      <c r="AH129" s="1024"/>
      <c r="AI129" s="1024"/>
      <c r="AJ129" s="1024"/>
      <c r="AK129" s="1024"/>
      <c r="AL129" s="1024"/>
      <c r="AM129" s="1024"/>
      <c r="AN129" s="1024"/>
      <c r="AO129" s="16"/>
      <c r="AP129" s="16"/>
      <c r="AQ129" s="16"/>
      <c r="AR129" s="1024"/>
      <c r="AS129" s="1024"/>
      <c r="AT129" s="1024"/>
      <c r="AU129" s="1024"/>
      <c r="AV129" s="1024"/>
      <c r="AW129" s="1024"/>
      <c r="AX129" s="1024"/>
      <c r="AY129" s="1024"/>
      <c r="AZ129" s="1024"/>
      <c r="BA129" s="1024"/>
      <c r="BB129" s="1024"/>
      <c r="BC129" s="1024"/>
      <c r="BD129" s="1024"/>
      <c r="BE129" s="1024"/>
      <c r="BF129" s="1024"/>
      <c r="BG129" s="1024"/>
      <c r="BH129" s="1171"/>
      <c r="CE129" s="64"/>
      <c r="CF129" s="64"/>
      <c r="CG129" s="64"/>
      <c r="CH129" s="64"/>
      <c r="CI129" s="64"/>
      <c r="CJ129" s="64"/>
      <c r="CK129" s="64"/>
      <c r="CL129" s="64"/>
    </row>
    <row r="130" spans="2:90" s="12" customFormat="1" ht="15" customHeight="1">
      <c r="B130" s="49" t="s">
        <v>182</v>
      </c>
      <c r="C130" s="18"/>
      <c r="D130" s="18"/>
      <c r="E130" s="18"/>
      <c r="F130" s="18"/>
      <c r="G130" s="18"/>
      <c r="H130" s="18"/>
      <c r="I130" s="18"/>
      <c r="J130" s="18"/>
      <c r="K130" s="1103"/>
      <c r="L130" s="1103"/>
      <c r="M130" s="1103"/>
      <c r="N130" s="1103"/>
      <c r="O130" s="1103"/>
      <c r="P130" s="1103"/>
      <c r="Q130" s="1103"/>
      <c r="R130" s="1103"/>
      <c r="S130" s="1103"/>
      <c r="T130" s="1103"/>
      <c r="U130" s="1103"/>
      <c r="V130" s="1103"/>
      <c r="W130" s="1103"/>
      <c r="X130" s="1103"/>
      <c r="Y130" s="1103"/>
      <c r="Z130" s="1103"/>
      <c r="AA130" s="1103"/>
      <c r="AB130" s="1103"/>
      <c r="AC130" s="1103"/>
      <c r="AD130" s="1103"/>
      <c r="AE130" s="1103"/>
      <c r="AF130" s="1103"/>
      <c r="AG130" s="1103"/>
      <c r="AH130" s="1103"/>
      <c r="AI130" s="1103"/>
      <c r="AJ130" s="1103"/>
      <c r="AK130" s="1103"/>
      <c r="AL130" s="1103"/>
      <c r="AM130" s="1103"/>
      <c r="AN130" s="1103"/>
      <c r="AO130" s="18"/>
      <c r="AP130" s="18" t="s">
        <v>104</v>
      </c>
      <c r="AQ130" s="18"/>
      <c r="AR130" s="1103"/>
      <c r="AS130" s="1103"/>
      <c r="AT130" s="1103"/>
      <c r="AU130" s="1103"/>
      <c r="AV130" s="1103"/>
      <c r="AW130" s="1103"/>
      <c r="AX130" s="1103"/>
      <c r="AY130" s="1103"/>
      <c r="AZ130" s="1103"/>
      <c r="BA130" s="1103"/>
      <c r="BB130" s="1103"/>
      <c r="BC130" s="1103"/>
      <c r="BD130" s="1103"/>
      <c r="BE130" s="1103"/>
      <c r="BF130" s="1103"/>
      <c r="BG130" s="1103"/>
      <c r="BH130" s="1170"/>
      <c r="CE130" s="64"/>
      <c r="CF130" s="64"/>
      <c r="CG130" s="64"/>
      <c r="CH130" s="64"/>
      <c r="CI130" s="64"/>
      <c r="CJ130" s="64"/>
      <c r="CK130" s="64"/>
      <c r="CL130" s="64"/>
    </row>
    <row r="131" spans="2:90" s="12" customFormat="1" ht="11.25" customHeight="1">
      <c r="B131" s="51"/>
      <c r="C131" s="16" t="s">
        <v>113</v>
      </c>
      <c r="D131" s="16"/>
      <c r="E131" s="16"/>
      <c r="F131" s="16"/>
      <c r="G131" s="16"/>
      <c r="H131" s="16"/>
      <c r="I131" s="16"/>
      <c r="J131" s="16"/>
      <c r="K131" s="1024"/>
      <c r="L131" s="1024"/>
      <c r="M131" s="1024"/>
      <c r="N131" s="1024"/>
      <c r="O131" s="1024"/>
      <c r="P131" s="1024"/>
      <c r="Q131" s="1024"/>
      <c r="R131" s="1024"/>
      <c r="S131" s="1024"/>
      <c r="T131" s="1024"/>
      <c r="U131" s="1024"/>
      <c r="V131" s="1024"/>
      <c r="W131" s="1024"/>
      <c r="X131" s="1024"/>
      <c r="Y131" s="1024"/>
      <c r="Z131" s="1024"/>
      <c r="AA131" s="1024"/>
      <c r="AB131" s="1024"/>
      <c r="AC131" s="1024"/>
      <c r="AD131" s="1024"/>
      <c r="AE131" s="1024"/>
      <c r="AF131" s="1024"/>
      <c r="AG131" s="1024"/>
      <c r="AH131" s="1024"/>
      <c r="AI131" s="1024"/>
      <c r="AJ131" s="1024"/>
      <c r="AK131" s="1024"/>
      <c r="AL131" s="1024"/>
      <c r="AM131" s="1024"/>
      <c r="AN131" s="1024"/>
      <c r="AO131" s="16"/>
      <c r="AP131" s="16"/>
      <c r="AQ131" s="16"/>
      <c r="AR131" s="1024"/>
      <c r="AS131" s="1024"/>
      <c r="AT131" s="1024"/>
      <c r="AU131" s="1024"/>
      <c r="AV131" s="1024"/>
      <c r="AW131" s="1024"/>
      <c r="AX131" s="1024"/>
      <c r="AY131" s="1024"/>
      <c r="AZ131" s="1024"/>
      <c r="BA131" s="1024"/>
      <c r="BB131" s="1024"/>
      <c r="BC131" s="1024"/>
      <c r="BD131" s="1024"/>
      <c r="BE131" s="1024"/>
      <c r="BF131" s="1024"/>
      <c r="BG131" s="1024"/>
      <c r="BH131" s="1171"/>
      <c r="CE131" s="64"/>
      <c r="CF131" s="64"/>
      <c r="CG131" s="64"/>
      <c r="CH131" s="64"/>
      <c r="CI131" s="64"/>
      <c r="CJ131" s="64"/>
      <c r="CK131" s="64"/>
      <c r="CL131" s="64"/>
    </row>
    <row r="132" spans="2:90" s="12" customFormat="1" ht="15" customHeight="1">
      <c r="B132" s="22" t="s">
        <v>93</v>
      </c>
      <c r="C132" s="15"/>
      <c r="D132" s="15"/>
      <c r="E132" s="15"/>
      <c r="F132" s="15"/>
      <c r="G132" s="15"/>
      <c r="H132" s="15"/>
      <c r="I132" s="15" t="s">
        <v>72</v>
      </c>
      <c r="J132" s="15"/>
      <c r="K132" s="15"/>
      <c r="L132" s="15"/>
      <c r="M132" s="1023"/>
      <c r="N132" s="1023"/>
      <c r="O132" s="1023"/>
      <c r="P132" s="1023"/>
      <c r="Q132" s="1023"/>
      <c r="R132" s="1023"/>
      <c r="S132" s="1023"/>
      <c r="T132" s="1023"/>
      <c r="U132" s="1023"/>
      <c r="V132" s="1023"/>
      <c r="W132" s="1023"/>
      <c r="X132" s="1023"/>
      <c r="Y132" s="1023"/>
      <c r="Z132" s="1023"/>
      <c r="AA132" s="1023"/>
      <c r="AB132" s="1023"/>
      <c r="AC132" s="1023"/>
      <c r="AD132" s="1023"/>
      <c r="AE132" s="1023"/>
      <c r="AF132" s="1023"/>
      <c r="AG132" s="1023"/>
      <c r="AH132" s="1023"/>
      <c r="AI132" s="1023"/>
      <c r="AJ132" s="1023"/>
      <c r="AK132" s="15"/>
      <c r="AL132" s="15" t="s">
        <v>67</v>
      </c>
      <c r="AM132" s="15"/>
      <c r="AN132" s="15"/>
      <c r="AO132" s="15"/>
      <c r="AP132" s="15"/>
      <c r="AQ132" s="15"/>
      <c r="AR132" s="15"/>
      <c r="AS132" s="15"/>
      <c r="AT132" s="80"/>
      <c r="AU132" s="15"/>
      <c r="AV132" s="80"/>
      <c r="AW132" s="15"/>
      <c r="AX132" s="15"/>
      <c r="AY132" s="1063"/>
      <c r="AZ132" s="1063"/>
      <c r="BA132" s="1063"/>
      <c r="BB132" s="1063"/>
      <c r="BC132" s="1063"/>
      <c r="BD132" s="1063"/>
      <c r="BE132" s="1063"/>
      <c r="BF132" s="1063"/>
      <c r="BG132" s="15"/>
      <c r="BH132" s="34"/>
      <c r="CE132" s="64"/>
      <c r="CF132" s="64"/>
      <c r="CG132" s="64"/>
      <c r="CH132" s="64"/>
      <c r="CI132" s="64"/>
      <c r="CJ132" s="64"/>
      <c r="CK132" s="64"/>
      <c r="CL132" s="64"/>
    </row>
    <row r="133" spans="2:90" s="12" customFormat="1" ht="10.5" customHeight="1">
      <c r="B133" s="51"/>
      <c r="C133" s="16" t="s">
        <v>65</v>
      </c>
      <c r="D133" s="16"/>
      <c r="E133" s="16"/>
      <c r="F133" s="16"/>
      <c r="G133" s="16"/>
      <c r="H133" s="16"/>
      <c r="I133" s="16" t="s">
        <v>74</v>
      </c>
      <c r="J133" s="16"/>
      <c r="K133" s="16"/>
      <c r="L133" s="16"/>
      <c r="M133" s="1024"/>
      <c r="N133" s="1024"/>
      <c r="O133" s="1024"/>
      <c r="P133" s="1024"/>
      <c r="Q133" s="1024"/>
      <c r="R133" s="1024"/>
      <c r="S133" s="1024"/>
      <c r="T133" s="1024"/>
      <c r="U133" s="1024"/>
      <c r="V133" s="1024"/>
      <c r="W133" s="1024"/>
      <c r="X133" s="1024"/>
      <c r="Y133" s="1024"/>
      <c r="Z133" s="1024"/>
      <c r="AA133" s="1024"/>
      <c r="AB133" s="1024"/>
      <c r="AC133" s="1024"/>
      <c r="AD133" s="1024"/>
      <c r="AE133" s="1024"/>
      <c r="AF133" s="1024"/>
      <c r="AG133" s="1024"/>
      <c r="AH133" s="1024"/>
      <c r="AI133" s="1024"/>
      <c r="AJ133" s="1024"/>
      <c r="AK133" s="16"/>
      <c r="AL133" s="16" t="s">
        <v>73</v>
      </c>
      <c r="AM133" s="16"/>
      <c r="AN133" s="16"/>
      <c r="AO133" s="16"/>
      <c r="AP133" s="16"/>
      <c r="AQ133" s="16"/>
      <c r="AR133" s="16"/>
      <c r="AS133" s="16"/>
      <c r="AT133" s="16"/>
      <c r="AU133" s="16"/>
      <c r="AV133" s="16"/>
      <c r="AW133" s="16"/>
      <c r="AX133" s="16"/>
      <c r="AY133" s="1064"/>
      <c r="AZ133" s="1064"/>
      <c r="BA133" s="1064"/>
      <c r="BB133" s="1064"/>
      <c r="BC133" s="1064"/>
      <c r="BD133" s="1064"/>
      <c r="BE133" s="1064"/>
      <c r="BF133" s="1064"/>
      <c r="BG133" s="16"/>
      <c r="BH133" s="52"/>
      <c r="CE133" s="64"/>
      <c r="CF133" s="64"/>
      <c r="CG133" s="64"/>
      <c r="CH133" s="64"/>
      <c r="CI133" s="64"/>
      <c r="CJ133" s="64"/>
      <c r="CK133" s="64"/>
      <c r="CL133" s="64"/>
    </row>
    <row r="134" spans="2:90" s="12" customFormat="1" ht="15" customHeight="1">
      <c r="B134" s="22" t="s">
        <v>181</v>
      </c>
      <c r="C134" s="15"/>
      <c r="D134" s="15"/>
      <c r="E134" s="15"/>
      <c r="F134" s="15"/>
      <c r="G134" s="15"/>
      <c r="H134" s="15"/>
      <c r="I134" s="15"/>
      <c r="J134" s="1103"/>
      <c r="K134" s="1103"/>
      <c r="L134" s="1103"/>
      <c r="M134" s="1103"/>
      <c r="N134" s="1103"/>
      <c r="O134" s="1103"/>
      <c r="P134" s="1103"/>
      <c r="Q134" s="1103"/>
      <c r="R134" s="1103"/>
      <c r="S134" s="1103"/>
      <c r="T134" s="1103"/>
      <c r="U134" s="1103"/>
      <c r="V134" s="1103"/>
      <c r="W134" s="1103"/>
      <c r="X134" s="1103"/>
      <c r="Y134" s="1103"/>
      <c r="Z134" s="1103"/>
      <c r="AA134" s="1103"/>
      <c r="AB134" s="1103"/>
      <c r="AC134" s="1103"/>
      <c r="AD134" s="1103"/>
      <c r="AE134" s="1103"/>
      <c r="AF134" s="1103"/>
      <c r="AG134" s="1103"/>
      <c r="AH134" s="1103"/>
      <c r="AI134" s="1103"/>
      <c r="AJ134" s="1103"/>
      <c r="AK134" s="1103"/>
      <c r="AL134" s="1103"/>
      <c r="AM134" s="1103"/>
      <c r="AN134" s="1103"/>
      <c r="AO134" s="15"/>
      <c r="AP134" s="15" t="s">
        <v>111</v>
      </c>
      <c r="AQ134" s="15"/>
      <c r="AR134" s="1103"/>
      <c r="AS134" s="1103"/>
      <c r="AT134" s="1103"/>
      <c r="AU134" s="1103"/>
      <c r="AV134" s="1103"/>
      <c r="AW134" s="1103"/>
      <c r="AX134" s="1103"/>
      <c r="AY134" s="1103"/>
      <c r="AZ134" s="1103"/>
      <c r="BA134" s="1103"/>
      <c r="BB134" s="1103"/>
      <c r="BC134" s="1103"/>
      <c r="BD134" s="1103"/>
      <c r="BE134" s="1103"/>
      <c r="BF134" s="1103"/>
      <c r="BG134" s="1103"/>
      <c r="BH134" s="1170"/>
      <c r="CE134" s="64"/>
      <c r="CF134" s="64"/>
      <c r="CG134" s="64"/>
      <c r="CH134" s="64"/>
      <c r="CI134" s="64"/>
      <c r="CJ134" s="64"/>
      <c r="CK134" s="64"/>
      <c r="CL134" s="64"/>
    </row>
    <row r="135" spans="2:90" s="12" customFormat="1" ht="10.5" customHeight="1">
      <c r="B135" s="51"/>
      <c r="C135" s="16" t="s">
        <v>112</v>
      </c>
      <c r="D135" s="16"/>
      <c r="E135" s="16"/>
      <c r="F135" s="16"/>
      <c r="G135" s="16"/>
      <c r="H135" s="16"/>
      <c r="I135" s="16"/>
      <c r="J135" s="1024"/>
      <c r="K135" s="1024"/>
      <c r="L135" s="1024"/>
      <c r="M135" s="1024"/>
      <c r="N135" s="1024"/>
      <c r="O135" s="1024"/>
      <c r="P135" s="1024"/>
      <c r="Q135" s="1024"/>
      <c r="R135" s="1024"/>
      <c r="S135" s="1024"/>
      <c r="T135" s="1024"/>
      <c r="U135" s="1024"/>
      <c r="V135" s="1024"/>
      <c r="W135" s="1024"/>
      <c r="X135" s="1024"/>
      <c r="Y135" s="1024"/>
      <c r="Z135" s="1024"/>
      <c r="AA135" s="1024"/>
      <c r="AB135" s="1024"/>
      <c r="AC135" s="1024"/>
      <c r="AD135" s="1024"/>
      <c r="AE135" s="1024"/>
      <c r="AF135" s="1024"/>
      <c r="AG135" s="1024"/>
      <c r="AH135" s="1024"/>
      <c r="AI135" s="1024"/>
      <c r="AJ135" s="1024"/>
      <c r="AK135" s="1024"/>
      <c r="AL135" s="1024"/>
      <c r="AM135" s="1024"/>
      <c r="AN135" s="1024"/>
      <c r="AO135" s="16"/>
      <c r="AP135" s="16"/>
      <c r="AQ135" s="16"/>
      <c r="AR135" s="1024"/>
      <c r="AS135" s="1024"/>
      <c r="AT135" s="1024"/>
      <c r="AU135" s="1024"/>
      <c r="AV135" s="1024"/>
      <c r="AW135" s="1024"/>
      <c r="AX135" s="1024"/>
      <c r="AY135" s="1024"/>
      <c r="AZ135" s="1024"/>
      <c r="BA135" s="1024"/>
      <c r="BB135" s="1024"/>
      <c r="BC135" s="1024"/>
      <c r="BD135" s="1024"/>
      <c r="BE135" s="1024"/>
      <c r="BF135" s="1024"/>
      <c r="BG135" s="1024"/>
      <c r="BH135" s="1171"/>
      <c r="CE135" s="64"/>
      <c r="CF135" s="64"/>
      <c r="CG135" s="64"/>
      <c r="CH135" s="64"/>
      <c r="CI135" s="64"/>
      <c r="CJ135" s="64"/>
      <c r="CK135" s="64"/>
      <c r="CL135" s="64"/>
    </row>
    <row r="136" spans="2:90" s="12" customFormat="1" ht="15" customHeight="1">
      <c r="B136" s="22" t="s">
        <v>182</v>
      </c>
      <c r="C136" s="15"/>
      <c r="D136" s="15"/>
      <c r="E136" s="15"/>
      <c r="F136" s="15"/>
      <c r="G136" s="15"/>
      <c r="H136" s="15"/>
      <c r="I136" s="15"/>
      <c r="J136" s="15"/>
      <c r="K136" s="1103"/>
      <c r="L136" s="1103"/>
      <c r="M136" s="1103"/>
      <c r="N136" s="1103"/>
      <c r="O136" s="1103"/>
      <c r="P136" s="1103"/>
      <c r="Q136" s="1103"/>
      <c r="R136" s="1103"/>
      <c r="S136" s="1103"/>
      <c r="T136" s="1103"/>
      <c r="U136" s="1103"/>
      <c r="V136" s="1103"/>
      <c r="W136" s="1103"/>
      <c r="X136" s="1103"/>
      <c r="Y136" s="1103"/>
      <c r="Z136" s="1103"/>
      <c r="AA136" s="1103"/>
      <c r="AB136" s="1103"/>
      <c r="AC136" s="1103"/>
      <c r="AD136" s="1103"/>
      <c r="AE136" s="1103"/>
      <c r="AF136" s="1103"/>
      <c r="AG136" s="1103"/>
      <c r="AH136" s="1103"/>
      <c r="AI136" s="1103"/>
      <c r="AJ136" s="1103"/>
      <c r="AK136" s="1103"/>
      <c r="AL136" s="1103"/>
      <c r="AM136" s="1103"/>
      <c r="AN136" s="1103"/>
      <c r="AO136" s="18"/>
      <c r="AP136" s="18" t="s">
        <v>104</v>
      </c>
      <c r="AQ136" s="15"/>
      <c r="AR136" s="1103"/>
      <c r="AS136" s="1103"/>
      <c r="AT136" s="1103"/>
      <c r="AU136" s="1103"/>
      <c r="AV136" s="1103"/>
      <c r="AW136" s="1103"/>
      <c r="AX136" s="1103"/>
      <c r="AY136" s="1103"/>
      <c r="AZ136" s="1103"/>
      <c r="BA136" s="1103"/>
      <c r="BB136" s="1103"/>
      <c r="BC136" s="1103"/>
      <c r="BD136" s="1103"/>
      <c r="BE136" s="1103"/>
      <c r="BF136" s="1103"/>
      <c r="BG136" s="1103"/>
      <c r="BH136" s="1170"/>
      <c r="CE136" s="64"/>
      <c r="CF136" s="64"/>
      <c r="CG136" s="64"/>
      <c r="CH136" s="64"/>
      <c r="CI136" s="64"/>
      <c r="CJ136" s="64"/>
      <c r="CK136" s="64"/>
      <c r="CL136" s="64"/>
    </row>
    <row r="137" spans="2:90" s="12" customFormat="1" ht="11.25" customHeight="1" thickBot="1">
      <c r="B137" s="54"/>
      <c r="C137" s="23" t="s">
        <v>113</v>
      </c>
      <c r="D137" s="23"/>
      <c r="E137" s="23"/>
      <c r="F137" s="23"/>
      <c r="G137" s="23"/>
      <c r="H137" s="23"/>
      <c r="I137" s="23"/>
      <c r="J137" s="23"/>
      <c r="K137" s="1169"/>
      <c r="L137" s="1169"/>
      <c r="M137" s="1169"/>
      <c r="N137" s="1169"/>
      <c r="O137" s="1169"/>
      <c r="P137" s="1169"/>
      <c r="Q137" s="1169"/>
      <c r="R137" s="1169"/>
      <c r="S137" s="1169"/>
      <c r="T137" s="1169"/>
      <c r="U137" s="1169"/>
      <c r="V137" s="1169"/>
      <c r="W137" s="1169"/>
      <c r="X137" s="1169"/>
      <c r="Y137" s="1169"/>
      <c r="Z137" s="1169"/>
      <c r="AA137" s="1169"/>
      <c r="AB137" s="1169"/>
      <c r="AC137" s="1169"/>
      <c r="AD137" s="1169"/>
      <c r="AE137" s="1169"/>
      <c r="AF137" s="1169"/>
      <c r="AG137" s="1169"/>
      <c r="AH137" s="1169"/>
      <c r="AI137" s="1169"/>
      <c r="AJ137" s="1169"/>
      <c r="AK137" s="1169"/>
      <c r="AL137" s="1169"/>
      <c r="AM137" s="1169"/>
      <c r="AN137" s="1169"/>
      <c r="AO137" s="23"/>
      <c r="AP137" s="23"/>
      <c r="AQ137" s="23"/>
      <c r="AR137" s="1169"/>
      <c r="AS137" s="1169"/>
      <c r="AT137" s="1169"/>
      <c r="AU137" s="1169"/>
      <c r="AV137" s="1169"/>
      <c r="AW137" s="1169"/>
      <c r="AX137" s="1169"/>
      <c r="AY137" s="1169"/>
      <c r="AZ137" s="1169"/>
      <c r="BA137" s="1169"/>
      <c r="BB137" s="1169"/>
      <c r="BC137" s="1169"/>
      <c r="BD137" s="1169"/>
      <c r="BE137" s="1169"/>
      <c r="BF137" s="1169"/>
      <c r="BG137" s="1169"/>
      <c r="BH137" s="1182"/>
      <c r="CE137" s="64"/>
      <c r="CF137" s="64"/>
      <c r="CG137" s="64"/>
      <c r="CH137" s="64"/>
      <c r="CI137" s="64"/>
      <c r="CJ137" s="64"/>
      <c r="CK137" s="64"/>
      <c r="CL137" s="64"/>
    </row>
    <row r="138" spans="2:90" s="12" customFormat="1" ht="15" customHeight="1" thickBot="1">
      <c r="B138" s="24" t="s">
        <v>187</v>
      </c>
      <c r="C138" s="32"/>
      <c r="D138" s="27"/>
      <c r="E138" s="27"/>
      <c r="F138" s="27"/>
      <c r="G138" s="27"/>
      <c r="H138" s="27"/>
      <c r="I138" s="27"/>
      <c r="J138" s="27"/>
      <c r="K138" s="30" t="s">
        <v>1105</v>
      </c>
      <c r="L138" s="27"/>
      <c r="M138" s="30"/>
      <c r="N138" s="27"/>
      <c r="O138" s="27"/>
      <c r="P138" s="27"/>
      <c r="Q138" s="27"/>
      <c r="R138" s="27"/>
      <c r="S138" s="27"/>
      <c r="T138" s="27"/>
      <c r="U138" s="27"/>
      <c r="V138" s="27"/>
      <c r="W138" s="27"/>
      <c r="X138" s="27"/>
      <c r="Y138" s="33"/>
      <c r="Z138" s="33"/>
      <c r="AA138" s="27"/>
      <c r="AB138" s="27"/>
      <c r="AC138" s="33"/>
      <c r="AD138" s="33"/>
      <c r="AE138" s="33"/>
      <c r="AF138" s="33"/>
      <c r="AG138" s="33"/>
      <c r="AH138" s="27"/>
      <c r="AI138" s="28"/>
      <c r="AJ138" s="28"/>
      <c r="AK138" s="28"/>
      <c r="AL138" s="28"/>
      <c r="AM138" s="28"/>
      <c r="AN138" s="29"/>
      <c r="AO138" s="29"/>
      <c r="AP138" s="29"/>
      <c r="AQ138" s="29"/>
      <c r="AR138" s="32"/>
      <c r="AS138" s="30"/>
      <c r="AT138" s="30"/>
      <c r="AU138" s="30"/>
      <c r="AV138" s="30"/>
      <c r="AW138" s="30"/>
      <c r="AX138" s="30"/>
      <c r="AY138" s="30"/>
      <c r="AZ138" s="30"/>
      <c r="BA138" s="30"/>
      <c r="BB138" s="30"/>
      <c r="BC138" s="30"/>
      <c r="BD138" s="30"/>
      <c r="BE138" s="30"/>
      <c r="BF138" s="30"/>
      <c r="BG138" s="30"/>
      <c r="BH138" s="31"/>
      <c r="CE138" s="64"/>
      <c r="CF138" s="64"/>
      <c r="CG138" s="64"/>
      <c r="CH138" s="64"/>
      <c r="CI138" s="64"/>
      <c r="CJ138" s="64"/>
      <c r="CK138" s="64"/>
      <c r="CL138" s="64"/>
    </row>
    <row r="139" spans="2:90" s="12" customFormat="1" ht="15" customHeight="1">
      <c r="B139" s="126" t="s">
        <v>1120</v>
      </c>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c r="AA139" s="127"/>
      <c r="AB139" s="127"/>
      <c r="AC139" s="127"/>
      <c r="AD139" s="127"/>
      <c r="AE139" s="127"/>
      <c r="AF139" s="127"/>
      <c r="AG139" s="127"/>
      <c r="AH139" s="127"/>
      <c r="AI139" s="127"/>
      <c r="AJ139" s="127"/>
      <c r="AK139" s="127"/>
      <c r="AL139" s="127"/>
      <c r="AM139" s="127"/>
      <c r="AN139" s="127"/>
      <c r="AO139" s="127"/>
      <c r="AP139" s="127"/>
      <c r="AQ139" s="127"/>
      <c r="AR139" s="127"/>
      <c r="AS139" s="127"/>
      <c r="AT139" s="127"/>
      <c r="AU139" s="127"/>
      <c r="AV139" s="127"/>
      <c r="AW139" s="127"/>
      <c r="AX139" s="127"/>
      <c r="AY139" s="127"/>
      <c r="AZ139" s="127"/>
      <c r="BA139" s="127"/>
      <c r="BB139" s="127"/>
      <c r="BC139" s="127"/>
      <c r="BD139" s="127"/>
      <c r="BE139" s="127"/>
      <c r="BF139" s="127"/>
      <c r="BG139" s="127"/>
      <c r="BH139" s="128"/>
      <c r="CE139" s="64"/>
      <c r="CF139" s="64"/>
      <c r="CG139" s="64"/>
      <c r="CH139" s="64"/>
      <c r="CI139" s="64"/>
      <c r="CJ139" s="64"/>
      <c r="CK139" s="64"/>
      <c r="CL139" s="64"/>
    </row>
    <row r="140" spans="2:90" s="12" customFormat="1" ht="13.5" customHeight="1">
      <c r="B140" s="129"/>
      <c r="C140" s="130" t="s">
        <v>1106</v>
      </c>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c r="AA140" s="130"/>
      <c r="AB140" s="130"/>
      <c r="AC140" s="130"/>
      <c r="AD140" s="130"/>
      <c r="AE140" s="130"/>
      <c r="AF140" s="130"/>
      <c r="AG140" s="130"/>
      <c r="AH140" s="130"/>
      <c r="AI140" s="130"/>
      <c r="AJ140" s="130"/>
      <c r="AK140" s="130"/>
      <c r="AL140" s="130"/>
      <c r="AM140" s="130"/>
      <c r="AN140" s="130"/>
      <c r="AO140" s="130"/>
      <c r="AP140" s="130"/>
      <c r="AQ140" s="130"/>
      <c r="AR140" s="130"/>
      <c r="AS140" s="130"/>
      <c r="AT140" s="130"/>
      <c r="AU140" s="130"/>
      <c r="AV140" s="130"/>
      <c r="AW140" s="130"/>
      <c r="AX140" s="130"/>
      <c r="AY140" s="130"/>
      <c r="AZ140" s="130"/>
      <c r="BA140" s="130"/>
      <c r="BB140" s="130"/>
      <c r="BC140" s="130"/>
      <c r="BD140" s="130"/>
      <c r="BE140" s="130"/>
      <c r="BF140" s="130"/>
      <c r="BG140" s="130"/>
      <c r="BH140" s="131"/>
      <c r="CE140" s="64"/>
      <c r="CF140" s="64"/>
      <c r="CG140" s="64"/>
      <c r="CH140" s="64"/>
      <c r="CI140" s="64"/>
      <c r="CJ140" s="64"/>
      <c r="CK140" s="64"/>
      <c r="CL140" s="64"/>
    </row>
    <row r="141" spans="2:90" s="12" customFormat="1" ht="13.5" customHeight="1">
      <c r="B141" s="129"/>
      <c r="C141" s="130"/>
      <c r="D141" s="130" t="s">
        <v>191</v>
      </c>
      <c r="E141" s="130"/>
      <c r="F141" s="130"/>
      <c r="G141" s="130"/>
      <c r="H141" s="130"/>
      <c r="I141" s="130" t="s">
        <v>192</v>
      </c>
      <c r="J141" s="130"/>
      <c r="K141" s="130"/>
      <c r="L141" s="130"/>
      <c r="M141" s="130"/>
      <c r="N141" s="130"/>
      <c r="O141" s="130"/>
      <c r="P141" s="130"/>
      <c r="Q141" s="130"/>
      <c r="R141" s="130"/>
      <c r="S141" s="130"/>
      <c r="T141" s="130"/>
      <c r="U141" s="130"/>
      <c r="V141" s="130"/>
      <c r="W141" s="130"/>
      <c r="X141" s="130"/>
      <c r="Y141" s="130"/>
      <c r="Z141" s="130"/>
      <c r="AA141" s="130"/>
      <c r="AB141" s="130"/>
      <c r="AC141" s="130"/>
      <c r="AD141" s="130"/>
      <c r="AE141" s="130"/>
      <c r="AF141" s="130"/>
      <c r="AG141" s="130"/>
      <c r="AH141" s="130"/>
      <c r="AI141" s="130"/>
      <c r="AJ141" s="130"/>
      <c r="AK141" s="130"/>
      <c r="AL141" s="130"/>
      <c r="AM141" s="130"/>
      <c r="AN141" s="130"/>
      <c r="AO141" s="130"/>
      <c r="AP141" s="130"/>
      <c r="AQ141" s="130"/>
      <c r="AR141" s="130"/>
      <c r="AS141" s="130"/>
      <c r="AT141" s="130"/>
      <c r="AU141" s="130"/>
      <c r="AV141" s="130"/>
      <c r="AW141" s="130"/>
      <c r="AX141" s="130"/>
      <c r="AY141" s="130"/>
      <c r="AZ141" s="130"/>
      <c r="BA141" s="130"/>
      <c r="BB141" s="130"/>
      <c r="BC141" s="130"/>
      <c r="BD141" s="130"/>
      <c r="BE141" s="130"/>
      <c r="BF141" s="130"/>
      <c r="BG141" s="130"/>
      <c r="BH141" s="131"/>
      <c r="CE141" s="64"/>
      <c r="CF141" s="64"/>
      <c r="CG141" s="64"/>
      <c r="CH141" s="64"/>
      <c r="CI141" s="64"/>
      <c r="CJ141" s="64"/>
      <c r="CK141" s="64"/>
      <c r="CL141" s="64"/>
    </row>
    <row r="142" spans="2:90" s="12" customFormat="1" ht="13.5" customHeight="1">
      <c r="B142" s="129"/>
      <c r="C142" s="130"/>
      <c r="D142" s="130"/>
      <c r="E142" s="823" t="s">
        <v>296</v>
      </c>
      <c r="F142" s="130" t="s">
        <v>139</v>
      </c>
      <c r="G142" s="130"/>
      <c r="H142" s="130"/>
      <c r="I142" s="130"/>
      <c r="J142" s="130"/>
      <c r="K142" s="130"/>
      <c r="L142" s="130"/>
      <c r="M142" s="130"/>
      <c r="N142" s="130"/>
      <c r="O142" s="823" t="s">
        <v>125</v>
      </c>
      <c r="P142" s="130" t="s">
        <v>977</v>
      </c>
      <c r="R142" s="130"/>
      <c r="T142" s="130"/>
      <c r="U142" s="130"/>
      <c r="V142" s="130"/>
      <c r="Y142" s="130"/>
      <c r="AA142" s="823" t="s">
        <v>125</v>
      </c>
      <c r="AB142" s="130" t="s">
        <v>978</v>
      </c>
      <c r="AC142" s="130"/>
      <c r="AD142" s="130"/>
      <c r="AF142" s="130"/>
      <c r="AG142" s="130"/>
      <c r="AM142" s="823" t="s">
        <v>125</v>
      </c>
      <c r="AN142" s="130" t="s">
        <v>188</v>
      </c>
      <c r="BE142" s="130"/>
      <c r="BF142" s="130"/>
      <c r="BG142" s="130"/>
      <c r="BH142" s="131"/>
      <c r="CE142" s="64"/>
      <c r="CF142" s="64"/>
      <c r="CG142" s="64"/>
      <c r="CH142" s="64"/>
      <c r="CI142" s="64"/>
      <c r="CJ142" s="64"/>
      <c r="CK142" s="64"/>
      <c r="CL142" s="64"/>
    </row>
    <row r="143" spans="2:90" s="12" customFormat="1" ht="13.5" customHeight="1">
      <c r="B143" s="129"/>
      <c r="C143" s="130"/>
      <c r="D143" s="130"/>
      <c r="E143" s="130"/>
      <c r="F143" s="130" t="s">
        <v>980</v>
      </c>
      <c r="G143" s="130"/>
      <c r="H143" s="130"/>
      <c r="I143" s="130"/>
      <c r="J143" s="130"/>
      <c r="K143" s="130"/>
      <c r="L143" s="130"/>
      <c r="M143" s="130"/>
      <c r="N143" s="130"/>
      <c r="O143" s="130"/>
      <c r="P143" s="130" t="s">
        <v>984</v>
      </c>
      <c r="Q143" s="130"/>
      <c r="R143" s="130"/>
      <c r="S143" s="130"/>
      <c r="T143" s="130"/>
      <c r="U143" s="130"/>
      <c r="V143" s="130"/>
      <c r="W143" s="130"/>
      <c r="X143" s="130"/>
      <c r="Y143" s="130"/>
      <c r="Z143" s="130"/>
      <c r="AA143" s="130"/>
      <c r="AB143" s="130" t="s">
        <v>985</v>
      </c>
      <c r="AC143" s="130"/>
      <c r="AD143" s="130"/>
      <c r="AE143" s="130"/>
      <c r="AF143" s="130"/>
      <c r="AG143" s="130"/>
      <c r="AH143" s="130"/>
      <c r="AI143" s="130"/>
      <c r="AJ143" s="130"/>
      <c r="AK143" s="130"/>
      <c r="AL143" s="130"/>
      <c r="AM143" s="130"/>
      <c r="AN143" s="130" t="s">
        <v>983</v>
      </c>
      <c r="AR143" s="130"/>
      <c r="AS143" s="130"/>
      <c r="AT143" s="130"/>
      <c r="AU143" s="130"/>
      <c r="AV143" s="130"/>
      <c r="AW143" s="130"/>
      <c r="AX143" s="130"/>
      <c r="AY143" s="130"/>
      <c r="AZ143" s="130"/>
      <c r="BA143" s="130"/>
      <c r="BB143" s="130"/>
      <c r="BC143" s="130"/>
      <c r="BD143" s="130"/>
      <c r="BE143" s="130"/>
      <c r="BF143" s="130"/>
      <c r="BG143" s="130"/>
      <c r="BH143" s="131"/>
      <c r="CE143" s="64"/>
      <c r="CF143" s="64"/>
      <c r="CG143" s="64"/>
      <c r="CH143" s="64"/>
      <c r="CI143" s="64"/>
      <c r="CJ143" s="64"/>
      <c r="CK143" s="64"/>
      <c r="CL143" s="64"/>
    </row>
    <row r="144" spans="2:90" s="12" customFormat="1" ht="13.5" customHeight="1">
      <c r="B144" s="129"/>
      <c r="C144" s="130"/>
      <c r="D144" s="130"/>
      <c r="E144" s="823" t="s">
        <v>125</v>
      </c>
      <c r="F144" s="130" t="s">
        <v>189</v>
      </c>
      <c r="G144" s="130"/>
      <c r="H144" s="130"/>
      <c r="I144" s="130"/>
      <c r="J144" s="130"/>
      <c r="O144" s="823" t="s">
        <v>124</v>
      </c>
      <c r="P144" s="130" t="s">
        <v>190</v>
      </c>
      <c r="Q144" s="130"/>
      <c r="R144" s="130"/>
      <c r="S144" s="130" t="s">
        <v>27</v>
      </c>
      <c r="T144" s="1016"/>
      <c r="U144" s="1016"/>
      <c r="V144" s="1016"/>
      <c r="W144" s="1016"/>
      <c r="X144" s="1016"/>
      <c r="Y144" s="1016"/>
      <c r="Z144" s="1016"/>
      <c r="AA144" s="1016"/>
      <c r="AB144" s="1016"/>
      <c r="AC144" s="1016"/>
      <c r="AD144" s="1016"/>
      <c r="AE144" s="1016"/>
      <c r="AF144" s="1016"/>
      <c r="AG144" s="1016"/>
      <c r="AH144" s="1016"/>
      <c r="AI144" s="1016"/>
      <c r="AJ144" s="1016"/>
      <c r="AK144" s="1016"/>
      <c r="AL144" s="1016"/>
      <c r="AM144" s="130" t="s">
        <v>1107</v>
      </c>
      <c r="AN144" s="130"/>
      <c r="AO144" s="130"/>
      <c r="AP144" s="130"/>
      <c r="AQ144" s="130"/>
      <c r="AR144" s="130"/>
      <c r="AS144" s="130"/>
      <c r="AT144" s="130"/>
      <c r="AU144" s="130"/>
      <c r="AV144" s="130"/>
      <c r="AW144" s="130"/>
      <c r="AX144" s="130"/>
      <c r="AY144" s="130"/>
      <c r="AZ144" s="130"/>
      <c r="BA144" s="130"/>
      <c r="BB144" s="130"/>
      <c r="BC144" s="130"/>
      <c r="BD144" s="130"/>
      <c r="BE144" s="130"/>
      <c r="BF144" s="130"/>
      <c r="BG144" s="130"/>
      <c r="BH144" s="131"/>
      <c r="CE144" s="64"/>
      <c r="CF144" s="64"/>
      <c r="CG144" s="64"/>
      <c r="CH144" s="64"/>
      <c r="CI144" s="64"/>
      <c r="CJ144" s="64"/>
      <c r="CK144" s="64"/>
      <c r="CL144" s="64"/>
    </row>
    <row r="145" spans="2:90" s="12" customFormat="1" ht="13.5" customHeight="1">
      <c r="B145" s="129"/>
      <c r="C145" s="130"/>
      <c r="F145" s="12" t="s">
        <v>981</v>
      </c>
      <c r="BG145" s="130"/>
      <c r="BH145" s="131"/>
      <c r="CE145" s="64"/>
      <c r="CF145" s="64"/>
      <c r="CG145" s="64"/>
      <c r="CH145" s="64"/>
      <c r="CI145" s="64"/>
      <c r="CJ145" s="64"/>
      <c r="CK145" s="64"/>
      <c r="CL145" s="64"/>
    </row>
    <row r="146" spans="2:90" s="12" customFormat="1" ht="13.5" customHeight="1">
      <c r="B146" s="129"/>
      <c r="D146" s="130" t="s">
        <v>193</v>
      </c>
      <c r="E146" s="130"/>
      <c r="F146" s="130"/>
      <c r="G146" s="130"/>
      <c r="H146" s="130"/>
      <c r="I146" s="130"/>
      <c r="J146" s="130"/>
      <c r="K146" s="130"/>
      <c r="L146" s="130"/>
      <c r="M146" s="130"/>
      <c r="N146" s="130"/>
      <c r="O146" s="130"/>
      <c r="P146" s="130"/>
      <c r="Q146" s="130"/>
      <c r="R146" s="130"/>
      <c r="S146" s="130"/>
      <c r="T146" s="130"/>
      <c r="U146" s="130"/>
      <c r="V146" s="130"/>
      <c r="W146" s="130"/>
      <c r="X146" s="130"/>
      <c r="Y146" s="130"/>
      <c r="Z146" s="130"/>
      <c r="AA146" s="130"/>
      <c r="AB146" s="130"/>
      <c r="AC146" s="130"/>
      <c r="AD146" s="130"/>
      <c r="AE146" s="130"/>
      <c r="AF146" s="130"/>
      <c r="AG146" s="130"/>
      <c r="AH146" s="130"/>
      <c r="AI146" s="130"/>
      <c r="AJ146" s="130"/>
      <c r="AK146" s="130"/>
      <c r="AL146" s="130"/>
      <c r="AM146" s="130"/>
      <c r="AN146" s="130"/>
      <c r="AO146" s="130"/>
      <c r="AP146" s="130"/>
      <c r="AQ146" s="130"/>
      <c r="AR146" s="130"/>
      <c r="AS146" s="130"/>
      <c r="AT146" s="130"/>
      <c r="AU146" s="130"/>
      <c r="AV146" s="130"/>
      <c r="AW146" s="130"/>
      <c r="AX146" s="130"/>
      <c r="AY146" s="130"/>
      <c r="AZ146" s="130"/>
      <c r="BA146" s="130"/>
      <c r="BB146" s="130"/>
      <c r="BC146" s="130"/>
      <c r="BD146" s="130"/>
      <c r="BE146" s="130"/>
      <c r="BF146" s="130"/>
      <c r="BH146" s="131"/>
      <c r="CE146" s="64"/>
      <c r="CF146" s="64"/>
      <c r="CG146" s="64"/>
      <c r="CH146" s="64"/>
      <c r="CI146" s="64"/>
      <c r="CJ146" s="64"/>
      <c r="CK146" s="64"/>
      <c r="CL146" s="64"/>
    </row>
    <row r="147" spans="2:90" s="12" customFormat="1" ht="13.5" customHeight="1">
      <c r="B147" s="129"/>
      <c r="C147" s="130"/>
      <c r="E147" s="823" t="s">
        <v>125</v>
      </c>
      <c r="F147" s="130" t="s">
        <v>194</v>
      </c>
      <c r="G147" s="130"/>
      <c r="H147" s="130"/>
      <c r="I147" s="130"/>
      <c r="K147" s="823" t="s">
        <v>296</v>
      </c>
      <c r="L147" s="130" t="s">
        <v>210</v>
      </c>
      <c r="N147" s="130"/>
      <c r="O147" s="130"/>
      <c r="Q147" s="823" t="s">
        <v>125</v>
      </c>
      <c r="R147" s="130" t="s">
        <v>195</v>
      </c>
      <c r="S147" s="130"/>
      <c r="T147" s="130"/>
      <c r="U147" s="130"/>
      <c r="W147" s="823" t="s">
        <v>125</v>
      </c>
      <c r="X147" s="130" t="s">
        <v>196</v>
      </c>
      <c r="Y147" s="130"/>
      <c r="Z147" s="130"/>
      <c r="AA147" s="130"/>
      <c r="AB147" s="130"/>
      <c r="AC147" s="823" t="s">
        <v>125</v>
      </c>
      <c r="AD147" s="130" t="s">
        <v>212</v>
      </c>
      <c r="AE147" s="130"/>
      <c r="AF147" s="130"/>
      <c r="AG147" s="130"/>
      <c r="AH147" s="130"/>
      <c r="AI147" s="130"/>
      <c r="AJ147" s="130"/>
      <c r="AK147" s="130"/>
      <c r="AL147" s="130"/>
      <c r="AM147" s="130"/>
      <c r="AN147" s="823" t="s">
        <v>124</v>
      </c>
      <c r="AO147" s="130" t="s">
        <v>190</v>
      </c>
      <c r="AP147" s="130"/>
      <c r="AQ147" s="130"/>
      <c r="AR147" s="1058" t="s">
        <v>211</v>
      </c>
      <c r="AS147" s="1057"/>
      <c r="AT147" s="1057"/>
      <c r="AU147" s="1057"/>
      <c r="AV147" s="1057"/>
      <c r="AW147" s="1057"/>
      <c r="AX147" s="1057"/>
      <c r="AY147" s="1057"/>
      <c r="AZ147" s="1058" t="s">
        <v>219</v>
      </c>
      <c r="BA147" s="130"/>
      <c r="BB147" s="823" t="s">
        <v>125</v>
      </c>
      <c r="BC147" s="130" t="s">
        <v>220</v>
      </c>
      <c r="BD147" s="130"/>
      <c r="BE147" s="130"/>
      <c r="BF147" s="130"/>
      <c r="BG147" s="130"/>
      <c r="BH147" s="131"/>
      <c r="CE147" s="64"/>
      <c r="CF147" s="64"/>
      <c r="CG147" s="64"/>
      <c r="CH147" s="64"/>
      <c r="CI147" s="64"/>
      <c r="CJ147" s="64"/>
      <c r="CK147" s="64"/>
      <c r="CL147" s="64"/>
    </row>
    <row r="148" spans="2:90" s="12" customFormat="1" ht="13.5" customHeight="1">
      <c r="B148" s="129"/>
      <c r="E148" s="130"/>
      <c r="F148" s="130" t="s">
        <v>217</v>
      </c>
      <c r="G148" s="130"/>
      <c r="H148" s="130"/>
      <c r="I148" s="130"/>
      <c r="K148" s="130"/>
      <c r="L148" s="130" t="s">
        <v>216</v>
      </c>
      <c r="N148" s="130"/>
      <c r="O148" s="130"/>
      <c r="Q148" s="130"/>
      <c r="R148" s="130" t="s">
        <v>215</v>
      </c>
      <c r="S148" s="130"/>
      <c r="T148" s="130"/>
      <c r="U148" s="130"/>
      <c r="W148" s="130"/>
      <c r="X148" s="130" t="s">
        <v>214</v>
      </c>
      <c r="Y148" s="130"/>
      <c r="Z148" s="130"/>
      <c r="AA148" s="130"/>
      <c r="AB148" s="130"/>
      <c r="AC148" s="130"/>
      <c r="AD148" s="130" t="s">
        <v>213</v>
      </c>
      <c r="AE148" s="130"/>
      <c r="AF148" s="130"/>
      <c r="AG148" s="130"/>
      <c r="AH148" s="130"/>
      <c r="AI148" s="130"/>
      <c r="AJ148" s="130"/>
      <c r="AK148" s="130"/>
      <c r="AL148" s="130"/>
      <c r="AM148" s="130"/>
      <c r="AN148" s="130"/>
      <c r="AO148" s="130" t="s">
        <v>218</v>
      </c>
      <c r="AP148" s="130"/>
      <c r="AQ148" s="130"/>
      <c r="AR148" s="1058"/>
      <c r="AS148" s="1057"/>
      <c r="AT148" s="1057"/>
      <c r="AU148" s="1057"/>
      <c r="AV148" s="1057"/>
      <c r="AW148" s="1057"/>
      <c r="AX148" s="1057"/>
      <c r="AY148" s="1057"/>
      <c r="AZ148" s="1058"/>
      <c r="BA148" s="130"/>
      <c r="BB148" s="130"/>
      <c r="BC148" s="130" t="s">
        <v>221</v>
      </c>
      <c r="BD148" s="130"/>
      <c r="BE148" s="130"/>
      <c r="BF148" s="130"/>
      <c r="BG148" s="130"/>
      <c r="BH148" s="131"/>
      <c r="CE148" s="64"/>
      <c r="CF148" s="64"/>
      <c r="CG148" s="64"/>
      <c r="CH148" s="64"/>
      <c r="CI148" s="64"/>
      <c r="CJ148" s="64"/>
      <c r="CK148" s="64"/>
      <c r="CL148" s="64"/>
    </row>
    <row r="149" spans="2:90" s="12" customFormat="1" ht="13.5" customHeight="1">
      <c r="B149" s="129"/>
      <c r="C149" s="130"/>
      <c r="BG149" s="130"/>
      <c r="BH149" s="131"/>
      <c r="CE149" s="64"/>
      <c r="CF149" s="64"/>
      <c r="CG149" s="64"/>
      <c r="CH149" s="64"/>
      <c r="CI149" s="64"/>
      <c r="CJ149" s="64"/>
      <c r="CK149" s="64"/>
      <c r="CL149" s="64"/>
    </row>
    <row r="150" spans="2:90" s="12" customFormat="1" ht="13.5" customHeight="1">
      <c r="B150" s="129" t="s">
        <v>1124</v>
      </c>
      <c r="C150" s="130"/>
      <c r="D150" s="130"/>
      <c r="E150" s="130"/>
      <c r="F150" s="130"/>
      <c r="G150" s="130"/>
      <c r="H150" s="130"/>
      <c r="I150" s="130"/>
      <c r="J150" s="130"/>
      <c r="K150" s="130"/>
      <c r="L150" s="130"/>
      <c r="M150" s="130"/>
      <c r="N150" s="130"/>
      <c r="O150" s="130"/>
      <c r="P150" s="130"/>
      <c r="Q150" s="130"/>
      <c r="R150" s="130"/>
      <c r="S150" s="130"/>
      <c r="T150" s="130"/>
      <c r="U150" s="130"/>
      <c r="V150" s="130"/>
      <c r="W150" s="130"/>
      <c r="X150" s="130"/>
      <c r="Y150" s="130"/>
      <c r="Z150" s="130"/>
      <c r="AA150" s="130"/>
      <c r="AB150" s="130"/>
      <c r="AC150" s="130"/>
      <c r="AD150" s="130"/>
      <c r="AE150" s="130"/>
      <c r="AF150" s="130"/>
      <c r="AG150" s="130"/>
      <c r="AH150" s="130"/>
      <c r="AI150" s="130"/>
      <c r="AJ150" s="130"/>
      <c r="AK150" s="130"/>
      <c r="AL150" s="130"/>
      <c r="AM150" s="130"/>
      <c r="AN150" s="130"/>
      <c r="AO150" s="130"/>
      <c r="AP150" s="130"/>
      <c r="AQ150" s="130"/>
      <c r="AR150" s="130"/>
      <c r="AS150" s="130"/>
      <c r="AT150" s="130"/>
      <c r="AU150" s="130"/>
      <c r="AV150" s="130"/>
      <c r="AW150" s="130"/>
      <c r="AX150" s="130"/>
      <c r="AY150" s="130"/>
      <c r="AZ150" s="130"/>
      <c r="BA150" s="130"/>
      <c r="BB150" s="130"/>
      <c r="BC150" s="130"/>
      <c r="BD150" s="130"/>
      <c r="BE150" s="130"/>
      <c r="BF150" s="130"/>
      <c r="BG150" s="130"/>
      <c r="BH150" s="131"/>
      <c r="CE150" s="64"/>
      <c r="CF150" s="64"/>
      <c r="CG150" s="64"/>
      <c r="CH150" s="64"/>
      <c r="CI150" s="64"/>
      <c r="CJ150" s="64"/>
      <c r="CK150" s="64"/>
      <c r="CL150" s="64"/>
    </row>
    <row r="151" spans="2:90" s="12" customFormat="1" ht="13.5" customHeight="1">
      <c r="B151" s="129"/>
      <c r="C151" s="130" t="s">
        <v>1127</v>
      </c>
      <c r="D151" s="139"/>
      <c r="E151" s="139"/>
      <c r="F151" s="139"/>
      <c r="G151" s="139"/>
      <c r="H151" s="139"/>
      <c r="I151" s="139"/>
      <c r="J151" s="139"/>
      <c r="K151" s="139"/>
      <c r="L151" s="139"/>
      <c r="M151" s="139"/>
      <c r="N151" s="139"/>
      <c r="O151" s="139"/>
      <c r="P151" s="139"/>
      <c r="Q151" s="139"/>
      <c r="R151" s="139"/>
      <c r="S151" s="139"/>
      <c r="T151" s="139"/>
      <c r="U151" s="139"/>
      <c r="V151" s="139"/>
      <c r="W151" s="139"/>
      <c r="X151" s="139"/>
      <c r="Y151" s="139"/>
      <c r="Z151" s="139"/>
      <c r="AA151" s="139"/>
      <c r="AB151" s="139"/>
      <c r="AC151" s="139"/>
      <c r="AD151" s="139"/>
      <c r="AE151" s="139"/>
      <c r="AF151" s="139"/>
      <c r="AG151" s="139"/>
      <c r="AH151" s="139"/>
      <c r="AI151" s="139"/>
      <c r="AJ151" s="139"/>
      <c r="AK151" s="139"/>
      <c r="AL151" s="139"/>
      <c r="AM151" s="139"/>
      <c r="AN151" s="139"/>
      <c r="AO151" s="139"/>
      <c r="AP151" s="139"/>
      <c r="AQ151" s="139"/>
      <c r="AR151" s="139"/>
      <c r="AS151" s="139"/>
      <c r="AT151" s="139"/>
      <c r="AU151" s="139"/>
      <c r="AV151" s="139"/>
      <c r="AW151" s="139"/>
      <c r="AX151" s="139"/>
      <c r="AY151" s="139"/>
      <c r="AZ151" s="139"/>
      <c r="BA151" s="139"/>
      <c r="BB151" s="139"/>
      <c r="BC151" s="139"/>
      <c r="BD151" s="139"/>
      <c r="BE151" s="139"/>
      <c r="BF151" s="139"/>
      <c r="BG151" s="139"/>
      <c r="BH151" s="131"/>
      <c r="CE151" s="64"/>
      <c r="CF151" s="64"/>
      <c r="CG151" s="64"/>
      <c r="CH151" s="64"/>
      <c r="CI151" s="64"/>
      <c r="CJ151" s="64"/>
      <c r="CK151" s="64"/>
      <c r="CL151" s="64"/>
    </row>
    <row r="152" spans="2:90" s="12" customFormat="1" ht="13.5" customHeight="1">
      <c r="B152" s="129"/>
      <c r="C152" s="727"/>
      <c r="D152" s="960" t="s">
        <v>1336</v>
      </c>
      <c r="E152" s="961"/>
      <c r="F152" s="961"/>
      <c r="G152" s="961"/>
      <c r="H152" s="961"/>
      <c r="I152" s="961"/>
      <c r="J152" s="961"/>
      <c r="K152" s="961"/>
      <c r="L152" s="961"/>
      <c r="M152" s="961"/>
      <c r="N152" s="961"/>
      <c r="O152" s="961"/>
      <c r="P152" s="961"/>
      <c r="Q152" s="961"/>
      <c r="R152" s="961"/>
      <c r="S152" s="961"/>
      <c r="T152" s="961"/>
      <c r="U152" s="961"/>
      <c r="V152" s="961"/>
      <c r="W152" s="961"/>
      <c r="X152" s="961"/>
      <c r="Y152" s="961"/>
      <c r="Z152" s="961"/>
      <c r="AA152" s="961"/>
      <c r="AB152" s="961"/>
      <c r="AC152" s="961"/>
      <c r="AD152" s="961"/>
      <c r="AE152" s="961"/>
      <c r="AF152" s="961"/>
      <c r="AG152" s="961"/>
      <c r="AH152" s="961"/>
      <c r="AI152" s="961"/>
      <c r="AJ152" s="961"/>
      <c r="AK152" s="961"/>
      <c r="AL152" s="961"/>
      <c r="AM152" s="961"/>
      <c r="AN152" s="961"/>
      <c r="AO152" s="961"/>
      <c r="AP152" s="961"/>
      <c r="AQ152" s="961"/>
      <c r="AR152" s="961"/>
      <c r="AS152" s="961"/>
      <c r="AT152" s="961"/>
      <c r="AU152" s="961"/>
      <c r="AV152" s="961"/>
      <c r="AW152" s="961"/>
      <c r="AX152" s="961"/>
      <c r="AY152" s="961"/>
      <c r="AZ152" s="961"/>
      <c r="BA152" s="961"/>
      <c r="BB152" s="961"/>
      <c r="BC152" s="961"/>
      <c r="BD152" s="961"/>
      <c r="BE152" s="961"/>
      <c r="BF152" s="961"/>
      <c r="BG152" s="962"/>
      <c r="BH152" s="131"/>
      <c r="CE152" s="64"/>
      <c r="CF152" s="64"/>
      <c r="CG152" s="64"/>
      <c r="CH152" s="64"/>
      <c r="CI152" s="64"/>
      <c r="CJ152" s="64"/>
      <c r="CK152" s="64"/>
      <c r="CL152" s="64"/>
    </row>
    <row r="153" spans="2:90" s="12" customFormat="1" ht="13.5" customHeight="1">
      <c r="B153" s="129"/>
      <c r="C153" s="130"/>
      <c r="D153" s="963"/>
      <c r="E153" s="964"/>
      <c r="F153" s="964"/>
      <c r="G153" s="964"/>
      <c r="H153" s="964"/>
      <c r="I153" s="964"/>
      <c r="J153" s="964"/>
      <c r="K153" s="964"/>
      <c r="L153" s="964"/>
      <c r="M153" s="964"/>
      <c r="N153" s="964"/>
      <c r="O153" s="964"/>
      <c r="P153" s="964"/>
      <c r="Q153" s="964"/>
      <c r="R153" s="964"/>
      <c r="S153" s="964"/>
      <c r="T153" s="964"/>
      <c r="U153" s="964"/>
      <c r="V153" s="964"/>
      <c r="W153" s="964"/>
      <c r="X153" s="964"/>
      <c r="Y153" s="964"/>
      <c r="Z153" s="964"/>
      <c r="AA153" s="964"/>
      <c r="AB153" s="964"/>
      <c r="AC153" s="964"/>
      <c r="AD153" s="964"/>
      <c r="AE153" s="964"/>
      <c r="AF153" s="964"/>
      <c r="AG153" s="964"/>
      <c r="AH153" s="964"/>
      <c r="AI153" s="964"/>
      <c r="AJ153" s="964"/>
      <c r="AK153" s="964"/>
      <c r="AL153" s="964"/>
      <c r="AM153" s="964"/>
      <c r="AN153" s="964"/>
      <c r="AO153" s="964"/>
      <c r="AP153" s="964"/>
      <c r="AQ153" s="964"/>
      <c r="AR153" s="964"/>
      <c r="AS153" s="964"/>
      <c r="AT153" s="964"/>
      <c r="AU153" s="964"/>
      <c r="AV153" s="964"/>
      <c r="AW153" s="964"/>
      <c r="AX153" s="964"/>
      <c r="AY153" s="964"/>
      <c r="AZ153" s="964"/>
      <c r="BA153" s="964"/>
      <c r="BB153" s="964"/>
      <c r="BC153" s="964"/>
      <c r="BD153" s="964"/>
      <c r="BE153" s="964"/>
      <c r="BF153" s="964"/>
      <c r="BG153" s="965"/>
      <c r="BH153" s="131"/>
      <c r="CE153" s="64"/>
      <c r="CF153" s="64"/>
      <c r="CG153" s="64"/>
      <c r="CH153" s="64"/>
      <c r="CI153" s="64"/>
      <c r="CJ153" s="64"/>
      <c r="CK153" s="64"/>
      <c r="CL153" s="64"/>
    </row>
    <row r="154" spans="2:90" s="12" customFormat="1" ht="13.5" customHeight="1">
      <c r="B154" s="129"/>
      <c r="C154" s="130"/>
      <c r="D154" s="963"/>
      <c r="E154" s="964"/>
      <c r="F154" s="964"/>
      <c r="G154" s="964"/>
      <c r="H154" s="964"/>
      <c r="I154" s="964"/>
      <c r="J154" s="964"/>
      <c r="K154" s="964"/>
      <c r="L154" s="964"/>
      <c r="M154" s="964"/>
      <c r="N154" s="964"/>
      <c r="O154" s="964"/>
      <c r="P154" s="964"/>
      <c r="Q154" s="964"/>
      <c r="R154" s="964"/>
      <c r="S154" s="964"/>
      <c r="T154" s="964"/>
      <c r="U154" s="964"/>
      <c r="V154" s="964"/>
      <c r="W154" s="964"/>
      <c r="X154" s="964"/>
      <c r="Y154" s="964"/>
      <c r="Z154" s="964"/>
      <c r="AA154" s="964"/>
      <c r="AB154" s="964"/>
      <c r="AC154" s="964"/>
      <c r="AD154" s="964"/>
      <c r="AE154" s="964"/>
      <c r="AF154" s="964"/>
      <c r="AG154" s="964"/>
      <c r="AH154" s="964"/>
      <c r="AI154" s="964"/>
      <c r="AJ154" s="964"/>
      <c r="AK154" s="964"/>
      <c r="AL154" s="964"/>
      <c r="AM154" s="964"/>
      <c r="AN154" s="964"/>
      <c r="AO154" s="964"/>
      <c r="AP154" s="964"/>
      <c r="AQ154" s="964"/>
      <c r="AR154" s="964"/>
      <c r="AS154" s="964"/>
      <c r="AT154" s="964"/>
      <c r="AU154" s="964"/>
      <c r="AV154" s="964"/>
      <c r="AW154" s="964"/>
      <c r="AX154" s="964"/>
      <c r="AY154" s="964"/>
      <c r="AZ154" s="964"/>
      <c r="BA154" s="964"/>
      <c r="BB154" s="964"/>
      <c r="BC154" s="964"/>
      <c r="BD154" s="964"/>
      <c r="BE154" s="964"/>
      <c r="BF154" s="964"/>
      <c r="BG154" s="965"/>
      <c r="BH154" s="131"/>
      <c r="CE154" s="64"/>
      <c r="CF154" s="64"/>
      <c r="CG154" s="64"/>
      <c r="CH154" s="64"/>
      <c r="CI154" s="64"/>
      <c r="CJ154" s="64"/>
      <c r="CK154" s="64"/>
      <c r="CL154" s="64"/>
    </row>
    <row r="155" spans="2:90" s="12" customFormat="1" ht="13.5" customHeight="1">
      <c r="B155" s="129"/>
      <c r="C155" s="130"/>
      <c r="D155" s="963"/>
      <c r="E155" s="964"/>
      <c r="F155" s="964"/>
      <c r="G155" s="964"/>
      <c r="H155" s="964"/>
      <c r="I155" s="964"/>
      <c r="J155" s="964"/>
      <c r="K155" s="964"/>
      <c r="L155" s="964"/>
      <c r="M155" s="964"/>
      <c r="N155" s="964"/>
      <c r="O155" s="964"/>
      <c r="P155" s="964"/>
      <c r="Q155" s="964"/>
      <c r="R155" s="964"/>
      <c r="S155" s="964"/>
      <c r="T155" s="964"/>
      <c r="U155" s="964"/>
      <c r="V155" s="964"/>
      <c r="W155" s="964"/>
      <c r="X155" s="964"/>
      <c r="Y155" s="964"/>
      <c r="Z155" s="964"/>
      <c r="AA155" s="964"/>
      <c r="AB155" s="964"/>
      <c r="AC155" s="964"/>
      <c r="AD155" s="964"/>
      <c r="AE155" s="964"/>
      <c r="AF155" s="964"/>
      <c r="AG155" s="964"/>
      <c r="AH155" s="964"/>
      <c r="AI155" s="964"/>
      <c r="AJ155" s="964"/>
      <c r="AK155" s="964"/>
      <c r="AL155" s="964"/>
      <c r="AM155" s="964"/>
      <c r="AN155" s="964"/>
      <c r="AO155" s="964"/>
      <c r="AP155" s="964"/>
      <c r="AQ155" s="964"/>
      <c r="AR155" s="964"/>
      <c r="AS155" s="964"/>
      <c r="AT155" s="964"/>
      <c r="AU155" s="964"/>
      <c r="AV155" s="964"/>
      <c r="AW155" s="964"/>
      <c r="AX155" s="964"/>
      <c r="AY155" s="964"/>
      <c r="AZ155" s="964"/>
      <c r="BA155" s="964"/>
      <c r="BB155" s="964"/>
      <c r="BC155" s="964"/>
      <c r="BD155" s="964"/>
      <c r="BE155" s="964"/>
      <c r="BF155" s="964"/>
      <c r="BG155" s="965"/>
      <c r="BH155" s="131"/>
      <c r="CE155" s="64"/>
      <c r="CF155" s="64"/>
      <c r="CG155" s="64"/>
      <c r="CH155" s="64"/>
      <c r="CI155" s="64"/>
      <c r="CJ155" s="64"/>
      <c r="CK155" s="64"/>
      <c r="CL155" s="64"/>
    </row>
    <row r="156" spans="2:90" s="12" customFormat="1" ht="13.5" customHeight="1">
      <c r="B156" s="129"/>
      <c r="C156" s="130"/>
      <c r="D156" s="966"/>
      <c r="E156" s="967"/>
      <c r="F156" s="967"/>
      <c r="G156" s="967"/>
      <c r="H156" s="967"/>
      <c r="I156" s="967"/>
      <c r="J156" s="967"/>
      <c r="K156" s="967"/>
      <c r="L156" s="967"/>
      <c r="M156" s="967"/>
      <c r="N156" s="967"/>
      <c r="O156" s="967"/>
      <c r="P156" s="967"/>
      <c r="Q156" s="967"/>
      <c r="R156" s="967"/>
      <c r="S156" s="967"/>
      <c r="T156" s="967"/>
      <c r="U156" s="967"/>
      <c r="V156" s="967"/>
      <c r="W156" s="967"/>
      <c r="X156" s="967"/>
      <c r="Y156" s="967"/>
      <c r="Z156" s="967"/>
      <c r="AA156" s="967"/>
      <c r="AB156" s="967"/>
      <c r="AC156" s="967"/>
      <c r="AD156" s="967"/>
      <c r="AE156" s="967"/>
      <c r="AF156" s="967"/>
      <c r="AG156" s="967"/>
      <c r="AH156" s="967"/>
      <c r="AI156" s="967"/>
      <c r="AJ156" s="967"/>
      <c r="AK156" s="967"/>
      <c r="AL156" s="967"/>
      <c r="AM156" s="967"/>
      <c r="AN156" s="967"/>
      <c r="AO156" s="967"/>
      <c r="AP156" s="967"/>
      <c r="AQ156" s="967"/>
      <c r="AR156" s="967"/>
      <c r="AS156" s="967"/>
      <c r="AT156" s="967"/>
      <c r="AU156" s="967"/>
      <c r="AV156" s="967"/>
      <c r="AW156" s="967"/>
      <c r="AX156" s="967"/>
      <c r="AY156" s="967"/>
      <c r="AZ156" s="967"/>
      <c r="BA156" s="967"/>
      <c r="BB156" s="967"/>
      <c r="BC156" s="967"/>
      <c r="BD156" s="967"/>
      <c r="BE156" s="967"/>
      <c r="BF156" s="967"/>
      <c r="BG156" s="968"/>
      <c r="BH156" s="131"/>
      <c r="CE156" s="64"/>
      <c r="CF156" s="64"/>
      <c r="CG156" s="64"/>
      <c r="CH156" s="64"/>
      <c r="CI156" s="64"/>
      <c r="CJ156" s="64"/>
      <c r="CK156" s="64"/>
      <c r="CL156" s="64"/>
    </row>
    <row r="157" spans="2:90" s="12" customFormat="1" ht="13.5" customHeight="1">
      <c r="B157" s="129"/>
      <c r="BH157" s="131"/>
      <c r="CE157" s="64"/>
      <c r="CF157" s="64"/>
      <c r="CG157" s="64"/>
      <c r="CH157" s="64"/>
      <c r="CI157" s="64"/>
      <c r="CJ157" s="64"/>
      <c r="CK157" s="64"/>
      <c r="CL157" s="64"/>
    </row>
    <row r="158" spans="2:90" s="12" customFormat="1" ht="13.5" customHeight="1">
      <c r="B158" s="129" t="s">
        <v>1121</v>
      </c>
      <c r="C158" s="130"/>
      <c r="D158" s="130"/>
      <c r="E158" s="130"/>
      <c r="F158" s="130"/>
      <c r="G158" s="130"/>
      <c r="H158" s="130"/>
      <c r="I158" s="130"/>
      <c r="J158" s="130"/>
      <c r="K158" s="130"/>
      <c r="L158" s="130"/>
      <c r="M158" s="130"/>
      <c r="N158" s="130"/>
      <c r="O158" s="130"/>
      <c r="P158" s="130"/>
      <c r="Q158" s="130"/>
      <c r="R158" s="130"/>
      <c r="S158" s="130"/>
      <c r="T158" s="130"/>
      <c r="U158" s="130"/>
      <c r="V158" s="130"/>
      <c r="W158" s="130"/>
      <c r="X158" s="130"/>
      <c r="Y158" s="130"/>
      <c r="Z158" s="130"/>
      <c r="AA158" s="130"/>
      <c r="AB158" s="130"/>
      <c r="AC158" s="130"/>
      <c r="AD158" s="130"/>
      <c r="AE158" s="130"/>
      <c r="AF158" s="130"/>
      <c r="AG158" s="130"/>
      <c r="AH158" s="130"/>
      <c r="AI158" s="130"/>
      <c r="AJ158" s="130"/>
      <c r="AK158" s="130"/>
      <c r="AL158" s="130"/>
      <c r="AM158" s="130"/>
      <c r="AN158" s="130"/>
      <c r="AO158" s="130"/>
      <c r="AP158" s="130"/>
      <c r="AQ158" s="130"/>
      <c r="AR158" s="130"/>
      <c r="AS158" s="130"/>
      <c r="AT158" s="130"/>
      <c r="AU158" s="130"/>
      <c r="AV158" s="130"/>
      <c r="AW158" s="130"/>
      <c r="AX158" s="130"/>
      <c r="AY158" s="130"/>
      <c r="AZ158" s="130"/>
      <c r="BA158" s="130"/>
      <c r="BB158" s="130"/>
      <c r="BC158" s="130"/>
      <c r="BD158" s="130"/>
      <c r="BE158" s="130"/>
      <c r="BF158" s="130"/>
      <c r="BG158" s="130"/>
      <c r="BH158" s="131"/>
      <c r="CE158" s="64"/>
      <c r="CF158" s="64"/>
      <c r="CG158" s="64"/>
      <c r="CH158" s="64"/>
      <c r="CI158" s="64"/>
      <c r="CJ158" s="64"/>
      <c r="CK158" s="64"/>
      <c r="CL158" s="64"/>
    </row>
    <row r="159" spans="2:90" s="12" customFormat="1" ht="13.5" customHeight="1">
      <c r="B159" s="129"/>
      <c r="C159" s="130"/>
      <c r="D159" s="130" t="s">
        <v>982</v>
      </c>
      <c r="E159" s="130"/>
      <c r="F159" s="130"/>
      <c r="G159" s="130"/>
      <c r="H159" s="130"/>
      <c r="I159" s="130"/>
      <c r="J159" s="130"/>
      <c r="K159" s="130"/>
      <c r="L159" s="130"/>
      <c r="M159" s="130"/>
      <c r="N159" s="130"/>
      <c r="O159" s="130"/>
      <c r="P159" s="130"/>
      <c r="Q159" s="130"/>
      <c r="R159" s="130"/>
      <c r="S159" s="130"/>
      <c r="T159" s="130"/>
      <c r="U159" s="130"/>
      <c r="V159" s="130"/>
      <c r="W159" s="130"/>
      <c r="X159" s="130"/>
      <c r="Y159" s="130"/>
      <c r="Z159" s="130"/>
      <c r="AA159" s="130"/>
      <c r="AB159" s="130"/>
      <c r="AC159" s="130"/>
      <c r="AD159" s="130"/>
      <c r="AE159" s="130"/>
      <c r="AF159" s="130"/>
      <c r="AG159" s="130"/>
      <c r="AH159" s="130"/>
      <c r="AI159" s="130"/>
      <c r="AJ159" s="130"/>
      <c r="AK159" s="130"/>
      <c r="AL159" s="130"/>
      <c r="AM159" s="130"/>
      <c r="AN159" s="130"/>
      <c r="AO159" s="130"/>
      <c r="AP159" s="130"/>
      <c r="AQ159" s="130"/>
      <c r="AR159" s="130"/>
      <c r="AS159" s="130"/>
      <c r="AT159" s="130"/>
      <c r="AU159" s="130"/>
      <c r="AV159" s="130"/>
      <c r="AW159" s="130"/>
      <c r="AX159" s="130"/>
      <c r="AY159" s="130"/>
      <c r="AZ159" s="130"/>
      <c r="BA159" s="130"/>
      <c r="BB159" s="130"/>
      <c r="BC159" s="130"/>
      <c r="BD159" s="130"/>
      <c r="BE159" s="130"/>
      <c r="BF159" s="130"/>
      <c r="BG159" s="130"/>
      <c r="BH159" s="131"/>
      <c r="CE159" s="64"/>
      <c r="CF159" s="64"/>
      <c r="CG159" s="64"/>
      <c r="CH159" s="64"/>
      <c r="CI159" s="64"/>
      <c r="CJ159" s="64"/>
      <c r="CK159" s="64"/>
      <c r="CL159" s="64"/>
    </row>
    <row r="160" spans="2:90" s="12" customFormat="1" ht="13.5" customHeight="1">
      <c r="B160" s="129"/>
      <c r="D160" s="130" t="s">
        <v>205</v>
      </c>
      <c r="E160" s="130"/>
      <c r="F160" s="823" t="s">
        <v>296</v>
      </c>
      <c r="G160" s="130" t="s">
        <v>206</v>
      </c>
      <c r="H160" s="130"/>
      <c r="I160" s="130"/>
      <c r="L160" s="130"/>
      <c r="M160" s="130"/>
      <c r="N160" s="130"/>
      <c r="O160" s="823" t="s">
        <v>125</v>
      </c>
      <c r="P160" s="130" t="s">
        <v>207</v>
      </c>
      <c r="Q160" s="130"/>
      <c r="R160" s="130"/>
      <c r="S160" s="130"/>
      <c r="T160" s="130"/>
      <c r="U160" s="130"/>
      <c r="V160" s="130"/>
      <c r="W160" s="130"/>
      <c r="X160" s="130"/>
      <c r="Y160" s="130"/>
      <c r="Z160" s="823" t="s">
        <v>125</v>
      </c>
      <c r="AA160" s="130" t="s">
        <v>208</v>
      </c>
      <c r="AB160" s="130"/>
      <c r="AC160" s="130"/>
      <c r="AD160" s="130"/>
      <c r="AE160" s="130"/>
      <c r="AF160" s="130"/>
      <c r="AG160" s="130"/>
      <c r="AH160" s="130"/>
      <c r="AI160" s="130"/>
      <c r="AJ160" s="130"/>
      <c r="AK160" s="130"/>
      <c r="AL160" s="130"/>
      <c r="AM160" s="130"/>
      <c r="AN160" s="130"/>
      <c r="AO160" s="130"/>
      <c r="AP160" s="130"/>
      <c r="AQ160" s="130"/>
      <c r="AR160" s="130"/>
      <c r="AS160" s="130"/>
      <c r="AT160" s="130"/>
      <c r="AU160" s="130"/>
      <c r="AV160" s="130"/>
      <c r="AW160" s="130"/>
      <c r="AX160" s="130"/>
      <c r="AY160" s="130"/>
      <c r="AZ160" s="130"/>
      <c r="BA160" s="130"/>
      <c r="BB160" s="130"/>
      <c r="BC160" s="130"/>
      <c r="BD160" s="130"/>
      <c r="BE160" s="130"/>
      <c r="BF160" s="130"/>
      <c r="BG160" s="130"/>
      <c r="BH160" s="131"/>
      <c r="CE160" s="64"/>
      <c r="CF160" s="64"/>
      <c r="CG160" s="64"/>
      <c r="CH160" s="64"/>
      <c r="CI160" s="64"/>
      <c r="CJ160" s="64"/>
      <c r="CK160" s="64"/>
      <c r="CL160" s="64"/>
    </row>
    <row r="161" spans="2:90" s="12" customFormat="1" ht="15" customHeight="1">
      <c r="B161" s="129"/>
      <c r="D161" s="130"/>
      <c r="E161" s="130"/>
      <c r="F161" s="130"/>
      <c r="G161" s="130" t="s">
        <v>1101</v>
      </c>
      <c r="H161" s="130"/>
      <c r="I161" s="130"/>
      <c r="J161" s="130"/>
      <c r="K161" s="130"/>
      <c r="L161" s="130"/>
      <c r="M161" s="130"/>
      <c r="P161" s="130" t="s">
        <v>1102</v>
      </c>
      <c r="Q161" s="130"/>
      <c r="R161" s="130"/>
      <c r="S161" s="130"/>
      <c r="T161" s="130"/>
      <c r="U161" s="130"/>
      <c r="V161" s="130"/>
      <c r="W161" s="130"/>
      <c r="X161" s="130"/>
      <c r="Y161" s="130"/>
      <c r="Z161" s="130"/>
      <c r="AA161" s="130" t="s">
        <v>1108</v>
      </c>
      <c r="AB161" s="130"/>
      <c r="AC161" s="130"/>
      <c r="AD161" s="130"/>
      <c r="AE161" s="130"/>
      <c r="AF161" s="130"/>
      <c r="AG161" s="130"/>
      <c r="AH161" s="130"/>
      <c r="AI161" s="130"/>
      <c r="AJ161" s="130"/>
      <c r="AK161" s="130"/>
      <c r="AL161" s="130"/>
      <c r="AM161" s="130"/>
      <c r="AN161" s="130"/>
      <c r="AO161" s="130"/>
      <c r="AP161" s="130"/>
      <c r="AQ161" s="130"/>
      <c r="AR161" s="130"/>
      <c r="AS161" s="130"/>
      <c r="AT161" s="130"/>
      <c r="AU161" s="130"/>
      <c r="AV161" s="130"/>
      <c r="AW161" s="130"/>
      <c r="AX161" s="130"/>
      <c r="AY161" s="130"/>
      <c r="AZ161" s="130"/>
      <c r="BA161" s="130"/>
      <c r="BB161" s="130"/>
      <c r="BC161" s="130"/>
      <c r="BD161" s="130"/>
      <c r="BE161" s="130"/>
      <c r="BF161" s="130"/>
      <c r="BG161" s="130"/>
      <c r="BH161" s="131"/>
      <c r="CE161" s="64"/>
      <c r="CF161" s="64"/>
      <c r="CG161" s="64"/>
      <c r="CH161" s="64"/>
      <c r="CI161" s="64"/>
      <c r="CJ161" s="64"/>
      <c r="CK161" s="64"/>
      <c r="CL161" s="64"/>
    </row>
    <row r="162" spans="2:90" s="12" customFormat="1" ht="15" customHeight="1">
      <c r="B162" s="129"/>
      <c r="D162" s="130" t="s">
        <v>209</v>
      </c>
      <c r="E162" s="130"/>
      <c r="F162" s="130" t="s">
        <v>1100</v>
      </c>
      <c r="G162" s="130"/>
      <c r="H162" s="130"/>
      <c r="I162" s="130"/>
      <c r="J162" s="130"/>
      <c r="K162" s="130"/>
      <c r="L162" s="130"/>
      <c r="M162" s="130"/>
      <c r="N162" s="130"/>
      <c r="O162" s="130"/>
      <c r="P162" s="130"/>
      <c r="Q162" s="130"/>
      <c r="R162" s="130"/>
      <c r="S162" s="130"/>
      <c r="T162" s="130"/>
      <c r="U162" s="130"/>
      <c r="V162" s="130"/>
      <c r="W162" s="130"/>
      <c r="X162" s="130"/>
      <c r="Y162" s="130"/>
      <c r="Z162" s="130"/>
      <c r="AA162" s="130"/>
      <c r="AB162" s="130"/>
      <c r="AC162" s="130"/>
      <c r="AD162" s="130"/>
      <c r="AE162" s="130"/>
      <c r="AF162" s="130"/>
      <c r="AG162" s="130"/>
      <c r="AH162" s="130"/>
      <c r="AI162" s="130"/>
      <c r="AJ162" s="130"/>
      <c r="AK162" s="130"/>
      <c r="AL162" s="130"/>
      <c r="AM162" s="130"/>
      <c r="AN162" s="130"/>
      <c r="AO162" s="130"/>
      <c r="AP162" s="130"/>
      <c r="AQ162" s="130"/>
      <c r="AR162" s="130"/>
      <c r="AS162" s="130"/>
      <c r="AT162" s="130"/>
      <c r="AU162" s="130"/>
      <c r="AV162" s="130"/>
      <c r="AW162" s="130"/>
      <c r="AX162" s="130"/>
      <c r="AY162" s="130"/>
      <c r="AZ162" s="130"/>
      <c r="BA162" s="130"/>
      <c r="BB162" s="130"/>
      <c r="BC162" s="130"/>
      <c r="BD162" s="130"/>
      <c r="BE162" s="130"/>
      <c r="BF162" s="130"/>
      <c r="BG162" s="130"/>
      <c r="BH162" s="131"/>
      <c r="CE162" s="64"/>
      <c r="CF162" s="64"/>
      <c r="CG162" s="64"/>
      <c r="CH162" s="64"/>
      <c r="CI162" s="64"/>
      <c r="CJ162" s="64"/>
      <c r="CK162" s="64"/>
      <c r="CL162" s="64"/>
    </row>
    <row r="163" spans="2:90" s="12" customFormat="1" ht="15" customHeight="1">
      <c r="B163" s="129"/>
      <c r="F163" s="12" t="s">
        <v>1103</v>
      </c>
      <c r="L163" s="130"/>
      <c r="M163" s="130"/>
      <c r="N163" s="130"/>
      <c r="O163" s="130"/>
      <c r="P163" s="130"/>
      <c r="Q163" s="130"/>
      <c r="R163" s="130"/>
      <c r="S163" s="130"/>
      <c r="T163" s="130"/>
      <c r="U163" s="130"/>
      <c r="V163" s="130"/>
      <c r="W163" s="130"/>
      <c r="X163" s="130"/>
      <c r="Y163" s="130"/>
      <c r="Z163" s="130"/>
      <c r="AA163" s="130"/>
      <c r="AB163" s="130"/>
      <c r="AC163" s="130"/>
      <c r="AD163" s="130"/>
      <c r="AE163" s="130"/>
      <c r="AF163" s="130"/>
      <c r="AG163" s="130"/>
      <c r="AH163" s="130"/>
      <c r="AI163" s="130"/>
      <c r="AJ163" s="130"/>
      <c r="AK163" s="130"/>
      <c r="AL163" s="130"/>
      <c r="AM163" s="130"/>
      <c r="AN163" s="130"/>
      <c r="AO163" s="130"/>
      <c r="AP163" s="130"/>
      <c r="AQ163" s="130"/>
      <c r="AR163" s="130"/>
      <c r="AS163" s="130"/>
      <c r="AT163" s="130"/>
      <c r="AU163" s="130"/>
      <c r="AV163" s="130"/>
      <c r="AW163" s="130"/>
      <c r="AX163" s="130"/>
      <c r="AY163" s="130"/>
      <c r="AZ163" s="130"/>
      <c r="BA163" s="130"/>
      <c r="BB163" s="130"/>
      <c r="BC163" s="130"/>
      <c r="BD163" s="130"/>
      <c r="BE163" s="130"/>
      <c r="BF163" s="130"/>
      <c r="BG163" s="130"/>
      <c r="BH163" s="131"/>
      <c r="CE163" s="64"/>
      <c r="CF163" s="64"/>
      <c r="CG163" s="64"/>
      <c r="CH163" s="64"/>
      <c r="CI163" s="64"/>
      <c r="CJ163" s="64"/>
      <c r="CK163" s="64"/>
      <c r="CL163" s="64"/>
    </row>
    <row r="164" spans="2:90" s="12" customFormat="1" ht="15" customHeight="1">
      <c r="B164" s="129"/>
      <c r="D164" s="951" t="s">
        <v>1327</v>
      </c>
      <c r="E164" s="952"/>
      <c r="F164" s="952"/>
      <c r="G164" s="952"/>
      <c r="H164" s="952"/>
      <c r="I164" s="952"/>
      <c r="J164" s="952"/>
      <c r="K164" s="952"/>
      <c r="L164" s="952"/>
      <c r="M164" s="952"/>
      <c r="N164" s="952"/>
      <c r="O164" s="952"/>
      <c r="P164" s="952"/>
      <c r="Q164" s="952"/>
      <c r="R164" s="952"/>
      <c r="S164" s="952"/>
      <c r="T164" s="952"/>
      <c r="U164" s="952"/>
      <c r="V164" s="952"/>
      <c r="W164" s="952"/>
      <c r="X164" s="952"/>
      <c r="Y164" s="952"/>
      <c r="Z164" s="952"/>
      <c r="AA164" s="952"/>
      <c r="AB164" s="952"/>
      <c r="AC164" s="952"/>
      <c r="AD164" s="952"/>
      <c r="AE164" s="952"/>
      <c r="AF164" s="952"/>
      <c r="AG164" s="952"/>
      <c r="AH164" s="952"/>
      <c r="AI164" s="952"/>
      <c r="AJ164" s="952"/>
      <c r="AK164" s="952"/>
      <c r="AL164" s="952"/>
      <c r="AM164" s="952"/>
      <c r="AN164" s="952"/>
      <c r="AO164" s="952"/>
      <c r="AP164" s="952"/>
      <c r="AQ164" s="952"/>
      <c r="AR164" s="952"/>
      <c r="AS164" s="952"/>
      <c r="AT164" s="952"/>
      <c r="AU164" s="952"/>
      <c r="AV164" s="952"/>
      <c r="AW164" s="952"/>
      <c r="AX164" s="952"/>
      <c r="AY164" s="952"/>
      <c r="AZ164" s="952"/>
      <c r="BA164" s="952"/>
      <c r="BB164" s="952"/>
      <c r="BC164" s="952"/>
      <c r="BD164" s="952"/>
      <c r="BE164" s="952"/>
      <c r="BF164" s="952"/>
      <c r="BG164" s="953"/>
      <c r="BH164" s="131"/>
      <c r="CE164" s="64"/>
      <c r="CF164" s="64"/>
      <c r="CG164" s="64"/>
      <c r="CH164" s="64"/>
      <c r="CI164" s="64"/>
      <c r="CJ164" s="64"/>
      <c r="CK164" s="64"/>
      <c r="CL164" s="64"/>
    </row>
    <row r="165" spans="2:90" s="12" customFormat="1" ht="15" customHeight="1">
      <c r="B165" s="129"/>
      <c r="D165" s="954"/>
      <c r="E165" s="955"/>
      <c r="F165" s="955"/>
      <c r="G165" s="955"/>
      <c r="H165" s="955"/>
      <c r="I165" s="955"/>
      <c r="J165" s="955"/>
      <c r="K165" s="955"/>
      <c r="L165" s="955"/>
      <c r="M165" s="955"/>
      <c r="N165" s="955"/>
      <c r="O165" s="955"/>
      <c r="P165" s="955"/>
      <c r="Q165" s="955"/>
      <c r="R165" s="955"/>
      <c r="S165" s="955"/>
      <c r="T165" s="955"/>
      <c r="U165" s="955"/>
      <c r="V165" s="955"/>
      <c r="W165" s="955"/>
      <c r="X165" s="955"/>
      <c r="Y165" s="955"/>
      <c r="Z165" s="955"/>
      <c r="AA165" s="955"/>
      <c r="AB165" s="955"/>
      <c r="AC165" s="955"/>
      <c r="AD165" s="955"/>
      <c r="AE165" s="955"/>
      <c r="AF165" s="955"/>
      <c r="AG165" s="955"/>
      <c r="AH165" s="955"/>
      <c r="AI165" s="955"/>
      <c r="AJ165" s="955"/>
      <c r="AK165" s="955"/>
      <c r="AL165" s="955"/>
      <c r="AM165" s="955"/>
      <c r="AN165" s="955"/>
      <c r="AO165" s="955"/>
      <c r="AP165" s="955"/>
      <c r="AQ165" s="955"/>
      <c r="AR165" s="955"/>
      <c r="AS165" s="955"/>
      <c r="AT165" s="955"/>
      <c r="AU165" s="955"/>
      <c r="AV165" s="955"/>
      <c r="AW165" s="955"/>
      <c r="AX165" s="955"/>
      <c r="AY165" s="955"/>
      <c r="AZ165" s="955"/>
      <c r="BA165" s="955"/>
      <c r="BB165" s="955"/>
      <c r="BC165" s="955"/>
      <c r="BD165" s="955"/>
      <c r="BE165" s="955"/>
      <c r="BF165" s="955"/>
      <c r="BG165" s="956"/>
      <c r="BH165" s="131"/>
      <c r="CE165" s="64"/>
      <c r="CF165" s="64"/>
      <c r="CG165" s="64"/>
      <c r="CH165" s="64"/>
      <c r="CI165" s="64"/>
      <c r="CJ165" s="64"/>
      <c r="CK165" s="64"/>
      <c r="CL165" s="64"/>
    </row>
    <row r="166" spans="2:90" s="12" customFormat="1" ht="13.5" customHeight="1">
      <c r="B166" s="129"/>
      <c r="C166" s="130"/>
      <c r="D166" s="954"/>
      <c r="E166" s="955"/>
      <c r="F166" s="955"/>
      <c r="G166" s="955"/>
      <c r="H166" s="955"/>
      <c r="I166" s="955"/>
      <c r="J166" s="955"/>
      <c r="K166" s="955"/>
      <c r="L166" s="955"/>
      <c r="M166" s="955"/>
      <c r="N166" s="955"/>
      <c r="O166" s="955"/>
      <c r="P166" s="955"/>
      <c r="Q166" s="955"/>
      <c r="R166" s="955"/>
      <c r="S166" s="955"/>
      <c r="T166" s="955"/>
      <c r="U166" s="955"/>
      <c r="V166" s="955"/>
      <c r="W166" s="955"/>
      <c r="X166" s="955"/>
      <c r="Y166" s="955"/>
      <c r="Z166" s="955"/>
      <c r="AA166" s="955"/>
      <c r="AB166" s="955"/>
      <c r="AC166" s="955"/>
      <c r="AD166" s="955"/>
      <c r="AE166" s="955"/>
      <c r="AF166" s="955"/>
      <c r="AG166" s="955"/>
      <c r="AH166" s="955"/>
      <c r="AI166" s="955"/>
      <c r="AJ166" s="955"/>
      <c r="AK166" s="955"/>
      <c r="AL166" s="955"/>
      <c r="AM166" s="955"/>
      <c r="AN166" s="955"/>
      <c r="AO166" s="955"/>
      <c r="AP166" s="955"/>
      <c r="AQ166" s="955"/>
      <c r="AR166" s="955"/>
      <c r="AS166" s="955"/>
      <c r="AT166" s="955"/>
      <c r="AU166" s="955"/>
      <c r="AV166" s="955"/>
      <c r="AW166" s="955"/>
      <c r="AX166" s="955"/>
      <c r="AY166" s="955"/>
      <c r="AZ166" s="955"/>
      <c r="BA166" s="955"/>
      <c r="BB166" s="955"/>
      <c r="BC166" s="955"/>
      <c r="BD166" s="955"/>
      <c r="BE166" s="955"/>
      <c r="BF166" s="955"/>
      <c r="BG166" s="956"/>
      <c r="BH166" s="131"/>
      <c r="CE166" s="64"/>
      <c r="CF166" s="64"/>
      <c r="CG166" s="64"/>
      <c r="CH166" s="64"/>
      <c r="CI166" s="64"/>
      <c r="CJ166" s="64"/>
      <c r="CK166" s="64"/>
      <c r="CL166" s="64"/>
    </row>
    <row r="167" spans="2:90" s="12" customFormat="1" ht="15" customHeight="1">
      <c r="B167" s="129"/>
      <c r="C167" s="130"/>
      <c r="D167" s="957"/>
      <c r="E167" s="958"/>
      <c r="F167" s="958"/>
      <c r="G167" s="958"/>
      <c r="H167" s="958"/>
      <c r="I167" s="958"/>
      <c r="J167" s="958"/>
      <c r="K167" s="958"/>
      <c r="L167" s="958"/>
      <c r="M167" s="958"/>
      <c r="N167" s="958"/>
      <c r="O167" s="958"/>
      <c r="P167" s="958"/>
      <c r="Q167" s="958"/>
      <c r="R167" s="958"/>
      <c r="S167" s="958"/>
      <c r="T167" s="958"/>
      <c r="U167" s="958"/>
      <c r="V167" s="958"/>
      <c r="W167" s="958"/>
      <c r="X167" s="958"/>
      <c r="Y167" s="958"/>
      <c r="Z167" s="958"/>
      <c r="AA167" s="958"/>
      <c r="AB167" s="958"/>
      <c r="AC167" s="958"/>
      <c r="AD167" s="958"/>
      <c r="AE167" s="958"/>
      <c r="AF167" s="958"/>
      <c r="AG167" s="958"/>
      <c r="AH167" s="958"/>
      <c r="AI167" s="958"/>
      <c r="AJ167" s="958"/>
      <c r="AK167" s="958"/>
      <c r="AL167" s="958"/>
      <c r="AM167" s="958"/>
      <c r="AN167" s="958"/>
      <c r="AO167" s="958"/>
      <c r="AP167" s="958"/>
      <c r="AQ167" s="958"/>
      <c r="AR167" s="958"/>
      <c r="AS167" s="958"/>
      <c r="AT167" s="958"/>
      <c r="AU167" s="958"/>
      <c r="AV167" s="958"/>
      <c r="AW167" s="958"/>
      <c r="AX167" s="958"/>
      <c r="AY167" s="958"/>
      <c r="AZ167" s="958"/>
      <c r="BA167" s="958"/>
      <c r="BB167" s="958"/>
      <c r="BC167" s="958"/>
      <c r="BD167" s="958"/>
      <c r="BE167" s="958"/>
      <c r="BF167" s="958"/>
      <c r="BG167" s="959"/>
      <c r="BH167" s="131"/>
      <c r="CE167" s="64"/>
      <c r="CF167" s="64"/>
      <c r="CG167" s="64"/>
      <c r="CH167" s="64"/>
      <c r="CI167" s="64"/>
      <c r="CJ167" s="64"/>
      <c r="CK167" s="64"/>
      <c r="CL167" s="64"/>
    </row>
    <row r="168" spans="2:90" s="12" customFormat="1" ht="14.25" customHeight="1" thickBot="1">
      <c r="B168" s="132"/>
      <c r="C168" s="133"/>
      <c r="D168" s="133"/>
      <c r="E168" s="133"/>
      <c r="F168" s="133"/>
      <c r="G168" s="133"/>
      <c r="H168" s="133"/>
      <c r="I168" s="133"/>
      <c r="J168" s="133"/>
      <c r="K168" s="133"/>
      <c r="L168" s="133"/>
      <c r="M168" s="133"/>
      <c r="N168" s="133"/>
      <c r="O168" s="133"/>
      <c r="P168" s="133"/>
      <c r="Q168" s="133"/>
      <c r="R168" s="133"/>
      <c r="S168" s="133"/>
      <c r="T168" s="133"/>
      <c r="U168" s="133"/>
      <c r="V168" s="133"/>
      <c r="W168" s="133"/>
      <c r="X168" s="133"/>
      <c r="Y168" s="133"/>
      <c r="Z168" s="133"/>
      <c r="AA168" s="133"/>
      <c r="AB168" s="133"/>
      <c r="AC168" s="133"/>
      <c r="AD168" s="133"/>
      <c r="AE168" s="133"/>
      <c r="AF168" s="133"/>
      <c r="AG168" s="133"/>
      <c r="AH168" s="133"/>
      <c r="AI168" s="133"/>
      <c r="AJ168" s="133"/>
      <c r="AK168" s="133"/>
      <c r="AL168" s="133"/>
      <c r="AM168" s="133"/>
      <c r="AN168" s="133"/>
      <c r="AO168" s="133"/>
      <c r="AP168" s="133"/>
      <c r="AQ168" s="133"/>
      <c r="AR168" s="133"/>
      <c r="AS168" s="133"/>
      <c r="AT168" s="133"/>
      <c r="AU168" s="133"/>
      <c r="AV168" s="133"/>
      <c r="AW168" s="133"/>
      <c r="AX168" s="133"/>
      <c r="AY168" s="133"/>
      <c r="AZ168" s="133"/>
      <c r="BA168" s="133"/>
      <c r="BB168" s="133"/>
      <c r="BC168" s="133"/>
      <c r="BD168" s="133"/>
      <c r="BE168" s="133"/>
      <c r="BF168" s="133"/>
      <c r="BG168" s="133"/>
      <c r="BH168" s="134"/>
      <c r="CE168" s="64"/>
      <c r="CF168" s="64"/>
      <c r="CG168" s="64"/>
      <c r="CH168" s="64"/>
      <c r="CI168" s="64"/>
      <c r="CJ168" s="64"/>
      <c r="CK168" s="64"/>
      <c r="CL168" s="64"/>
    </row>
    <row r="169" spans="2:90" s="12" customFormat="1" ht="15" customHeight="1">
      <c r="B169" s="15"/>
      <c r="C169" s="15"/>
      <c r="D169" s="15"/>
      <c r="E169" s="15"/>
      <c r="F169" s="15"/>
      <c r="G169" s="15"/>
      <c r="H169" s="15"/>
      <c r="I169" s="15"/>
      <c r="J169" s="15"/>
      <c r="K169" s="15"/>
      <c r="L169" s="15"/>
      <c r="M169" s="15"/>
      <c r="N169" s="15"/>
      <c r="O169" s="15"/>
      <c r="P169" s="15"/>
      <c r="Q169" s="15"/>
      <c r="R169" s="15"/>
      <c r="S169" s="15"/>
      <c r="T169" s="48"/>
      <c r="U169" s="15"/>
      <c r="V169" s="15"/>
      <c r="W169" s="48"/>
      <c r="X169" s="48"/>
      <c r="Y169" s="15"/>
      <c r="Z169" s="15"/>
      <c r="AA169" s="15"/>
      <c r="AB169" s="15"/>
      <c r="AC169" s="15"/>
      <c r="AD169" s="48"/>
      <c r="AE169" s="15"/>
      <c r="AF169" s="15"/>
      <c r="AG169" s="15"/>
      <c r="AH169" s="48"/>
      <c r="AI169" s="48"/>
      <c r="AJ169" s="48"/>
      <c r="AK169" s="48"/>
      <c r="AL169" s="15"/>
      <c r="AM169" s="15"/>
      <c r="CE169" s="64"/>
      <c r="CF169" s="64"/>
      <c r="CG169" s="64"/>
      <c r="CH169" s="64"/>
      <c r="CI169" s="64"/>
      <c r="CJ169" s="64"/>
      <c r="CK169" s="64"/>
      <c r="CL169" s="64"/>
    </row>
    <row r="170" spans="2:90" s="12" customFormat="1" ht="15" customHeight="1">
      <c r="B170" s="15" t="s">
        <v>1174</v>
      </c>
      <c r="C170" s="15"/>
      <c r="D170" s="15"/>
      <c r="E170" s="15"/>
      <c r="F170" s="15"/>
      <c r="G170" s="15"/>
      <c r="H170" s="15"/>
      <c r="I170" s="15"/>
      <c r="J170" s="15"/>
      <c r="K170" s="15"/>
      <c r="L170" s="15"/>
      <c r="M170" s="15"/>
      <c r="N170" s="15"/>
      <c r="O170" s="15"/>
      <c r="P170" s="118"/>
      <c r="Q170" s="15"/>
      <c r="R170" s="15"/>
      <c r="S170" s="15"/>
      <c r="T170" s="15"/>
      <c r="U170" s="15"/>
      <c r="V170" s="15"/>
      <c r="W170" s="15"/>
      <c r="X170" s="15"/>
      <c r="Y170" s="15"/>
      <c r="Z170" s="15"/>
      <c r="AB170" s="15"/>
      <c r="AC170" s="15"/>
      <c r="AD170" s="15"/>
      <c r="AE170" s="15"/>
      <c r="AF170" s="15"/>
      <c r="AG170" s="15"/>
      <c r="AH170" s="15"/>
      <c r="AI170" s="15"/>
      <c r="AJ170" s="15"/>
      <c r="AK170" s="15"/>
      <c r="AL170" s="15"/>
      <c r="AM170" s="15"/>
      <c r="CE170" s="64"/>
      <c r="CF170" s="64"/>
      <c r="CG170" s="64"/>
      <c r="CH170" s="64"/>
      <c r="CI170" s="64"/>
      <c r="CJ170" s="64"/>
      <c r="CK170" s="64"/>
      <c r="CL170" s="64"/>
    </row>
    <row r="171" spans="2:90" s="12" customFormat="1" ht="11.25">
      <c r="B171" s="15" t="s">
        <v>1175</v>
      </c>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c r="AL171" s="15"/>
      <c r="AM171" s="15"/>
      <c r="CE171" s="64"/>
      <c r="CF171" s="64"/>
      <c r="CG171" s="64"/>
      <c r="CH171" s="64"/>
      <c r="CI171" s="64"/>
      <c r="CJ171" s="64"/>
      <c r="CK171" s="64"/>
      <c r="CL171" s="64"/>
    </row>
    <row r="172" spans="2:90" s="12" customFormat="1" ht="15" customHeight="1">
      <c r="B172" s="15" t="s">
        <v>1262</v>
      </c>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c r="AL172" s="15"/>
      <c r="AM172" s="15"/>
      <c r="CE172" s="64"/>
      <c r="CF172" s="64"/>
      <c r="CG172" s="64"/>
      <c r="CH172" s="64"/>
      <c r="CI172" s="64"/>
      <c r="CJ172" s="64"/>
      <c r="CK172" s="64"/>
      <c r="CL172" s="64"/>
    </row>
    <row r="173" spans="2:90" s="5" customFormat="1" ht="12">
      <c r="B173" s="15" t="s">
        <v>77</v>
      </c>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c r="AL173" s="15"/>
      <c r="AM173" s="15"/>
      <c r="AN173" s="12"/>
      <c r="AO173" s="12"/>
      <c r="AP173" s="12"/>
      <c r="AQ173" s="12"/>
      <c r="AR173" s="12"/>
      <c r="AS173" s="12"/>
      <c r="AT173" s="12"/>
      <c r="AU173" s="12"/>
      <c r="AV173" s="12"/>
      <c r="AW173" s="12"/>
      <c r="AX173" s="12"/>
      <c r="AY173" s="12"/>
      <c r="AZ173" s="12"/>
      <c r="BA173" s="12"/>
      <c r="BB173" s="12"/>
      <c r="BC173" s="12"/>
      <c r="BD173" s="12"/>
      <c r="BE173" s="12"/>
      <c r="BF173" s="12"/>
      <c r="BG173" s="12"/>
      <c r="BH173" s="12"/>
      <c r="CE173" s="646"/>
      <c r="CF173" s="646"/>
      <c r="CG173" s="646"/>
      <c r="CH173" s="646"/>
      <c r="CI173" s="646"/>
      <c r="CJ173" s="646"/>
      <c r="CK173" s="646"/>
      <c r="CL173" s="646"/>
    </row>
    <row r="174" spans="2:90" s="64" customFormat="1" ht="15" customHeight="1">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c r="AL174" s="15"/>
      <c r="AM174" s="15"/>
      <c r="AN174" s="12"/>
      <c r="AO174" s="12"/>
      <c r="AP174" s="12"/>
      <c r="AQ174" s="12"/>
      <c r="AR174" s="12"/>
      <c r="AS174" s="12"/>
      <c r="AT174" s="12"/>
      <c r="AU174" s="12"/>
      <c r="AV174" s="12"/>
      <c r="AW174" s="12"/>
      <c r="AX174" s="12"/>
      <c r="AY174" s="12"/>
      <c r="AZ174" s="12"/>
      <c r="BA174" s="12"/>
      <c r="BB174" s="12"/>
      <c r="BC174" s="12"/>
      <c r="BD174" s="12"/>
      <c r="BE174" s="12"/>
      <c r="BF174" s="12"/>
      <c r="BG174" s="12"/>
      <c r="BH174" s="12"/>
    </row>
    <row r="175" spans="2:90" s="64" customFormat="1" ht="15" customHeight="1">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5"/>
      <c r="AO175" s="5"/>
      <c r="AP175" s="5"/>
      <c r="AQ175" s="5"/>
      <c r="AR175" s="5"/>
      <c r="AS175" s="5"/>
      <c r="AT175" s="5"/>
      <c r="AU175" s="5"/>
      <c r="AV175" s="5"/>
      <c r="AW175" s="5"/>
      <c r="AX175" s="5"/>
      <c r="AY175" s="5"/>
      <c r="AZ175" s="5"/>
      <c r="BA175" s="5"/>
      <c r="BB175" s="5"/>
      <c r="BC175" s="5"/>
      <c r="BD175" s="5"/>
      <c r="BE175" s="5"/>
      <c r="BF175" s="5"/>
      <c r="BG175" s="5"/>
      <c r="BH175" s="5"/>
    </row>
    <row r="176" spans="2:90" s="4" customFormat="1" ht="15" customHeight="1">
      <c r="B176" s="63" t="s">
        <v>33</v>
      </c>
      <c r="C176" s="63"/>
      <c r="D176" s="63"/>
      <c r="E176" s="63"/>
      <c r="F176" s="63"/>
      <c r="G176" s="1101" t="s">
        <v>1315</v>
      </c>
      <c r="H176" s="1101"/>
      <c r="I176" s="1101"/>
      <c r="J176" s="1101"/>
      <c r="K176" s="1101"/>
      <c r="L176" s="63" t="s">
        <v>4</v>
      </c>
      <c r="M176" s="63"/>
      <c r="N176" s="1101" t="s">
        <v>1303</v>
      </c>
      <c r="O176" s="1101"/>
      <c r="P176" s="1101"/>
      <c r="Q176" s="63"/>
      <c r="R176" s="63" t="s">
        <v>34</v>
      </c>
      <c r="S176" s="63"/>
      <c r="T176" s="1101" t="s">
        <v>1320</v>
      </c>
      <c r="U176" s="1101"/>
      <c r="V176" s="1101"/>
      <c r="W176" s="63"/>
      <c r="X176" s="63" t="s">
        <v>6</v>
      </c>
      <c r="Y176" s="63"/>
      <c r="Z176" s="63"/>
      <c r="AA176" s="63"/>
      <c r="AB176" s="63"/>
      <c r="AC176" s="63"/>
      <c r="AD176" s="63"/>
      <c r="AE176" s="63"/>
      <c r="AF176" s="63"/>
      <c r="AG176" s="63"/>
      <c r="AH176" s="63"/>
      <c r="AI176" s="63"/>
      <c r="AJ176" s="63" t="s">
        <v>179</v>
      </c>
      <c r="AK176" s="63"/>
      <c r="AL176" s="63"/>
      <c r="AM176" s="63"/>
      <c r="AN176" s="63"/>
      <c r="AO176" s="63"/>
      <c r="AP176" s="63"/>
      <c r="AQ176" s="63"/>
      <c r="AR176" s="63"/>
      <c r="AS176" s="1119"/>
      <c r="AT176" s="1119"/>
      <c r="AU176" s="1119"/>
      <c r="AV176" s="1119"/>
      <c r="AW176" s="1119"/>
      <c r="AX176" s="1119"/>
      <c r="AY176" s="1119"/>
      <c r="AZ176" s="1119"/>
      <c r="BA176" s="1119"/>
      <c r="BB176" s="1119"/>
      <c r="BC176" s="1119"/>
      <c r="BD176" s="1119"/>
      <c r="BE176" s="1119"/>
      <c r="BF176" s="1119"/>
      <c r="BG176" s="1119"/>
      <c r="BH176" s="64"/>
      <c r="CE176" s="64"/>
      <c r="CF176" s="64"/>
      <c r="CG176" s="64"/>
      <c r="CH176" s="64"/>
      <c r="CI176" s="64"/>
      <c r="CJ176" s="64"/>
      <c r="CK176" s="64"/>
      <c r="CL176" s="64"/>
    </row>
    <row r="177" spans="2:60" ht="15" customHeight="1">
      <c r="B177" s="65" t="s">
        <v>29</v>
      </c>
      <c r="C177" s="65"/>
      <c r="D177" s="65"/>
      <c r="E177" s="65"/>
      <c r="F177" s="65"/>
      <c r="G177" s="1102"/>
      <c r="H177" s="1102"/>
      <c r="I177" s="1102"/>
      <c r="J177" s="1102"/>
      <c r="K177" s="1102"/>
      <c r="L177" s="65" t="s">
        <v>30</v>
      </c>
      <c r="M177" s="65"/>
      <c r="N177" s="1102"/>
      <c r="O177" s="1102"/>
      <c r="P177" s="1102"/>
      <c r="Q177" s="65" t="s">
        <v>31</v>
      </c>
      <c r="R177" s="65"/>
      <c r="S177" s="65"/>
      <c r="T177" s="1102"/>
      <c r="U177" s="1102"/>
      <c r="V177" s="1102"/>
      <c r="W177" s="65"/>
      <c r="X177" s="66" t="s">
        <v>32</v>
      </c>
      <c r="Y177" s="65"/>
      <c r="Z177" s="63"/>
      <c r="AA177" s="63"/>
      <c r="AB177" s="63"/>
      <c r="AC177" s="63"/>
      <c r="AD177" s="63"/>
      <c r="AE177" s="63"/>
      <c r="AF177" s="63"/>
      <c r="AG177" s="63"/>
      <c r="AH177" s="63"/>
      <c r="AI177" s="63"/>
      <c r="AJ177" s="65" t="s">
        <v>180</v>
      </c>
      <c r="AK177" s="65"/>
      <c r="AL177" s="65"/>
      <c r="AM177" s="65"/>
      <c r="AN177" s="65"/>
      <c r="AO177" s="65"/>
      <c r="AP177" s="65"/>
      <c r="AQ177" s="65"/>
      <c r="AR177" s="65"/>
      <c r="AS177" s="1120"/>
      <c r="AT177" s="1120"/>
      <c r="AU177" s="1120"/>
      <c r="AV177" s="1120"/>
      <c r="AW177" s="1120"/>
      <c r="AX177" s="1120"/>
      <c r="AY177" s="1120"/>
      <c r="AZ177" s="1120"/>
      <c r="BA177" s="1120"/>
      <c r="BB177" s="1120"/>
      <c r="BC177" s="1120"/>
      <c r="BD177" s="1120"/>
      <c r="BE177" s="1120"/>
      <c r="BF177" s="1120"/>
      <c r="BG177" s="1120"/>
      <c r="BH177" s="65"/>
    </row>
    <row r="178" spans="2:60" ht="15" customHeight="1">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4"/>
      <c r="AO178" s="4"/>
      <c r="AP178" s="4"/>
      <c r="AQ178" s="4"/>
      <c r="AR178" s="4"/>
      <c r="AS178" s="4"/>
      <c r="AT178" s="4"/>
      <c r="AU178" s="4"/>
      <c r="AV178" s="4"/>
      <c r="AW178" s="4"/>
      <c r="AX178" s="4"/>
      <c r="AY178" s="4"/>
      <c r="AZ178" s="4"/>
      <c r="BA178" s="4"/>
      <c r="BB178" s="4"/>
      <c r="BC178" s="4"/>
      <c r="BD178" s="4"/>
      <c r="BE178" s="4"/>
      <c r="BF178" s="4"/>
      <c r="BG178" s="4"/>
      <c r="BH178" s="4"/>
    </row>
  </sheetData>
  <mergeCells count="311">
    <mergeCell ref="CC1:CC2"/>
    <mergeCell ref="CB1:CB2"/>
    <mergeCell ref="BZ1:BZ2"/>
    <mergeCell ref="BY1:BY2"/>
    <mergeCell ref="BX1:BX2"/>
    <mergeCell ref="B2:BH2"/>
    <mergeCell ref="B3:BH3"/>
    <mergeCell ref="B7:L7"/>
    <mergeCell ref="A5:BH5"/>
    <mergeCell ref="A6:BH6"/>
    <mergeCell ref="J11:Q12"/>
    <mergeCell ref="S11:AD12"/>
    <mergeCell ref="AM11:AT12"/>
    <mergeCell ref="U34:V35"/>
    <mergeCell ref="X30:Y31"/>
    <mergeCell ref="P32:S33"/>
    <mergeCell ref="U32:V33"/>
    <mergeCell ref="X32:Y33"/>
    <mergeCell ref="P30:S31"/>
    <mergeCell ref="AI14:AJ15"/>
    <mergeCell ref="AN14:AO15"/>
    <mergeCell ref="Z14:AE15"/>
    <mergeCell ref="U28:V29"/>
    <mergeCell ref="X28:Y29"/>
    <mergeCell ref="AB26:BH26"/>
    <mergeCell ref="AB27:BH27"/>
    <mergeCell ref="P27:AA27"/>
    <mergeCell ref="AV11:BG12"/>
    <mergeCell ref="AX14:BH22"/>
    <mergeCell ref="J20:AW21"/>
    <mergeCell ref="AG22:AW22"/>
    <mergeCell ref="AB28:BG29"/>
    <mergeCell ref="AB30:BG31"/>
    <mergeCell ref="AB32:BG33"/>
    <mergeCell ref="B32:G33"/>
    <mergeCell ref="B47:F47"/>
    <mergeCell ref="G47:N47"/>
    <mergeCell ref="X40:Y41"/>
    <mergeCell ref="U42:V43"/>
    <mergeCell ref="O47:Z47"/>
    <mergeCell ref="G51:N52"/>
    <mergeCell ref="P40:S41"/>
    <mergeCell ref="U40:V41"/>
    <mergeCell ref="B40:G41"/>
    <mergeCell ref="P34:S35"/>
    <mergeCell ref="B53:F54"/>
    <mergeCell ref="O53:R54"/>
    <mergeCell ref="G49:N50"/>
    <mergeCell ref="H44:O45"/>
    <mergeCell ref="H40:O41"/>
    <mergeCell ref="H42:O43"/>
    <mergeCell ref="B36:G37"/>
    <mergeCell ref="B38:G39"/>
    <mergeCell ref="AM47:AX47"/>
    <mergeCell ref="AA47:AG47"/>
    <mergeCell ref="B48:F48"/>
    <mergeCell ref="G48:N48"/>
    <mergeCell ref="B51:F52"/>
    <mergeCell ref="AB40:BG41"/>
    <mergeCell ref="X36:Y37"/>
    <mergeCell ref="P38:S39"/>
    <mergeCell ref="P36:S37"/>
    <mergeCell ref="AQ57:AU57"/>
    <mergeCell ref="T57:AG57"/>
    <mergeCell ref="X42:Y43"/>
    <mergeCell ref="P42:S43"/>
    <mergeCell ref="AH47:AL47"/>
    <mergeCell ref="AH48:AL48"/>
    <mergeCell ref="AB42:BG43"/>
    <mergeCell ref="AB44:BG45"/>
    <mergeCell ref="X44:Y45"/>
    <mergeCell ref="AY47:BH47"/>
    <mergeCell ref="O49:R50"/>
    <mergeCell ref="O48:Z48"/>
    <mergeCell ref="AY48:BH48"/>
    <mergeCell ref="AA48:AG48"/>
    <mergeCell ref="AH51:AL52"/>
    <mergeCell ref="AH53:AL54"/>
    <mergeCell ref="AM49:AX50"/>
    <mergeCell ref="AM51:AX52"/>
    <mergeCell ref="AM53:AX54"/>
    <mergeCell ref="AM48:AX48"/>
    <mergeCell ref="T51:U52"/>
    <mergeCell ref="AH49:AL50"/>
    <mergeCell ref="D65:G65"/>
    <mergeCell ref="AR136:BH137"/>
    <mergeCell ref="AF78:AI78"/>
    <mergeCell ref="AF80:AI80"/>
    <mergeCell ref="AQ78:AT78"/>
    <mergeCell ref="AQ80:AT80"/>
    <mergeCell ref="AL78:AN78"/>
    <mergeCell ref="AL80:AN80"/>
    <mergeCell ref="AW78:AY78"/>
    <mergeCell ref="AW80:AY80"/>
    <mergeCell ref="AW82:AY82"/>
    <mergeCell ref="AW86:AY86"/>
    <mergeCell ref="BD92:BF92"/>
    <mergeCell ref="AS94:AU94"/>
    <mergeCell ref="AX94:BA94"/>
    <mergeCell ref="BD94:BF94"/>
    <mergeCell ref="AS92:AU92"/>
    <mergeCell ref="AU103:AX103"/>
    <mergeCell ref="BA103:BC103"/>
    <mergeCell ref="AC111:BH112"/>
    <mergeCell ref="AC113:BH114"/>
    <mergeCell ref="Y65:Z65"/>
    <mergeCell ref="AC65:AD65"/>
    <mergeCell ref="AX92:BA92"/>
    <mergeCell ref="M126:AJ127"/>
    <mergeCell ref="K123:AN124"/>
    <mergeCell ref="AF86:AI86"/>
    <mergeCell ref="AQ82:AT82"/>
    <mergeCell ref="AQ86:AT86"/>
    <mergeCell ref="K136:AN137"/>
    <mergeCell ref="AR134:BH135"/>
    <mergeCell ref="AR130:BH131"/>
    <mergeCell ref="AF82:AI82"/>
    <mergeCell ref="AL82:AN82"/>
    <mergeCell ref="AL86:AN86"/>
    <mergeCell ref="AQ84:AT84"/>
    <mergeCell ref="B98:N99"/>
    <mergeCell ref="B94:P95"/>
    <mergeCell ref="J128:AN129"/>
    <mergeCell ref="AY119:BF120"/>
    <mergeCell ref="B113:D113"/>
    <mergeCell ref="F113:G113"/>
    <mergeCell ref="B107:C107"/>
    <mergeCell ref="H86:T87"/>
    <mergeCell ref="AM94:AP94"/>
    <mergeCell ref="AI103:AM103"/>
    <mergeCell ref="AR128:BH129"/>
    <mergeCell ref="AR123:BH124"/>
    <mergeCell ref="D63:G63"/>
    <mergeCell ref="Y63:Z63"/>
    <mergeCell ref="T49:U50"/>
    <mergeCell ref="B49:F50"/>
    <mergeCell ref="AV61:BH61"/>
    <mergeCell ref="AV62:BH62"/>
    <mergeCell ref="AY53:BH54"/>
    <mergeCell ref="AV63:BH64"/>
    <mergeCell ref="W49:X50"/>
    <mergeCell ref="W51:X52"/>
    <mergeCell ref="T53:U54"/>
    <mergeCell ref="W53:X54"/>
    <mergeCell ref="O51:R52"/>
    <mergeCell ref="AG63:AU64"/>
    <mergeCell ref="J63:K63"/>
    <mergeCell ref="G53:N54"/>
    <mergeCell ref="R61:AF61"/>
    <mergeCell ref="AG61:AU61"/>
    <mergeCell ref="R62:AF62"/>
    <mergeCell ref="AY51:BH52"/>
    <mergeCell ref="N63:O63"/>
    <mergeCell ref="S63:V63"/>
    <mergeCell ref="AY57:BA57"/>
    <mergeCell ref="BD57:BF57"/>
    <mergeCell ref="AB34:BG35"/>
    <mergeCell ref="H16:N17"/>
    <mergeCell ref="J22:AF22"/>
    <mergeCell ref="W16:AG17"/>
    <mergeCell ref="U30:V31"/>
    <mergeCell ref="U38:V39"/>
    <mergeCell ref="H32:O33"/>
    <mergeCell ref="X38:Y39"/>
    <mergeCell ref="H36:O37"/>
    <mergeCell ref="H38:O39"/>
    <mergeCell ref="X34:Y35"/>
    <mergeCell ref="H34:O35"/>
    <mergeCell ref="AB38:BG39"/>
    <mergeCell ref="B22:I22"/>
    <mergeCell ref="B27:G27"/>
    <mergeCell ref="B26:G26"/>
    <mergeCell ref="H27:O27"/>
    <mergeCell ref="P28:S29"/>
    <mergeCell ref="H26:O26"/>
    <mergeCell ref="P26:AA26"/>
    <mergeCell ref="B21:I21"/>
    <mergeCell ref="AB36:BG37"/>
    <mergeCell ref="H28:O29"/>
    <mergeCell ref="H30:O31"/>
    <mergeCell ref="G176:K177"/>
    <mergeCell ref="N176:P177"/>
    <mergeCell ref="T176:V177"/>
    <mergeCell ref="K130:AN131"/>
    <mergeCell ref="J134:AN135"/>
    <mergeCell ref="B92:P93"/>
    <mergeCell ref="H78:T79"/>
    <mergeCell ref="H80:T81"/>
    <mergeCell ref="H82:T83"/>
    <mergeCell ref="O98:AH99"/>
    <mergeCell ref="AI98:BH98"/>
    <mergeCell ref="AI99:BH99"/>
    <mergeCell ref="B100:N102"/>
    <mergeCell ref="O100:AH102"/>
    <mergeCell ref="B103:N105"/>
    <mergeCell ref="O103:AH105"/>
    <mergeCell ref="AP103:AR103"/>
    <mergeCell ref="AS176:BG177"/>
    <mergeCell ref="AY126:BF127"/>
    <mergeCell ref="AM92:AP92"/>
    <mergeCell ref="B111:D111"/>
    <mergeCell ref="Q94:AL95"/>
    <mergeCell ref="O110:T110"/>
    <mergeCell ref="I110:N110"/>
    <mergeCell ref="J65:K65"/>
    <mergeCell ref="N65:O65"/>
    <mergeCell ref="AF76:AI76"/>
    <mergeCell ref="AF84:AI84"/>
    <mergeCell ref="AL84:AN84"/>
    <mergeCell ref="AL76:AN76"/>
    <mergeCell ref="U78:AE79"/>
    <mergeCell ref="U80:AE81"/>
    <mergeCell ref="U82:AE83"/>
    <mergeCell ref="U84:AE85"/>
    <mergeCell ref="U70:X70"/>
    <mergeCell ref="B28:G29"/>
    <mergeCell ref="B30:G31"/>
    <mergeCell ref="B34:G35"/>
    <mergeCell ref="B44:G45"/>
    <mergeCell ref="P44:S45"/>
    <mergeCell ref="U44:V45"/>
    <mergeCell ref="U36:V37"/>
    <mergeCell ref="O113:T114"/>
    <mergeCell ref="AR121:BH122"/>
    <mergeCell ref="AI100:AM100"/>
    <mergeCell ref="AP100:AR100"/>
    <mergeCell ref="BA100:BC100"/>
    <mergeCell ref="AU100:AX100"/>
    <mergeCell ref="S59:T59"/>
    <mergeCell ref="Q90:AL90"/>
    <mergeCell ref="Q91:AL91"/>
    <mergeCell ref="Q92:AL93"/>
    <mergeCell ref="O109:T109"/>
    <mergeCell ref="I109:N109"/>
    <mergeCell ref="U110:AB110"/>
    <mergeCell ref="B110:H110"/>
    <mergeCell ref="B109:H109"/>
    <mergeCell ref="B42:G43"/>
    <mergeCell ref="AC63:AD63"/>
    <mergeCell ref="AS147:AY148"/>
    <mergeCell ref="AZ147:AZ148"/>
    <mergeCell ref="AR147:AR148"/>
    <mergeCell ref="H74:T74"/>
    <mergeCell ref="H75:T75"/>
    <mergeCell ref="I111:N112"/>
    <mergeCell ref="I113:N114"/>
    <mergeCell ref="U86:AE87"/>
    <mergeCell ref="B90:P90"/>
    <mergeCell ref="B91:P91"/>
    <mergeCell ref="B80:G81"/>
    <mergeCell ref="H84:T85"/>
    <mergeCell ref="O111:T112"/>
    <mergeCell ref="AC109:BH109"/>
    <mergeCell ref="AC110:BH110"/>
    <mergeCell ref="U109:AB109"/>
    <mergeCell ref="F111:G111"/>
    <mergeCell ref="M132:AJ133"/>
    <mergeCell ref="AY132:BF133"/>
    <mergeCell ref="U74:AE74"/>
    <mergeCell ref="B74:G75"/>
    <mergeCell ref="AQ76:AT76"/>
    <mergeCell ref="B76:G76"/>
    <mergeCell ref="M119:AJ120"/>
    <mergeCell ref="J121:AN122"/>
    <mergeCell ref="AG62:AU62"/>
    <mergeCell ref="B61:Q61"/>
    <mergeCell ref="B62:Q62"/>
    <mergeCell ref="AA70:AB70"/>
    <mergeCell ref="S65:V65"/>
    <mergeCell ref="AY49:BH50"/>
    <mergeCell ref="B77:G77"/>
    <mergeCell ref="AX90:BH90"/>
    <mergeCell ref="B79:G79"/>
    <mergeCell ref="B84:G85"/>
    <mergeCell ref="B86:G87"/>
    <mergeCell ref="AW84:AY84"/>
    <mergeCell ref="AX91:BH91"/>
    <mergeCell ref="AG68:BE68"/>
    <mergeCell ref="H70:K70"/>
    <mergeCell ref="AG65:AU66"/>
    <mergeCell ref="U75:AE75"/>
    <mergeCell ref="Y72:Z72"/>
    <mergeCell ref="AF74:AP74"/>
    <mergeCell ref="AF75:AP75"/>
    <mergeCell ref="AV65:BH66"/>
    <mergeCell ref="H76:T77"/>
    <mergeCell ref="N70:O70"/>
    <mergeCell ref="D164:BG167"/>
    <mergeCell ref="D152:BG156"/>
    <mergeCell ref="AC115:BH116"/>
    <mergeCell ref="O115:T116"/>
    <mergeCell ref="I115:N116"/>
    <mergeCell ref="F115:G115"/>
    <mergeCell ref="B115:D115"/>
    <mergeCell ref="BB74:BH74"/>
    <mergeCell ref="BB75:BH75"/>
    <mergeCell ref="BB76:BH77"/>
    <mergeCell ref="BB78:BH79"/>
    <mergeCell ref="BB80:BH81"/>
    <mergeCell ref="BB82:BH83"/>
    <mergeCell ref="BB84:BH85"/>
    <mergeCell ref="BB86:BH87"/>
    <mergeCell ref="B82:G83"/>
    <mergeCell ref="U76:AE77"/>
    <mergeCell ref="AW76:AY76"/>
    <mergeCell ref="B78:G78"/>
    <mergeCell ref="T144:AL144"/>
    <mergeCell ref="AM90:AW90"/>
    <mergeCell ref="AM91:AW91"/>
    <mergeCell ref="AQ74:BA74"/>
    <mergeCell ref="AQ75:BA75"/>
  </mergeCells>
  <phoneticPr fontId="5"/>
  <dataValidations count="11">
    <dataValidation type="list" allowBlank="1" showInputMessage="1" showErrorMessage="1" sqref="H16:N17">
      <formula1>$BO$3:$BO$9</formula1>
    </dataValidation>
    <dataValidation type="list" allowBlank="1" showInputMessage="1" showErrorMessage="1" sqref="H107 AW70 AE53 AB53 AB51 AE51 AB49 AI18 N46 AE49 L46 AT16 AQ16 H14 L14 P46 N18 I18:L18 O57 I57 P59 L59 AI70 AO70:AP70 T46 AE70 AB68 V68 T88 M88 D107 Q88 U111 Y111 U113 Y113 U115 Y115 E142 O142 AA142 AM142 O144 E144 E147 K147 Q147 W147 AC147 AN147 BB147 F160 O160 Z160 U18 S18">
      <formula1>$CD$3:$CD$4</formula1>
    </dataValidation>
    <dataValidation type="list" allowBlank="1" showInputMessage="1" showErrorMessage="1" sqref="BB80:BH87">
      <formula1>$BV$3:$BV$10</formula1>
    </dataValidation>
    <dataValidation type="list" allowBlank="1" showInputMessage="1" showErrorMessage="1" sqref="AH49:AL50">
      <formula1>$BO$3:$BO$10</formula1>
    </dataValidation>
    <dataValidation type="list" allowBlank="1" showInputMessage="1" showErrorMessage="1" sqref="AY119:BF120 AY126:BF127 AY132:BF133">
      <formula1>$BX$3:$BX$23</formula1>
    </dataValidation>
    <dataValidation type="list" allowBlank="1" showInputMessage="1" showErrorMessage="1" sqref="B32:G45">
      <formula1>$BT$3:$BT$19</formula1>
    </dataValidation>
    <dataValidation type="list" allowBlank="1" showInputMessage="1" showErrorMessage="1" sqref="B80:G87">
      <formula1>$CB$3:$CB$14</formula1>
    </dataValidation>
    <dataValidation type="custom" allowBlank="1" showInputMessage="1" showErrorMessage="1" sqref="AR136:BH136 AR121:BN121 AR128:BH128 AR130:BH130 AR134:BH134">
      <formula1>COUNT(INDEX(FIND(MID(AR121&amp;REPT(0,10),ROW($1:$10),1),"0123456789+"),))=10</formula1>
    </dataValidation>
    <dataValidation type="custom" allowBlank="1" showInputMessage="1" showErrorMessage="1" sqref="H76 H78 H80 H82 H84 H86 U76 O100 J20 AB28:BG29 W16:AG17 J121 K123 J128 J134 K130 K136">
      <formula1>LEN(H16)=LENB(H16)</formula1>
    </dataValidation>
    <dataValidation type="custom" imeMode="off" allowBlank="1" showInputMessage="1" showErrorMessage="1" sqref="J11:Q12 AM11:AT12">
      <formula1>AND(ISERROR(FIND(" ",J11)),ISERROR(FIND("　",J11)))</formula1>
    </dataValidation>
    <dataValidation type="custom" allowBlank="1" showInputMessage="1" showErrorMessage="1" sqref="J22:AF22">
      <formula1>COUNT(INDEX(FIND(MID(J22&amp;REPT(0,10),ROW($1:$10),1),"0123456789+"),))=10</formula1>
    </dataValidation>
  </dataValidations>
  <printOptions horizontalCentered="1"/>
  <pageMargins left="0.31496062992125984" right="0.43307086614173229" top="0.43307086614173229" bottom="0" header="0" footer="0"/>
  <pageSetup paperSize="9" orientation="portrait" blackAndWhite="1" r:id="rId1"/>
  <headerFooter alignWithMargins="0">
    <oddHeader>&amp;L&amp;6 2016年5月改訂</oddHeader>
  </headerFooter>
  <rowBreaks count="2" manualBreakCount="2">
    <brk id="54" max="59" man="1"/>
    <brk id="116" max="5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B2:CL52"/>
  <sheetViews>
    <sheetView view="pageBreakPreview" topLeftCell="A28" zoomScale="130" zoomScaleNormal="130" zoomScaleSheetLayoutView="130" zoomScalePageLayoutView="115" workbookViewId="0">
      <selection activeCell="AB13" sqref="AB13:BG14"/>
    </sheetView>
  </sheetViews>
  <sheetFormatPr defaultRowHeight="13.5"/>
  <cols>
    <col min="1" max="1" width="1.375" customWidth="1"/>
    <col min="2" max="60" width="1.625" customWidth="1"/>
    <col min="61" max="61" width="0.125" customWidth="1"/>
    <col min="62" max="66" width="1.625" customWidth="1"/>
    <col min="67" max="67" width="7.625" bestFit="1" customWidth="1"/>
    <col min="68" max="68" width="7.625" customWidth="1"/>
    <col min="69" max="69" width="3.125" customWidth="1"/>
    <col min="70" max="70" width="7.75" bestFit="1" customWidth="1"/>
    <col min="71" max="71" width="4" customWidth="1"/>
    <col min="72" max="72" width="8.125" bestFit="1" customWidth="1"/>
    <col min="73" max="73" width="3.875" customWidth="1"/>
    <col min="75" max="75" width="3.875" customWidth="1"/>
    <col min="76" max="76" width="12.25" bestFit="1" customWidth="1"/>
    <col min="77" max="78" width="12.25" customWidth="1"/>
    <col min="79" max="79" width="2.75" customWidth="1"/>
    <col min="83" max="83" width="9" style="607"/>
    <col min="84" max="84" width="41" style="607" bestFit="1" customWidth="1"/>
    <col min="85" max="90" width="9" style="607"/>
  </cols>
  <sheetData>
    <row r="2" spans="2:90">
      <c r="B2" s="840" t="s">
        <v>1143</v>
      </c>
      <c r="C2" s="840"/>
      <c r="D2" s="840"/>
      <c r="E2" s="840"/>
      <c r="F2" s="840"/>
      <c r="G2" s="840"/>
      <c r="H2" s="840"/>
      <c r="I2" s="840"/>
      <c r="J2" s="840"/>
      <c r="K2" s="840"/>
      <c r="L2" s="840"/>
      <c r="M2" s="840"/>
      <c r="N2" s="840"/>
      <c r="O2" s="840"/>
      <c r="P2" s="840"/>
      <c r="Q2" s="840"/>
      <c r="R2" s="840"/>
      <c r="S2" s="840"/>
      <c r="T2" s="840"/>
      <c r="U2" s="840"/>
      <c r="V2" s="840"/>
      <c r="W2" s="840"/>
      <c r="X2" s="840"/>
      <c r="Y2" s="840"/>
      <c r="Z2" s="840"/>
      <c r="AA2" s="840"/>
      <c r="AB2" s="840"/>
      <c r="AC2" s="840"/>
      <c r="AD2" s="840"/>
      <c r="AE2" s="840"/>
      <c r="AF2" s="840"/>
      <c r="AG2" s="840"/>
      <c r="AH2" s="840"/>
      <c r="AI2" s="840"/>
      <c r="AJ2" s="840"/>
      <c r="AK2" s="840"/>
      <c r="AL2" s="840"/>
      <c r="AM2" s="840"/>
      <c r="AN2" s="840"/>
      <c r="AO2" s="840"/>
      <c r="AP2" s="840"/>
      <c r="AQ2" s="840"/>
      <c r="AR2" s="840"/>
      <c r="AS2" s="840"/>
      <c r="AT2" s="840"/>
      <c r="AU2" s="840"/>
      <c r="AV2" s="840"/>
      <c r="AW2" s="840"/>
      <c r="AX2" s="840"/>
      <c r="AY2" s="840"/>
      <c r="AZ2" s="840"/>
      <c r="BA2" s="840"/>
      <c r="BB2" s="840"/>
      <c r="BC2" s="840"/>
      <c r="BD2" s="840"/>
      <c r="BE2" s="840"/>
      <c r="BF2" s="840"/>
      <c r="BG2" s="840"/>
      <c r="BH2" s="840"/>
    </row>
    <row r="3" spans="2:90">
      <c r="B3" s="840" t="s">
        <v>1144</v>
      </c>
      <c r="C3" s="840"/>
      <c r="D3" s="840"/>
      <c r="E3" s="840"/>
      <c r="F3" s="840"/>
      <c r="G3" s="840"/>
      <c r="H3" s="840"/>
      <c r="I3" s="840"/>
      <c r="J3" s="840"/>
      <c r="K3" s="840"/>
      <c r="L3" s="840"/>
      <c r="M3" s="840"/>
      <c r="N3" s="840"/>
      <c r="O3" s="840"/>
      <c r="P3" s="840"/>
      <c r="Q3" s="840"/>
      <c r="R3" s="840"/>
      <c r="S3" s="840"/>
      <c r="T3" s="840"/>
      <c r="U3" s="840"/>
      <c r="V3" s="840"/>
      <c r="W3" s="840"/>
      <c r="X3" s="840"/>
      <c r="Y3" s="840"/>
      <c r="Z3" s="840"/>
      <c r="AA3" s="840"/>
      <c r="AB3" s="840"/>
      <c r="AC3" s="840"/>
      <c r="AD3" s="840"/>
      <c r="AE3" s="840"/>
      <c r="AF3" s="840"/>
      <c r="AG3" s="840"/>
      <c r="AH3" s="840"/>
      <c r="AI3" s="840"/>
      <c r="AJ3" s="840"/>
      <c r="AK3" s="840"/>
      <c r="AL3" s="840"/>
      <c r="AM3" s="840"/>
      <c r="AN3" s="840"/>
      <c r="AO3" s="840"/>
      <c r="AP3" s="840"/>
      <c r="AQ3" s="840"/>
      <c r="AR3" s="840"/>
      <c r="AS3" s="840"/>
      <c r="AT3" s="840"/>
      <c r="AU3" s="840"/>
      <c r="AV3" s="840"/>
      <c r="AW3" s="840"/>
      <c r="AX3" s="840"/>
      <c r="AY3" s="840"/>
      <c r="AZ3" s="840"/>
      <c r="BA3" s="840"/>
      <c r="BB3" s="840"/>
      <c r="BC3" s="840"/>
      <c r="BD3" s="840"/>
      <c r="BE3" s="840"/>
      <c r="BF3" s="840"/>
      <c r="BG3" s="840"/>
      <c r="BH3" s="840"/>
    </row>
    <row r="5" spans="2:90">
      <c r="C5" t="s">
        <v>1145</v>
      </c>
    </row>
    <row r="6" spans="2:90">
      <c r="C6" t="s">
        <v>1146</v>
      </c>
    </row>
    <row r="7" spans="2:90" s="4" customFormat="1" ht="15" customHeight="1" thickBot="1">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X7" s="621"/>
      <c r="BY7" s="621"/>
      <c r="BZ7" s="621"/>
      <c r="CA7" s="36"/>
      <c r="CB7" s="12"/>
      <c r="CE7" s="607" t="s">
        <v>1009</v>
      </c>
      <c r="CF7" s="607" t="e">
        <f>IF(#REF!="","",VLOOKUP(#REF!,BX7:BY7,2,FALSE)&amp;"："&amp;#REF!)</f>
        <v>#REF!</v>
      </c>
      <c r="CG7" s="607"/>
      <c r="CH7" s="607" t="e">
        <f>IF(CF7="","",1)</f>
        <v>#REF!</v>
      </c>
      <c r="CI7" s="64"/>
      <c r="CJ7" s="64"/>
      <c r="CK7" s="64"/>
      <c r="CL7" s="64"/>
    </row>
    <row r="8" spans="2:90" s="12" customFormat="1" ht="15" customHeight="1" thickBot="1">
      <c r="B8" s="24" t="s">
        <v>96</v>
      </c>
      <c r="C8" s="32"/>
      <c r="D8" s="27"/>
      <c r="E8" s="27"/>
      <c r="F8" s="27"/>
      <c r="G8" s="27"/>
      <c r="H8" s="27"/>
      <c r="I8" s="27"/>
      <c r="J8" s="27"/>
      <c r="K8" s="27"/>
      <c r="L8" s="27"/>
      <c r="M8" s="27"/>
      <c r="N8" s="27"/>
      <c r="O8" s="27"/>
      <c r="P8" s="90"/>
      <c r="Q8" s="27"/>
      <c r="R8" s="90"/>
      <c r="S8" s="27"/>
      <c r="T8" s="27"/>
      <c r="U8" s="27"/>
      <c r="V8" s="27"/>
      <c r="W8" s="27"/>
      <c r="X8" s="29"/>
      <c r="Y8" s="33"/>
      <c r="Z8" s="33"/>
      <c r="AA8" s="27"/>
      <c r="AB8" s="27"/>
      <c r="AC8" s="33"/>
      <c r="AD8" s="33"/>
      <c r="AE8" s="33"/>
      <c r="AF8" s="33"/>
      <c r="AG8" s="33"/>
      <c r="AH8" s="27"/>
      <c r="AI8" s="28"/>
      <c r="AJ8" s="28"/>
      <c r="AK8" s="28"/>
      <c r="AL8" s="28"/>
      <c r="AM8" s="28"/>
      <c r="AN8" s="29"/>
      <c r="AO8" s="29"/>
      <c r="AP8" s="29"/>
      <c r="AQ8" s="29"/>
      <c r="AR8" s="32"/>
      <c r="AS8" s="30"/>
      <c r="AT8" s="30"/>
      <c r="AU8" s="30"/>
      <c r="AV8" s="30"/>
      <c r="AW8" s="30"/>
      <c r="AX8" s="30"/>
      <c r="AY8" s="30"/>
      <c r="AZ8" s="30"/>
      <c r="BA8" s="30"/>
      <c r="BB8" s="30"/>
      <c r="BC8" s="30"/>
      <c r="BD8" s="30"/>
      <c r="BE8" s="30"/>
      <c r="BF8" s="30"/>
      <c r="BG8" s="30"/>
      <c r="BH8" s="31"/>
      <c r="CE8" s="607" t="s">
        <v>1010</v>
      </c>
      <c r="CF8" s="607" t="e">
        <f>IF(#REF!="","",VLOOKUP(#REF!,BX7:BY7,2,FALSE)&amp;"："&amp;#REF!)</f>
        <v>#REF!</v>
      </c>
      <c r="CG8" s="607"/>
      <c r="CH8" s="607" t="e">
        <f>IF(CF8="","",1)</f>
        <v>#REF!</v>
      </c>
      <c r="CI8" s="64"/>
      <c r="CJ8" s="64"/>
      <c r="CK8" s="64"/>
      <c r="CL8" s="64"/>
    </row>
    <row r="9" spans="2:90" s="15" customFormat="1" ht="15" customHeight="1">
      <c r="B9" s="69" t="s">
        <v>1109</v>
      </c>
      <c r="C9" s="35"/>
      <c r="D9" s="35"/>
      <c r="E9" s="35"/>
      <c r="F9" s="35"/>
      <c r="G9" s="35"/>
      <c r="H9" s="35"/>
      <c r="I9" s="35"/>
      <c r="J9" s="35"/>
      <c r="K9" s="91" t="s">
        <v>100</v>
      </c>
      <c r="L9" s="35"/>
      <c r="M9" s="35"/>
      <c r="N9" s="35"/>
      <c r="O9" s="35"/>
      <c r="P9" s="91"/>
      <c r="Q9" s="91"/>
      <c r="R9" s="62"/>
      <c r="S9" s="35"/>
      <c r="T9" s="35"/>
      <c r="U9" s="35"/>
      <c r="V9" s="35"/>
      <c r="W9" s="35"/>
      <c r="X9" s="92"/>
      <c r="Y9" s="35"/>
      <c r="Z9" s="35"/>
      <c r="AA9" s="35"/>
      <c r="AB9" s="35"/>
      <c r="AC9" s="35"/>
      <c r="AD9" s="35"/>
      <c r="AE9" s="35"/>
      <c r="AF9" s="35"/>
      <c r="AG9" s="35"/>
      <c r="AH9" s="35"/>
      <c r="AI9" s="35"/>
      <c r="AJ9" s="35"/>
      <c r="AK9" s="35"/>
      <c r="AL9" s="35"/>
      <c r="AM9" s="35"/>
      <c r="AN9" s="19"/>
      <c r="AO9" s="19"/>
      <c r="AP9" s="19"/>
      <c r="AQ9" s="19"/>
      <c r="AR9" s="19"/>
      <c r="AS9" s="19"/>
      <c r="AT9" s="19"/>
      <c r="AU9" s="19"/>
      <c r="AV9" s="19"/>
      <c r="AW9" s="19"/>
      <c r="AX9" s="19"/>
      <c r="AY9" s="19"/>
      <c r="AZ9" s="19"/>
      <c r="BA9" s="19"/>
      <c r="BB9" s="19"/>
      <c r="BC9" s="19"/>
      <c r="BD9" s="19"/>
      <c r="BE9" s="19"/>
      <c r="BF9" s="19"/>
      <c r="BG9" s="19"/>
      <c r="BH9" s="93"/>
      <c r="CE9" s="607" t="s">
        <v>1011</v>
      </c>
      <c r="CF9" s="607" t="e">
        <f>IF(CH9=3,#REF!&amp;"、"&amp;CF7&amp;"、"&amp;CF8,IF(CH9=2,#REF!&amp;"、"&amp;CF7,IF(CH9=1,#REF!,"未記入")))</f>
        <v>#REF!</v>
      </c>
      <c r="CG9" s="607"/>
      <c r="CH9" s="607" t="e">
        <f>SUM(CH7:CH8)</f>
        <v>#REF!</v>
      </c>
      <c r="CI9" s="63"/>
      <c r="CJ9" s="63"/>
      <c r="CK9" s="63"/>
      <c r="CL9" s="63"/>
    </row>
    <row r="10" spans="2:90" s="12" customFormat="1" ht="15" customHeight="1" thickBot="1">
      <c r="B10" s="22"/>
      <c r="C10" s="15"/>
      <c r="D10" s="15" t="s">
        <v>1147</v>
      </c>
      <c r="E10" s="15"/>
      <c r="F10" s="43"/>
      <c r="G10" s="15"/>
      <c r="H10" s="15"/>
      <c r="I10" s="15"/>
      <c r="J10" s="15"/>
      <c r="K10" s="15"/>
      <c r="L10" s="15" t="s">
        <v>110</v>
      </c>
      <c r="M10" s="15"/>
      <c r="N10" s="43"/>
      <c r="O10" s="15"/>
      <c r="P10" s="135"/>
      <c r="Q10" s="135"/>
      <c r="R10" s="135"/>
      <c r="S10" s="546"/>
      <c r="T10" s="135"/>
      <c r="U10" s="80"/>
      <c r="V10" s="80"/>
      <c r="W10" s="15"/>
      <c r="X10" s="15"/>
      <c r="Y10" s="15"/>
      <c r="Z10" s="15"/>
      <c r="AA10" s="42"/>
      <c r="AB10" s="15"/>
      <c r="AC10" s="15"/>
      <c r="AD10" s="15"/>
      <c r="AE10" s="15"/>
      <c r="AF10" s="15"/>
      <c r="AG10" s="42"/>
      <c r="AH10" s="15"/>
      <c r="AI10" s="15"/>
      <c r="AJ10" s="15"/>
      <c r="AK10" s="15"/>
      <c r="AL10" s="15"/>
      <c r="AM10" s="15"/>
      <c r="AN10" s="15"/>
      <c r="AO10" s="15"/>
      <c r="AP10" s="15"/>
      <c r="AQ10" s="15"/>
      <c r="AR10" s="15"/>
      <c r="AS10" s="15"/>
      <c r="AT10" s="15"/>
      <c r="AU10" s="15"/>
      <c r="AV10" s="15"/>
      <c r="AW10" s="15"/>
      <c r="AX10" s="15"/>
      <c r="AY10" s="15"/>
      <c r="AZ10" s="15"/>
      <c r="BA10" s="15"/>
      <c r="BB10" s="15"/>
      <c r="BC10" s="15"/>
      <c r="BD10" s="15"/>
      <c r="BE10" s="15"/>
      <c r="BF10" s="15"/>
      <c r="BG10" s="15"/>
      <c r="BH10" s="34"/>
      <c r="CE10" s="64"/>
      <c r="CF10" s="64"/>
      <c r="CG10" s="64"/>
      <c r="CH10" s="64"/>
      <c r="CI10" s="64"/>
      <c r="CJ10" s="64"/>
      <c r="CK10" s="64"/>
      <c r="CL10" s="64"/>
    </row>
    <row r="11" spans="2:90" s="12" customFormat="1" ht="15" customHeight="1">
      <c r="B11" s="1065" t="s">
        <v>1148</v>
      </c>
      <c r="C11" s="1022"/>
      <c r="D11" s="1022"/>
      <c r="E11" s="1022"/>
      <c r="F11" s="1022"/>
      <c r="G11" s="1048"/>
      <c r="H11" s="1021" t="s">
        <v>146</v>
      </c>
      <c r="I11" s="1022"/>
      <c r="J11" s="1022"/>
      <c r="K11" s="1022"/>
      <c r="L11" s="1022"/>
      <c r="M11" s="1022"/>
      <c r="N11" s="1022"/>
      <c r="O11" s="1048"/>
      <c r="P11" s="1021" t="s">
        <v>1149</v>
      </c>
      <c r="Q11" s="1022"/>
      <c r="R11" s="1022"/>
      <c r="S11" s="1022"/>
      <c r="T11" s="1022"/>
      <c r="U11" s="1022"/>
      <c r="V11" s="1022"/>
      <c r="W11" s="1022"/>
      <c r="X11" s="1022"/>
      <c r="Y11" s="1022"/>
      <c r="Z11" s="1022"/>
      <c r="AA11" s="1048"/>
      <c r="AB11" s="1021" t="s">
        <v>141</v>
      </c>
      <c r="AC11" s="1022"/>
      <c r="AD11" s="1022"/>
      <c r="AE11" s="1022"/>
      <c r="AF11" s="1022"/>
      <c r="AG11" s="1022"/>
      <c r="AH11" s="1022"/>
      <c r="AI11" s="1022"/>
      <c r="AJ11" s="1022"/>
      <c r="AK11" s="1022"/>
      <c r="AL11" s="1022"/>
      <c r="AM11" s="1022"/>
      <c r="AN11" s="1022"/>
      <c r="AO11" s="1022"/>
      <c r="AP11" s="1022"/>
      <c r="AQ11" s="1022"/>
      <c r="AR11" s="1022"/>
      <c r="AS11" s="1022"/>
      <c r="AT11" s="1022"/>
      <c r="AU11" s="1022"/>
      <c r="AV11" s="1022"/>
      <c r="AW11" s="1022"/>
      <c r="AX11" s="1022"/>
      <c r="AY11" s="1022"/>
      <c r="AZ11" s="1022"/>
      <c r="BA11" s="1022"/>
      <c r="BB11" s="1022"/>
      <c r="BC11" s="1022"/>
      <c r="BD11" s="1022"/>
      <c r="BE11" s="1022"/>
      <c r="BF11" s="1022"/>
      <c r="BG11" s="1022"/>
      <c r="BH11" s="1213"/>
      <c r="CE11" s="607" t="s">
        <v>1014</v>
      </c>
      <c r="CF11" s="607"/>
      <c r="CG11" s="64"/>
      <c r="CH11" s="607" t="s">
        <v>1012</v>
      </c>
      <c r="CI11" s="64"/>
      <c r="CJ11" s="64"/>
      <c r="CK11" s="64"/>
      <c r="CL11" s="64"/>
    </row>
    <row r="12" spans="2:90" s="12" customFormat="1" ht="15" customHeight="1">
      <c r="B12" s="1025" t="s">
        <v>103</v>
      </c>
      <c r="C12" s="1019"/>
      <c r="D12" s="1019"/>
      <c r="E12" s="1019"/>
      <c r="F12" s="1019"/>
      <c r="G12" s="1020"/>
      <c r="H12" s="1018" t="s">
        <v>1150</v>
      </c>
      <c r="I12" s="1019"/>
      <c r="J12" s="1019"/>
      <c r="K12" s="1019"/>
      <c r="L12" s="1019"/>
      <c r="M12" s="1019"/>
      <c r="N12" s="1019"/>
      <c r="O12" s="1020"/>
      <c r="P12" s="1018" t="s">
        <v>142</v>
      </c>
      <c r="Q12" s="1019"/>
      <c r="R12" s="1019"/>
      <c r="S12" s="1019"/>
      <c r="T12" s="1019"/>
      <c r="U12" s="1019"/>
      <c r="V12" s="1019"/>
      <c r="W12" s="1019"/>
      <c r="X12" s="1019"/>
      <c r="Y12" s="1019"/>
      <c r="Z12" s="1019"/>
      <c r="AA12" s="1020"/>
      <c r="AB12" s="1018" t="s">
        <v>140</v>
      </c>
      <c r="AC12" s="1019"/>
      <c r="AD12" s="1019"/>
      <c r="AE12" s="1019"/>
      <c r="AF12" s="1019"/>
      <c r="AG12" s="1019"/>
      <c r="AH12" s="1019"/>
      <c r="AI12" s="1019"/>
      <c r="AJ12" s="1019"/>
      <c r="AK12" s="1019"/>
      <c r="AL12" s="1019"/>
      <c r="AM12" s="1019"/>
      <c r="AN12" s="1019"/>
      <c r="AO12" s="1019"/>
      <c r="AP12" s="1019"/>
      <c r="AQ12" s="1019"/>
      <c r="AR12" s="1019"/>
      <c r="AS12" s="1019"/>
      <c r="AT12" s="1019"/>
      <c r="AU12" s="1019"/>
      <c r="AV12" s="1019"/>
      <c r="AW12" s="1019"/>
      <c r="AX12" s="1019"/>
      <c r="AY12" s="1019"/>
      <c r="AZ12" s="1019"/>
      <c r="BA12" s="1019"/>
      <c r="BB12" s="1019"/>
      <c r="BC12" s="1019"/>
      <c r="BD12" s="1019"/>
      <c r="BE12" s="1019"/>
      <c r="BF12" s="1019"/>
      <c r="BG12" s="1019"/>
      <c r="BH12" s="1039"/>
      <c r="CE12" s="607" t="s">
        <v>993</v>
      </c>
      <c r="CF12" s="607" t="e">
        <f>IF(#REF!="","",VLOOKUP(#REF!,BX7:BY7,2,FALSE)&amp;"："&amp;#REF!)</f>
        <v>#REF!</v>
      </c>
      <c r="CG12" s="64"/>
      <c r="CH12" s="607" t="e">
        <f>IF(CF12="","",1)</f>
        <v>#REF!</v>
      </c>
      <c r="CI12" s="64"/>
      <c r="CJ12" s="64"/>
      <c r="CK12" s="64"/>
      <c r="CL12" s="64"/>
    </row>
    <row r="13" spans="2:90" s="15" customFormat="1" ht="15" customHeight="1">
      <c r="B13" s="1230"/>
      <c r="C13" s="1231"/>
      <c r="D13" s="1231"/>
      <c r="E13" s="1231"/>
      <c r="F13" s="1231"/>
      <c r="G13" s="1232"/>
      <c r="H13" s="1135"/>
      <c r="I13" s="1136"/>
      <c r="J13" s="1136"/>
      <c r="K13" s="1136"/>
      <c r="L13" s="1136"/>
      <c r="M13" s="1136"/>
      <c r="N13" s="1136"/>
      <c r="O13" s="1137"/>
      <c r="P13" s="1083"/>
      <c r="Q13" s="1084"/>
      <c r="R13" s="1084"/>
      <c r="S13" s="1084"/>
      <c r="T13" s="109" t="s">
        <v>4</v>
      </c>
      <c r="U13" s="1084"/>
      <c r="V13" s="1084"/>
      <c r="W13" s="109" t="s">
        <v>34</v>
      </c>
      <c r="X13" s="1084"/>
      <c r="Y13" s="1084"/>
      <c r="Z13" s="109" t="s">
        <v>6</v>
      </c>
      <c r="AA13" s="108"/>
      <c r="AB13" s="1124"/>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544"/>
      <c r="CE13" s="607" t="s">
        <v>1009</v>
      </c>
      <c r="CF13" s="607" t="e">
        <f>IF(#REF!="","",VLOOKUP(#REF!,BX7:BY7,2,FALSE)&amp;"："&amp;#REF!)</f>
        <v>#REF!</v>
      </c>
      <c r="CG13" s="63"/>
      <c r="CH13" s="607" t="e">
        <f>IF(CF13="","",1)</f>
        <v>#REF!</v>
      </c>
      <c r="CI13" s="63"/>
      <c r="CJ13" s="63"/>
      <c r="CK13" s="63"/>
      <c r="CL13" s="63"/>
    </row>
    <row r="14" spans="2:90" s="12" customFormat="1" ht="15" customHeight="1">
      <c r="B14" s="1233"/>
      <c r="C14" s="1234"/>
      <c r="D14" s="1234"/>
      <c r="E14" s="1234"/>
      <c r="F14" s="1234"/>
      <c r="G14" s="1235"/>
      <c r="H14" s="1138"/>
      <c r="I14" s="1139"/>
      <c r="J14" s="1139"/>
      <c r="K14" s="1139"/>
      <c r="L14" s="1139"/>
      <c r="M14" s="1139"/>
      <c r="N14" s="1139"/>
      <c r="O14" s="1140"/>
      <c r="P14" s="1143"/>
      <c r="Q14" s="1087"/>
      <c r="R14" s="1087"/>
      <c r="S14" s="1087"/>
      <c r="T14" s="111"/>
      <c r="U14" s="1087"/>
      <c r="V14" s="1087"/>
      <c r="W14" s="112"/>
      <c r="X14" s="1087"/>
      <c r="Y14" s="1087"/>
      <c r="Z14" s="112"/>
      <c r="AA14" s="110"/>
      <c r="AB14" s="1126"/>
      <c r="AC14" s="1127"/>
      <c r="AD14" s="1127"/>
      <c r="AE14" s="1127"/>
      <c r="AF14" s="1127"/>
      <c r="AG14" s="1127"/>
      <c r="AH14" s="1127"/>
      <c r="AI14" s="1127"/>
      <c r="AJ14" s="1127"/>
      <c r="AK14" s="1127"/>
      <c r="AL14" s="1127"/>
      <c r="AM14" s="1127"/>
      <c r="AN14" s="1127"/>
      <c r="AO14" s="1127"/>
      <c r="AP14" s="1127"/>
      <c r="AQ14" s="1127"/>
      <c r="AR14" s="1127"/>
      <c r="AS14" s="1127"/>
      <c r="AT14" s="1127"/>
      <c r="AU14" s="1127"/>
      <c r="AV14" s="1127"/>
      <c r="AW14" s="1127"/>
      <c r="AX14" s="1127"/>
      <c r="AY14" s="1127"/>
      <c r="AZ14" s="1127"/>
      <c r="BA14" s="1127"/>
      <c r="BB14" s="1127"/>
      <c r="BC14" s="1127"/>
      <c r="BD14" s="1127"/>
      <c r="BE14" s="1127"/>
      <c r="BF14" s="1127"/>
      <c r="BG14" s="1127"/>
      <c r="BH14" s="545"/>
      <c r="CE14" s="607" t="s">
        <v>1010</v>
      </c>
      <c r="CF14" s="607" t="e">
        <f>IF(#REF!="","",VLOOKUP(#REF!,BX7:BY7,2,FALSE)&amp;"："&amp;#REF!)</f>
        <v>#REF!</v>
      </c>
      <c r="CG14" s="64"/>
      <c r="CH14" s="607" t="e">
        <f>IF(CF14="","",1)</f>
        <v>#REF!</v>
      </c>
      <c r="CI14" s="64"/>
      <c r="CJ14" s="64"/>
      <c r="CK14" s="64"/>
      <c r="CL14" s="64"/>
    </row>
    <row r="15" spans="2:90" s="15" customFormat="1" ht="15" customHeight="1">
      <c r="B15" s="1230"/>
      <c r="C15" s="1231"/>
      <c r="D15" s="1231"/>
      <c r="E15" s="1231"/>
      <c r="F15" s="1231"/>
      <c r="G15" s="1232"/>
      <c r="H15" s="1135"/>
      <c r="I15" s="1136"/>
      <c r="J15" s="1136"/>
      <c r="K15" s="1136"/>
      <c r="L15" s="1136"/>
      <c r="M15" s="1136"/>
      <c r="N15" s="1136"/>
      <c r="O15" s="1137"/>
      <c r="P15" s="1083"/>
      <c r="Q15" s="1084"/>
      <c r="R15" s="1084"/>
      <c r="S15" s="1084"/>
      <c r="T15" s="109" t="s">
        <v>4</v>
      </c>
      <c r="U15" s="1084"/>
      <c r="V15" s="1084"/>
      <c r="W15" s="109" t="s">
        <v>34</v>
      </c>
      <c r="X15" s="1084"/>
      <c r="Y15" s="1084"/>
      <c r="Z15" s="109" t="s">
        <v>6</v>
      </c>
      <c r="AA15" s="108"/>
      <c r="AB15" s="1124"/>
      <c r="AC15" s="1125"/>
      <c r="AD15" s="1125"/>
      <c r="AE15" s="1125"/>
      <c r="AF15" s="1125"/>
      <c r="AG15" s="1125"/>
      <c r="AH15" s="1125"/>
      <c r="AI15" s="1125"/>
      <c r="AJ15" s="1125"/>
      <c r="AK15" s="1125"/>
      <c r="AL15" s="1125"/>
      <c r="AM15" s="1125"/>
      <c r="AN15" s="1125"/>
      <c r="AO15" s="1125"/>
      <c r="AP15" s="1125"/>
      <c r="AQ15" s="1125"/>
      <c r="AR15" s="1125"/>
      <c r="AS15" s="1125"/>
      <c r="AT15" s="1125"/>
      <c r="AU15" s="1125"/>
      <c r="AV15" s="1125"/>
      <c r="AW15" s="1125"/>
      <c r="AX15" s="1125"/>
      <c r="AY15" s="1125"/>
      <c r="AZ15" s="1125"/>
      <c r="BA15" s="1125"/>
      <c r="BB15" s="1125"/>
      <c r="BC15" s="1125"/>
      <c r="BD15" s="1125"/>
      <c r="BE15" s="1125"/>
      <c r="BF15" s="1125"/>
      <c r="BG15" s="1125"/>
      <c r="BH15" s="544"/>
      <c r="CE15" s="607" t="s">
        <v>1011</v>
      </c>
      <c r="CF15" s="607" t="e">
        <f>IF(CH15=3,CF12&amp;"、"&amp;CF13&amp;"、"&amp;CF14,IF(CH15=2,CF12&amp;"、"&amp;CF13,IF(CH15=1,CF12,"未記入")))</f>
        <v>#REF!</v>
      </c>
      <c r="CG15" s="63"/>
      <c r="CH15" s="607" t="e">
        <f>SUM(CH12:CH14)</f>
        <v>#REF!</v>
      </c>
      <c r="CI15" s="63"/>
      <c r="CJ15" s="63"/>
      <c r="CK15" s="63"/>
      <c r="CL15" s="63"/>
    </row>
    <row r="16" spans="2:90" s="12" customFormat="1" ht="15" customHeight="1">
      <c r="B16" s="1233"/>
      <c r="C16" s="1234"/>
      <c r="D16" s="1234"/>
      <c r="E16" s="1234"/>
      <c r="F16" s="1234"/>
      <c r="G16" s="1235"/>
      <c r="H16" s="1138"/>
      <c r="I16" s="1139"/>
      <c r="J16" s="1139"/>
      <c r="K16" s="1139"/>
      <c r="L16" s="1139"/>
      <c r="M16" s="1139"/>
      <c r="N16" s="1139"/>
      <c r="O16" s="1140"/>
      <c r="P16" s="1143"/>
      <c r="Q16" s="1087"/>
      <c r="R16" s="1087"/>
      <c r="S16" s="1087"/>
      <c r="T16" s="111"/>
      <c r="U16" s="1087"/>
      <c r="V16" s="1087"/>
      <c r="W16" s="112"/>
      <c r="X16" s="1087"/>
      <c r="Y16" s="1087"/>
      <c r="Z16" s="112"/>
      <c r="AA16" s="110"/>
      <c r="AB16" s="1126"/>
      <c r="AC16" s="1127"/>
      <c r="AD16" s="1127"/>
      <c r="AE16" s="1127"/>
      <c r="AF16" s="1127"/>
      <c r="AG16" s="1127"/>
      <c r="AH16" s="1127"/>
      <c r="AI16" s="1127"/>
      <c r="AJ16" s="1127"/>
      <c r="AK16" s="1127"/>
      <c r="AL16" s="1127"/>
      <c r="AM16" s="1127"/>
      <c r="AN16" s="1127"/>
      <c r="AO16" s="1127"/>
      <c r="AP16" s="1127"/>
      <c r="AQ16" s="1127"/>
      <c r="AR16" s="1127"/>
      <c r="AS16" s="1127"/>
      <c r="AT16" s="1127"/>
      <c r="AU16" s="1127"/>
      <c r="AV16" s="1127"/>
      <c r="AW16" s="1127"/>
      <c r="AX16" s="1127"/>
      <c r="AY16" s="1127"/>
      <c r="AZ16" s="1127"/>
      <c r="BA16" s="1127"/>
      <c r="BB16" s="1127"/>
      <c r="BC16" s="1127"/>
      <c r="BD16" s="1127"/>
      <c r="BE16" s="1127"/>
      <c r="BF16" s="1127"/>
      <c r="BG16" s="1127"/>
      <c r="BH16" s="545"/>
      <c r="CE16" s="64"/>
      <c r="CF16" s="64"/>
      <c r="CG16" s="64"/>
      <c r="CH16" s="64"/>
      <c r="CI16" s="64"/>
      <c r="CJ16" s="64"/>
      <c r="CK16" s="64"/>
      <c r="CL16" s="64"/>
    </row>
    <row r="17" spans="2:90" s="15" customFormat="1" ht="15" customHeight="1">
      <c r="B17" s="1230"/>
      <c r="C17" s="1231"/>
      <c r="D17" s="1231"/>
      <c r="E17" s="1231"/>
      <c r="F17" s="1231"/>
      <c r="G17" s="1232"/>
      <c r="H17" s="1135"/>
      <c r="I17" s="1136"/>
      <c r="J17" s="1136"/>
      <c r="K17" s="1136"/>
      <c r="L17" s="1136"/>
      <c r="M17" s="1136"/>
      <c r="N17" s="1136"/>
      <c r="O17" s="1137"/>
      <c r="P17" s="1083"/>
      <c r="Q17" s="1084"/>
      <c r="R17" s="1084"/>
      <c r="S17" s="1084"/>
      <c r="T17" s="109" t="s">
        <v>4</v>
      </c>
      <c r="U17" s="1084"/>
      <c r="V17" s="1084"/>
      <c r="W17" s="109" t="s">
        <v>34</v>
      </c>
      <c r="X17" s="1084"/>
      <c r="Y17" s="1084"/>
      <c r="Z17" s="109" t="s">
        <v>6</v>
      </c>
      <c r="AA17" s="108"/>
      <c r="AB17" s="1124"/>
      <c r="AC17" s="1125"/>
      <c r="AD17" s="1125"/>
      <c r="AE17" s="1125"/>
      <c r="AF17" s="1125"/>
      <c r="AG17" s="1125"/>
      <c r="AH17" s="1125"/>
      <c r="AI17" s="1125"/>
      <c r="AJ17" s="1125"/>
      <c r="AK17" s="1125"/>
      <c r="AL17" s="1125"/>
      <c r="AM17" s="1125"/>
      <c r="AN17" s="1125"/>
      <c r="AO17" s="1125"/>
      <c r="AP17" s="1125"/>
      <c r="AQ17" s="1125"/>
      <c r="AR17" s="1125"/>
      <c r="AS17" s="1125"/>
      <c r="AT17" s="1125"/>
      <c r="AU17" s="1125"/>
      <c r="AV17" s="1125"/>
      <c r="AW17" s="1125"/>
      <c r="AX17" s="1125"/>
      <c r="AY17" s="1125"/>
      <c r="AZ17" s="1125"/>
      <c r="BA17" s="1125"/>
      <c r="BB17" s="1125"/>
      <c r="BC17" s="1125"/>
      <c r="BD17" s="1125"/>
      <c r="BE17" s="1125"/>
      <c r="BF17" s="1125"/>
      <c r="BG17" s="1125"/>
      <c r="BH17" s="544"/>
      <c r="CE17" s="63"/>
      <c r="CF17" s="63"/>
      <c r="CG17" s="63"/>
      <c r="CH17" s="63"/>
      <c r="CI17" s="63"/>
      <c r="CJ17" s="63"/>
      <c r="CK17" s="63"/>
      <c r="CL17" s="63"/>
    </row>
    <row r="18" spans="2:90" s="15" customFormat="1" ht="15" customHeight="1">
      <c r="B18" s="1233"/>
      <c r="C18" s="1234"/>
      <c r="D18" s="1234"/>
      <c r="E18" s="1234"/>
      <c r="F18" s="1234"/>
      <c r="G18" s="1235"/>
      <c r="H18" s="1138"/>
      <c r="I18" s="1139"/>
      <c r="J18" s="1139"/>
      <c r="K18" s="1139"/>
      <c r="L18" s="1139"/>
      <c r="M18" s="1139"/>
      <c r="N18" s="1139"/>
      <c r="O18" s="1140"/>
      <c r="P18" s="1143"/>
      <c r="Q18" s="1087"/>
      <c r="R18" s="1087"/>
      <c r="S18" s="1087"/>
      <c r="T18" s="111"/>
      <c r="U18" s="1087"/>
      <c r="V18" s="1087"/>
      <c r="W18" s="112"/>
      <c r="X18" s="1087"/>
      <c r="Y18" s="1087"/>
      <c r="Z18" s="112"/>
      <c r="AA18" s="110"/>
      <c r="AB18" s="1126"/>
      <c r="AC18" s="1127"/>
      <c r="AD18" s="1127"/>
      <c r="AE18" s="1127"/>
      <c r="AF18" s="1127"/>
      <c r="AG18" s="1127"/>
      <c r="AH18" s="1127"/>
      <c r="AI18" s="1127"/>
      <c r="AJ18" s="1127"/>
      <c r="AK18" s="1127"/>
      <c r="AL18" s="1127"/>
      <c r="AM18" s="1127"/>
      <c r="AN18" s="1127"/>
      <c r="AO18" s="1127"/>
      <c r="AP18" s="1127"/>
      <c r="AQ18" s="1127"/>
      <c r="AR18" s="1127"/>
      <c r="AS18" s="1127"/>
      <c r="AT18" s="1127"/>
      <c r="AU18" s="1127"/>
      <c r="AV18" s="1127"/>
      <c r="AW18" s="1127"/>
      <c r="AX18" s="1127"/>
      <c r="AY18" s="1127"/>
      <c r="AZ18" s="1127"/>
      <c r="BA18" s="1127"/>
      <c r="BB18" s="1127"/>
      <c r="BC18" s="1127"/>
      <c r="BD18" s="1127"/>
      <c r="BE18" s="1127"/>
      <c r="BF18" s="1127"/>
      <c r="BG18" s="1127"/>
      <c r="BH18" s="545"/>
      <c r="CE18" s="63"/>
      <c r="CF18" s="63"/>
      <c r="CG18" s="63"/>
      <c r="CH18" s="63"/>
      <c r="CI18" s="63"/>
      <c r="CJ18" s="63"/>
      <c r="CK18" s="63"/>
      <c r="CL18" s="63"/>
    </row>
    <row r="19" spans="2:90" s="15" customFormat="1" ht="15" customHeight="1">
      <c r="B19" s="1230"/>
      <c r="C19" s="1231"/>
      <c r="D19" s="1231"/>
      <c r="E19" s="1231"/>
      <c r="F19" s="1231"/>
      <c r="G19" s="1232"/>
      <c r="H19" s="1135"/>
      <c r="I19" s="1136"/>
      <c r="J19" s="1136"/>
      <c r="K19" s="1136"/>
      <c r="L19" s="1136"/>
      <c r="M19" s="1136"/>
      <c r="N19" s="1136"/>
      <c r="O19" s="1137"/>
      <c r="P19" s="1083"/>
      <c r="Q19" s="1084"/>
      <c r="R19" s="1084"/>
      <c r="S19" s="1084"/>
      <c r="T19" s="109" t="s">
        <v>4</v>
      </c>
      <c r="U19" s="1084"/>
      <c r="V19" s="1084"/>
      <c r="W19" s="109" t="s">
        <v>34</v>
      </c>
      <c r="X19" s="1084"/>
      <c r="Y19" s="1084"/>
      <c r="Z19" s="109" t="s">
        <v>6</v>
      </c>
      <c r="AA19" s="108"/>
      <c r="AB19" s="1124"/>
      <c r="AC19" s="1125"/>
      <c r="AD19" s="1125"/>
      <c r="AE19" s="1125"/>
      <c r="AF19" s="1125"/>
      <c r="AG19" s="1125"/>
      <c r="AH19" s="1125"/>
      <c r="AI19" s="1125"/>
      <c r="AJ19" s="1125"/>
      <c r="AK19" s="1125"/>
      <c r="AL19" s="1125"/>
      <c r="AM19" s="1125"/>
      <c r="AN19" s="1125"/>
      <c r="AO19" s="1125"/>
      <c r="AP19" s="1125"/>
      <c r="AQ19" s="1125"/>
      <c r="AR19" s="1125"/>
      <c r="AS19" s="1125"/>
      <c r="AT19" s="1125"/>
      <c r="AU19" s="1125"/>
      <c r="AV19" s="1125"/>
      <c r="AW19" s="1125"/>
      <c r="AX19" s="1125"/>
      <c r="AY19" s="1125"/>
      <c r="AZ19" s="1125"/>
      <c r="BA19" s="1125"/>
      <c r="BB19" s="1125"/>
      <c r="BC19" s="1125"/>
      <c r="BD19" s="1125"/>
      <c r="BE19" s="1125"/>
      <c r="BF19" s="1125"/>
      <c r="BG19" s="1125"/>
      <c r="BH19" s="544"/>
      <c r="CE19" s="63"/>
      <c r="CF19" s="63"/>
      <c r="CG19" s="63"/>
      <c r="CH19" s="63"/>
      <c r="CI19" s="63"/>
      <c r="CJ19" s="63"/>
      <c r="CK19" s="63"/>
      <c r="CL19" s="63"/>
    </row>
    <row r="20" spans="2:90" s="12" customFormat="1" ht="15" customHeight="1">
      <c r="B20" s="1233"/>
      <c r="C20" s="1234"/>
      <c r="D20" s="1234"/>
      <c r="E20" s="1234"/>
      <c r="F20" s="1234"/>
      <c r="G20" s="1235"/>
      <c r="H20" s="1138"/>
      <c r="I20" s="1139"/>
      <c r="J20" s="1139"/>
      <c r="K20" s="1139"/>
      <c r="L20" s="1139"/>
      <c r="M20" s="1139"/>
      <c r="N20" s="1139"/>
      <c r="O20" s="1140"/>
      <c r="P20" s="1143"/>
      <c r="Q20" s="1087"/>
      <c r="R20" s="1087"/>
      <c r="S20" s="1087"/>
      <c r="T20" s="111"/>
      <c r="U20" s="1087"/>
      <c r="V20" s="1087"/>
      <c r="W20" s="112"/>
      <c r="X20" s="1087"/>
      <c r="Y20" s="1087"/>
      <c r="Z20" s="112"/>
      <c r="AA20" s="110"/>
      <c r="AB20" s="1126"/>
      <c r="AC20" s="1127"/>
      <c r="AD20" s="1127"/>
      <c r="AE20" s="1127"/>
      <c r="AF20" s="1127"/>
      <c r="AG20" s="1127"/>
      <c r="AH20" s="1127"/>
      <c r="AI20" s="1127"/>
      <c r="AJ20" s="1127"/>
      <c r="AK20" s="1127"/>
      <c r="AL20" s="1127"/>
      <c r="AM20" s="1127"/>
      <c r="AN20" s="1127"/>
      <c r="AO20" s="1127"/>
      <c r="AP20" s="1127"/>
      <c r="AQ20" s="1127"/>
      <c r="AR20" s="1127"/>
      <c r="AS20" s="1127"/>
      <c r="AT20" s="1127"/>
      <c r="AU20" s="1127"/>
      <c r="AV20" s="1127"/>
      <c r="AW20" s="1127"/>
      <c r="AX20" s="1127"/>
      <c r="AY20" s="1127"/>
      <c r="AZ20" s="1127"/>
      <c r="BA20" s="1127"/>
      <c r="BB20" s="1127"/>
      <c r="BC20" s="1127"/>
      <c r="BD20" s="1127"/>
      <c r="BE20" s="1127"/>
      <c r="BF20" s="1127"/>
      <c r="BG20" s="1127"/>
      <c r="BH20" s="545"/>
      <c r="CE20" s="64"/>
      <c r="CF20" s="64"/>
      <c r="CG20" s="64"/>
      <c r="CH20" s="64"/>
      <c r="CI20" s="64"/>
      <c r="CJ20" s="64"/>
      <c r="CK20" s="64"/>
      <c r="CL20" s="64"/>
    </row>
    <row r="21" spans="2:90" s="15" customFormat="1" ht="15" customHeight="1">
      <c r="B21" s="1230"/>
      <c r="C21" s="1231"/>
      <c r="D21" s="1231"/>
      <c r="E21" s="1231"/>
      <c r="F21" s="1231"/>
      <c r="G21" s="1232"/>
      <c r="H21" s="1135"/>
      <c r="I21" s="1136"/>
      <c r="J21" s="1136"/>
      <c r="K21" s="1136"/>
      <c r="L21" s="1136"/>
      <c r="M21" s="1136"/>
      <c r="N21" s="1136"/>
      <c r="O21" s="1137"/>
      <c r="P21" s="1083"/>
      <c r="Q21" s="1084"/>
      <c r="R21" s="1084"/>
      <c r="S21" s="1084"/>
      <c r="T21" s="109" t="s">
        <v>4</v>
      </c>
      <c r="U21" s="1084"/>
      <c r="V21" s="1084"/>
      <c r="W21" s="109" t="s">
        <v>34</v>
      </c>
      <c r="X21" s="1084"/>
      <c r="Y21" s="1084"/>
      <c r="Z21" s="109" t="s">
        <v>6</v>
      </c>
      <c r="AA21" s="108"/>
      <c r="AB21" s="1124"/>
      <c r="AC21" s="1125"/>
      <c r="AD21" s="1125"/>
      <c r="AE21" s="1125"/>
      <c r="AF21" s="1125"/>
      <c r="AG21" s="1125"/>
      <c r="AH21" s="1125"/>
      <c r="AI21" s="1125"/>
      <c r="AJ21" s="1125"/>
      <c r="AK21" s="1125"/>
      <c r="AL21" s="1125"/>
      <c r="AM21" s="1125"/>
      <c r="AN21" s="1125"/>
      <c r="AO21" s="1125"/>
      <c r="AP21" s="1125"/>
      <c r="AQ21" s="1125"/>
      <c r="AR21" s="1125"/>
      <c r="AS21" s="1125"/>
      <c r="AT21" s="1125"/>
      <c r="AU21" s="1125"/>
      <c r="AV21" s="1125"/>
      <c r="AW21" s="1125"/>
      <c r="AX21" s="1125"/>
      <c r="AY21" s="1125"/>
      <c r="AZ21" s="1125"/>
      <c r="BA21" s="1125"/>
      <c r="BB21" s="1125"/>
      <c r="BC21" s="1125"/>
      <c r="BD21" s="1125"/>
      <c r="BE21" s="1125"/>
      <c r="BF21" s="1125"/>
      <c r="BG21" s="1125"/>
      <c r="BH21" s="544"/>
      <c r="CE21" s="63"/>
      <c r="CF21" s="63"/>
      <c r="CG21" s="63"/>
      <c r="CH21" s="63"/>
      <c r="CI21" s="63"/>
      <c r="CJ21" s="63"/>
      <c r="CK21" s="63"/>
      <c r="CL21" s="63"/>
    </row>
    <row r="22" spans="2:90" s="12" customFormat="1" ht="15" customHeight="1">
      <c r="B22" s="1233"/>
      <c r="C22" s="1234"/>
      <c r="D22" s="1234"/>
      <c r="E22" s="1234"/>
      <c r="F22" s="1234"/>
      <c r="G22" s="1235"/>
      <c r="H22" s="1138"/>
      <c r="I22" s="1139"/>
      <c r="J22" s="1139"/>
      <c r="K22" s="1139"/>
      <c r="L22" s="1139"/>
      <c r="M22" s="1139"/>
      <c r="N22" s="1139"/>
      <c r="O22" s="1140"/>
      <c r="P22" s="1143"/>
      <c r="Q22" s="1087"/>
      <c r="R22" s="1087"/>
      <c r="S22" s="1087"/>
      <c r="T22" s="111"/>
      <c r="U22" s="1087"/>
      <c r="V22" s="1087"/>
      <c r="W22" s="112"/>
      <c r="X22" s="1087"/>
      <c r="Y22" s="1087"/>
      <c r="Z22" s="112"/>
      <c r="AA22" s="110"/>
      <c r="AB22" s="1126"/>
      <c r="AC22" s="1127"/>
      <c r="AD22" s="1127"/>
      <c r="AE22" s="1127"/>
      <c r="AF22" s="1127"/>
      <c r="AG22" s="1127"/>
      <c r="AH22" s="1127"/>
      <c r="AI22" s="1127"/>
      <c r="AJ22" s="1127"/>
      <c r="AK22" s="1127"/>
      <c r="AL22" s="1127"/>
      <c r="AM22" s="1127"/>
      <c r="AN22" s="1127"/>
      <c r="AO22" s="1127"/>
      <c r="AP22" s="1127"/>
      <c r="AQ22" s="1127"/>
      <c r="AR22" s="1127"/>
      <c r="AS22" s="1127"/>
      <c r="AT22" s="1127"/>
      <c r="AU22" s="1127"/>
      <c r="AV22" s="1127"/>
      <c r="AW22" s="1127"/>
      <c r="AX22" s="1127"/>
      <c r="AY22" s="1127"/>
      <c r="AZ22" s="1127"/>
      <c r="BA22" s="1127"/>
      <c r="BB22" s="1127"/>
      <c r="BC22" s="1127"/>
      <c r="BD22" s="1127"/>
      <c r="BE22" s="1127"/>
      <c r="BF22" s="1127"/>
      <c r="BG22" s="1127"/>
      <c r="BH22" s="545"/>
      <c r="CE22" s="64"/>
      <c r="CF22" s="64"/>
      <c r="CG22" s="64"/>
      <c r="CH22" s="64"/>
      <c r="CI22" s="64"/>
      <c r="CJ22" s="64"/>
      <c r="CK22" s="64"/>
      <c r="CL22" s="64"/>
    </row>
    <row r="23" spans="2:90" s="15" customFormat="1" ht="15" customHeight="1">
      <c r="B23" s="1230"/>
      <c r="C23" s="1231"/>
      <c r="D23" s="1231"/>
      <c r="E23" s="1231"/>
      <c r="F23" s="1231"/>
      <c r="G23" s="1232"/>
      <c r="H23" s="1135"/>
      <c r="I23" s="1136"/>
      <c r="J23" s="1136"/>
      <c r="K23" s="1136"/>
      <c r="L23" s="1136"/>
      <c r="M23" s="1136"/>
      <c r="N23" s="1136"/>
      <c r="O23" s="1137"/>
      <c r="P23" s="1083"/>
      <c r="Q23" s="1084"/>
      <c r="R23" s="1084"/>
      <c r="S23" s="1084"/>
      <c r="T23" s="109" t="s">
        <v>4</v>
      </c>
      <c r="U23" s="1084"/>
      <c r="V23" s="1084"/>
      <c r="W23" s="109" t="s">
        <v>34</v>
      </c>
      <c r="X23" s="1084"/>
      <c r="Y23" s="1084"/>
      <c r="Z23" s="109" t="s">
        <v>6</v>
      </c>
      <c r="AA23" s="108"/>
      <c r="AB23" s="1124"/>
      <c r="AC23" s="1125"/>
      <c r="AD23" s="1125"/>
      <c r="AE23" s="1125"/>
      <c r="AF23" s="1125"/>
      <c r="AG23" s="1125"/>
      <c r="AH23" s="1125"/>
      <c r="AI23" s="1125"/>
      <c r="AJ23" s="1125"/>
      <c r="AK23" s="1125"/>
      <c r="AL23" s="1125"/>
      <c r="AM23" s="1125"/>
      <c r="AN23" s="1125"/>
      <c r="AO23" s="1125"/>
      <c r="AP23" s="1125"/>
      <c r="AQ23" s="1125"/>
      <c r="AR23" s="1125"/>
      <c r="AS23" s="1125"/>
      <c r="AT23" s="1125"/>
      <c r="AU23" s="1125"/>
      <c r="AV23" s="1125"/>
      <c r="AW23" s="1125"/>
      <c r="AX23" s="1125"/>
      <c r="AY23" s="1125"/>
      <c r="AZ23" s="1125"/>
      <c r="BA23" s="1125"/>
      <c r="BB23" s="1125"/>
      <c r="BC23" s="1125"/>
      <c r="BD23" s="1125"/>
      <c r="BE23" s="1125"/>
      <c r="BF23" s="1125"/>
      <c r="BG23" s="1125"/>
      <c r="BH23" s="544"/>
      <c r="CE23" s="63"/>
      <c r="CF23" s="63"/>
      <c r="CG23" s="63"/>
      <c r="CH23" s="63"/>
      <c r="CI23" s="63"/>
      <c r="CJ23" s="63"/>
      <c r="CK23" s="63"/>
      <c r="CL23" s="63"/>
    </row>
    <row r="24" spans="2:90" s="12" customFormat="1" ht="15" customHeight="1">
      <c r="B24" s="1233"/>
      <c r="C24" s="1234"/>
      <c r="D24" s="1234"/>
      <c r="E24" s="1234"/>
      <c r="F24" s="1234"/>
      <c r="G24" s="1235"/>
      <c r="H24" s="1138"/>
      <c r="I24" s="1139"/>
      <c r="J24" s="1139"/>
      <c r="K24" s="1139"/>
      <c r="L24" s="1139"/>
      <c r="M24" s="1139"/>
      <c r="N24" s="1139"/>
      <c r="O24" s="1140"/>
      <c r="P24" s="1143"/>
      <c r="Q24" s="1087"/>
      <c r="R24" s="1087"/>
      <c r="S24" s="1087"/>
      <c r="T24" s="111"/>
      <c r="U24" s="1087"/>
      <c r="V24" s="1087"/>
      <c r="W24" s="112"/>
      <c r="X24" s="1087"/>
      <c r="Y24" s="1087"/>
      <c r="Z24" s="112"/>
      <c r="AA24" s="110"/>
      <c r="AB24" s="1126"/>
      <c r="AC24" s="1127"/>
      <c r="AD24" s="1127"/>
      <c r="AE24" s="1127"/>
      <c r="AF24" s="1127"/>
      <c r="AG24" s="1127"/>
      <c r="AH24" s="1127"/>
      <c r="AI24" s="1127"/>
      <c r="AJ24" s="1127"/>
      <c r="AK24" s="1127"/>
      <c r="AL24" s="1127"/>
      <c r="AM24" s="1127"/>
      <c r="AN24" s="1127"/>
      <c r="AO24" s="1127"/>
      <c r="AP24" s="1127"/>
      <c r="AQ24" s="1127"/>
      <c r="AR24" s="1127"/>
      <c r="AS24" s="1127"/>
      <c r="AT24" s="1127"/>
      <c r="AU24" s="1127"/>
      <c r="AV24" s="1127"/>
      <c r="AW24" s="1127"/>
      <c r="AX24" s="1127"/>
      <c r="AY24" s="1127"/>
      <c r="AZ24" s="1127"/>
      <c r="BA24" s="1127"/>
      <c r="BB24" s="1127"/>
      <c r="BC24" s="1127"/>
      <c r="BD24" s="1127"/>
      <c r="BE24" s="1127"/>
      <c r="BF24" s="1127"/>
      <c r="BG24" s="1127"/>
      <c r="BH24" s="545"/>
      <c r="CE24" s="64"/>
      <c r="CF24" s="64"/>
      <c r="CG24" s="64"/>
      <c r="CH24" s="64"/>
      <c r="CI24" s="64"/>
      <c r="CJ24" s="64"/>
      <c r="CK24" s="64"/>
      <c r="CL24" s="64"/>
    </row>
    <row r="25" spans="2:90" s="15" customFormat="1" ht="15" customHeight="1">
      <c r="B25" s="1074"/>
      <c r="C25" s="1075"/>
      <c r="D25" s="1075"/>
      <c r="E25" s="1075"/>
      <c r="F25" s="1075"/>
      <c r="G25" s="1076"/>
      <c r="H25" s="1135"/>
      <c r="I25" s="1136"/>
      <c r="J25" s="1136"/>
      <c r="K25" s="1136"/>
      <c r="L25" s="1136"/>
      <c r="M25" s="1136"/>
      <c r="N25" s="1136"/>
      <c r="O25" s="1137"/>
      <c r="P25" s="1083"/>
      <c r="Q25" s="1084"/>
      <c r="R25" s="1084"/>
      <c r="S25" s="1084"/>
      <c r="T25" s="109" t="s">
        <v>4</v>
      </c>
      <c r="U25" s="1084"/>
      <c r="V25" s="1084"/>
      <c r="W25" s="109" t="s">
        <v>34</v>
      </c>
      <c r="X25" s="1084"/>
      <c r="Y25" s="1084"/>
      <c r="Z25" s="109" t="s">
        <v>6</v>
      </c>
      <c r="AA25" s="108"/>
      <c r="AB25" s="1124"/>
      <c r="AC25" s="1125"/>
      <c r="AD25" s="1125"/>
      <c r="AE25" s="1125"/>
      <c r="AF25" s="1125"/>
      <c r="AG25" s="1125"/>
      <c r="AH25" s="1125"/>
      <c r="AI25" s="1125"/>
      <c r="AJ25" s="1125"/>
      <c r="AK25" s="1125"/>
      <c r="AL25" s="1125"/>
      <c r="AM25" s="1125"/>
      <c r="AN25" s="1125"/>
      <c r="AO25" s="1125"/>
      <c r="AP25" s="1125"/>
      <c r="AQ25" s="1125"/>
      <c r="AR25" s="1125"/>
      <c r="AS25" s="1125"/>
      <c r="AT25" s="1125"/>
      <c r="AU25" s="1125"/>
      <c r="AV25" s="1125"/>
      <c r="AW25" s="1125"/>
      <c r="AX25" s="1125"/>
      <c r="AY25" s="1125"/>
      <c r="AZ25" s="1125"/>
      <c r="BA25" s="1125"/>
      <c r="BB25" s="1125"/>
      <c r="BC25" s="1125"/>
      <c r="BD25" s="1125"/>
      <c r="BE25" s="1125"/>
      <c r="BF25" s="1125"/>
      <c r="BG25" s="1125"/>
      <c r="BH25" s="544"/>
      <c r="BL25" s="72"/>
      <c r="CE25" s="63"/>
      <c r="CF25" s="63"/>
      <c r="CG25" s="63"/>
      <c r="CH25" s="63"/>
      <c r="CI25" s="63"/>
      <c r="CJ25" s="63"/>
      <c r="CK25" s="63"/>
      <c r="CL25" s="63"/>
    </row>
    <row r="26" spans="2:90" s="12" customFormat="1" ht="15" customHeight="1">
      <c r="B26" s="1077"/>
      <c r="C26" s="1078"/>
      <c r="D26" s="1078"/>
      <c r="E26" s="1078"/>
      <c r="F26" s="1078"/>
      <c r="G26" s="1079"/>
      <c r="H26" s="1138"/>
      <c r="I26" s="1139"/>
      <c r="J26" s="1139"/>
      <c r="K26" s="1139"/>
      <c r="L26" s="1139"/>
      <c r="M26" s="1139"/>
      <c r="N26" s="1139"/>
      <c r="O26" s="1140"/>
      <c r="P26" s="1143"/>
      <c r="Q26" s="1087"/>
      <c r="R26" s="1087"/>
      <c r="S26" s="1087"/>
      <c r="T26" s="111"/>
      <c r="U26" s="1087"/>
      <c r="V26" s="1087"/>
      <c r="W26" s="112"/>
      <c r="X26" s="1087"/>
      <c r="Y26" s="1087"/>
      <c r="Z26" s="112"/>
      <c r="AA26" s="110"/>
      <c r="AB26" s="1126"/>
      <c r="AC26" s="1127"/>
      <c r="AD26" s="1127"/>
      <c r="AE26" s="1127"/>
      <c r="AF26" s="1127"/>
      <c r="AG26" s="1127"/>
      <c r="AH26" s="1127"/>
      <c r="AI26" s="1127"/>
      <c r="AJ26" s="1127"/>
      <c r="AK26" s="1127"/>
      <c r="AL26" s="1127"/>
      <c r="AM26" s="1127"/>
      <c r="AN26" s="1127"/>
      <c r="AO26" s="1127"/>
      <c r="AP26" s="1127"/>
      <c r="AQ26" s="1127"/>
      <c r="AR26" s="1127"/>
      <c r="AS26" s="1127"/>
      <c r="AT26" s="1127"/>
      <c r="AU26" s="1127"/>
      <c r="AV26" s="1127"/>
      <c r="AW26" s="1127"/>
      <c r="AX26" s="1127"/>
      <c r="AY26" s="1127"/>
      <c r="AZ26" s="1127"/>
      <c r="BA26" s="1127"/>
      <c r="BB26" s="1127"/>
      <c r="BC26" s="1127"/>
      <c r="BD26" s="1127"/>
      <c r="BE26" s="1127"/>
      <c r="BF26" s="1127"/>
      <c r="BG26" s="1127"/>
      <c r="BH26" s="545"/>
      <c r="BL26" s="136"/>
      <c r="CE26" s="64"/>
      <c r="CF26" s="64"/>
      <c r="CG26" s="64"/>
      <c r="CH26" s="64"/>
      <c r="CI26" s="64"/>
      <c r="CJ26" s="64"/>
      <c r="CK26" s="64"/>
      <c r="CL26" s="64"/>
    </row>
    <row r="27" spans="2:90" s="15" customFormat="1" ht="14.25">
      <c r="B27" s="1074"/>
      <c r="C27" s="1075"/>
      <c r="D27" s="1075"/>
      <c r="E27" s="1075"/>
      <c r="F27" s="1075"/>
      <c r="G27" s="1076"/>
      <c r="H27" s="1135"/>
      <c r="I27" s="1136"/>
      <c r="J27" s="1136"/>
      <c r="K27" s="1136"/>
      <c r="L27" s="1136"/>
      <c r="M27" s="1136"/>
      <c r="N27" s="1136"/>
      <c r="O27" s="1137"/>
      <c r="P27" s="1083"/>
      <c r="Q27" s="1084"/>
      <c r="R27" s="1084"/>
      <c r="S27" s="1084"/>
      <c r="T27" s="101" t="s">
        <v>4</v>
      </c>
      <c r="U27" s="1084"/>
      <c r="V27" s="1084"/>
      <c r="W27" s="101" t="s">
        <v>34</v>
      </c>
      <c r="X27" s="1084"/>
      <c r="Y27" s="1084"/>
      <c r="Z27" s="101" t="s">
        <v>6</v>
      </c>
      <c r="AA27" s="95"/>
      <c r="AB27" s="1124"/>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544"/>
      <c r="CE27" s="63"/>
      <c r="CF27" s="63"/>
      <c r="CG27" s="63"/>
      <c r="CH27" s="63"/>
      <c r="CI27" s="63"/>
      <c r="CJ27" s="63"/>
      <c r="CK27" s="63"/>
      <c r="CL27" s="63"/>
    </row>
    <row r="28" spans="2:90" s="12" customFormat="1" ht="15" customHeight="1">
      <c r="B28" s="1077"/>
      <c r="C28" s="1078"/>
      <c r="D28" s="1078"/>
      <c r="E28" s="1078"/>
      <c r="F28" s="1078"/>
      <c r="G28" s="1079"/>
      <c r="H28" s="1138"/>
      <c r="I28" s="1139"/>
      <c r="J28" s="1139"/>
      <c r="K28" s="1139"/>
      <c r="L28" s="1139"/>
      <c r="M28" s="1139"/>
      <c r="N28" s="1139"/>
      <c r="O28" s="1140"/>
      <c r="P28" s="1143"/>
      <c r="Q28" s="1087"/>
      <c r="R28" s="1087"/>
      <c r="S28" s="1087"/>
      <c r="T28" s="100"/>
      <c r="U28" s="1087"/>
      <c r="V28" s="1087"/>
      <c r="W28" s="99"/>
      <c r="X28" s="1087"/>
      <c r="Y28" s="1087"/>
      <c r="Z28" s="99"/>
      <c r="AA28" s="96"/>
      <c r="AB28" s="1126"/>
      <c r="AC28" s="1127"/>
      <c r="AD28" s="1127"/>
      <c r="AE28" s="1127"/>
      <c r="AF28" s="1127"/>
      <c r="AG28" s="1127"/>
      <c r="AH28" s="1127"/>
      <c r="AI28" s="1127"/>
      <c r="AJ28" s="1127"/>
      <c r="AK28" s="1127"/>
      <c r="AL28" s="1127"/>
      <c r="AM28" s="1127"/>
      <c r="AN28" s="1127"/>
      <c r="AO28" s="1127"/>
      <c r="AP28" s="1127"/>
      <c r="AQ28" s="1127"/>
      <c r="AR28" s="1127"/>
      <c r="AS28" s="1127"/>
      <c r="AT28" s="1127"/>
      <c r="AU28" s="1127"/>
      <c r="AV28" s="1127"/>
      <c r="AW28" s="1127"/>
      <c r="AX28" s="1127"/>
      <c r="AY28" s="1127"/>
      <c r="AZ28" s="1127"/>
      <c r="BA28" s="1127"/>
      <c r="BB28" s="1127"/>
      <c r="BC28" s="1127"/>
      <c r="BD28" s="1127"/>
      <c r="BE28" s="1127"/>
      <c r="BF28" s="1127"/>
      <c r="BG28" s="1127"/>
      <c r="BH28" s="545"/>
      <c r="CE28" s="64"/>
      <c r="CF28" s="64"/>
      <c r="CG28" s="64"/>
      <c r="CH28" s="64"/>
      <c r="CI28" s="64"/>
      <c r="CJ28" s="64"/>
      <c r="CK28" s="64"/>
      <c r="CL28" s="64"/>
    </row>
    <row r="29" spans="2:90" s="15" customFormat="1" ht="15" customHeight="1">
      <c r="B29" s="1074"/>
      <c r="C29" s="1075"/>
      <c r="D29" s="1075"/>
      <c r="E29" s="1075"/>
      <c r="F29" s="1075"/>
      <c r="G29" s="1076"/>
      <c r="H29" s="1135"/>
      <c r="I29" s="1136"/>
      <c r="J29" s="1136"/>
      <c r="K29" s="1136"/>
      <c r="L29" s="1136"/>
      <c r="M29" s="1136"/>
      <c r="N29" s="1136"/>
      <c r="O29" s="1137"/>
      <c r="P29" s="1083"/>
      <c r="Q29" s="1084"/>
      <c r="R29" s="1084"/>
      <c r="S29" s="1084"/>
      <c r="T29" s="109" t="s">
        <v>4</v>
      </c>
      <c r="U29" s="1084"/>
      <c r="V29" s="1084"/>
      <c r="W29" s="109" t="s">
        <v>34</v>
      </c>
      <c r="X29" s="1084"/>
      <c r="Y29" s="1084"/>
      <c r="Z29" s="109" t="s">
        <v>6</v>
      </c>
      <c r="AA29" s="108"/>
      <c r="AB29" s="1124"/>
      <c r="AC29" s="1125"/>
      <c r="AD29" s="1125"/>
      <c r="AE29" s="1125"/>
      <c r="AF29" s="1125"/>
      <c r="AG29" s="1125"/>
      <c r="AH29" s="1125"/>
      <c r="AI29" s="1125"/>
      <c r="AJ29" s="1125"/>
      <c r="AK29" s="1125"/>
      <c r="AL29" s="1125"/>
      <c r="AM29" s="1125"/>
      <c r="AN29" s="1125"/>
      <c r="AO29" s="1125"/>
      <c r="AP29" s="1125"/>
      <c r="AQ29" s="1125"/>
      <c r="AR29" s="1125"/>
      <c r="AS29" s="1125"/>
      <c r="AT29" s="1125"/>
      <c r="AU29" s="1125"/>
      <c r="AV29" s="1125"/>
      <c r="AW29" s="1125"/>
      <c r="AX29" s="1125"/>
      <c r="AY29" s="1125"/>
      <c r="AZ29" s="1125"/>
      <c r="BA29" s="1125"/>
      <c r="BB29" s="1125"/>
      <c r="BC29" s="1125"/>
      <c r="BD29" s="1125"/>
      <c r="BE29" s="1125"/>
      <c r="BF29" s="1125"/>
      <c r="BG29" s="1125"/>
      <c r="BH29" s="544"/>
      <c r="BL29" s="72"/>
      <c r="CE29" s="63"/>
      <c r="CF29" s="63"/>
      <c r="CG29" s="63"/>
      <c r="CH29" s="63"/>
      <c r="CI29" s="63"/>
      <c r="CJ29" s="63"/>
      <c r="CK29" s="63"/>
      <c r="CL29" s="63"/>
    </row>
    <row r="30" spans="2:90" s="12" customFormat="1" ht="15" customHeight="1">
      <c r="B30" s="1077"/>
      <c r="C30" s="1078"/>
      <c r="D30" s="1078"/>
      <c r="E30" s="1078"/>
      <c r="F30" s="1078"/>
      <c r="G30" s="1079"/>
      <c r="H30" s="1138"/>
      <c r="I30" s="1139"/>
      <c r="J30" s="1139"/>
      <c r="K30" s="1139"/>
      <c r="L30" s="1139"/>
      <c r="M30" s="1139"/>
      <c r="N30" s="1139"/>
      <c r="O30" s="1140"/>
      <c r="P30" s="1143"/>
      <c r="Q30" s="1087"/>
      <c r="R30" s="1087"/>
      <c r="S30" s="1087"/>
      <c r="T30" s="111"/>
      <c r="U30" s="1087"/>
      <c r="V30" s="1087"/>
      <c r="W30" s="112"/>
      <c r="X30" s="1087"/>
      <c r="Y30" s="1087"/>
      <c r="Z30" s="112"/>
      <c r="AA30" s="110"/>
      <c r="AB30" s="1126"/>
      <c r="AC30" s="1127"/>
      <c r="AD30" s="1127"/>
      <c r="AE30" s="1127"/>
      <c r="AF30" s="1127"/>
      <c r="AG30" s="1127"/>
      <c r="AH30" s="1127"/>
      <c r="AI30" s="1127"/>
      <c r="AJ30" s="1127"/>
      <c r="AK30" s="1127"/>
      <c r="AL30" s="1127"/>
      <c r="AM30" s="1127"/>
      <c r="AN30" s="1127"/>
      <c r="AO30" s="1127"/>
      <c r="AP30" s="1127"/>
      <c r="AQ30" s="1127"/>
      <c r="AR30" s="1127"/>
      <c r="AS30" s="1127"/>
      <c r="AT30" s="1127"/>
      <c r="AU30" s="1127"/>
      <c r="AV30" s="1127"/>
      <c r="AW30" s="1127"/>
      <c r="AX30" s="1127"/>
      <c r="AY30" s="1127"/>
      <c r="AZ30" s="1127"/>
      <c r="BA30" s="1127"/>
      <c r="BB30" s="1127"/>
      <c r="BC30" s="1127"/>
      <c r="BD30" s="1127"/>
      <c r="BE30" s="1127"/>
      <c r="BF30" s="1127"/>
      <c r="BG30" s="1127"/>
      <c r="BH30" s="545"/>
      <c r="BL30" s="136"/>
      <c r="CE30" s="64"/>
      <c r="CF30" s="64"/>
      <c r="CG30" s="64"/>
      <c r="CH30" s="64"/>
      <c r="CI30" s="64"/>
      <c r="CJ30" s="64"/>
      <c r="CK30" s="64"/>
      <c r="CL30" s="64"/>
    </row>
    <row r="31" spans="2:90" s="15" customFormat="1" ht="14.25">
      <c r="B31" s="1074"/>
      <c r="C31" s="1075"/>
      <c r="D31" s="1075"/>
      <c r="E31" s="1075"/>
      <c r="F31" s="1075"/>
      <c r="G31" s="1076"/>
      <c r="H31" s="1135"/>
      <c r="I31" s="1136"/>
      <c r="J31" s="1136"/>
      <c r="K31" s="1136"/>
      <c r="L31" s="1136"/>
      <c r="M31" s="1136"/>
      <c r="N31" s="1136"/>
      <c r="O31" s="1137"/>
      <c r="P31" s="1083"/>
      <c r="Q31" s="1084"/>
      <c r="R31" s="1084"/>
      <c r="S31" s="1084"/>
      <c r="T31" s="101" t="s">
        <v>4</v>
      </c>
      <c r="U31" s="1084"/>
      <c r="V31" s="1084"/>
      <c r="W31" s="101" t="s">
        <v>34</v>
      </c>
      <c r="X31" s="1084"/>
      <c r="Y31" s="1084"/>
      <c r="Z31" s="101" t="s">
        <v>6</v>
      </c>
      <c r="AA31" s="95"/>
      <c r="AB31" s="1124"/>
      <c r="AC31" s="1125"/>
      <c r="AD31" s="1125"/>
      <c r="AE31" s="1125"/>
      <c r="AF31" s="1125"/>
      <c r="AG31" s="1125"/>
      <c r="AH31" s="1125"/>
      <c r="AI31" s="1125"/>
      <c r="AJ31" s="1125"/>
      <c r="AK31" s="1125"/>
      <c r="AL31" s="1125"/>
      <c r="AM31" s="1125"/>
      <c r="AN31" s="1125"/>
      <c r="AO31" s="1125"/>
      <c r="AP31" s="1125"/>
      <c r="AQ31" s="1125"/>
      <c r="AR31" s="1125"/>
      <c r="AS31" s="1125"/>
      <c r="AT31" s="1125"/>
      <c r="AU31" s="1125"/>
      <c r="AV31" s="1125"/>
      <c r="AW31" s="1125"/>
      <c r="AX31" s="1125"/>
      <c r="AY31" s="1125"/>
      <c r="AZ31" s="1125"/>
      <c r="BA31" s="1125"/>
      <c r="BB31" s="1125"/>
      <c r="BC31" s="1125"/>
      <c r="BD31" s="1125"/>
      <c r="BE31" s="1125"/>
      <c r="BF31" s="1125"/>
      <c r="BG31" s="1125"/>
      <c r="BH31" s="544"/>
      <c r="CE31" s="63"/>
      <c r="CF31" s="63"/>
      <c r="CG31" s="63"/>
      <c r="CH31" s="63"/>
      <c r="CI31" s="63"/>
      <c r="CJ31" s="63"/>
      <c r="CK31" s="63"/>
      <c r="CL31" s="63"/>
    </row>
    <row r="32" spans="2:90" s="12" customFormat="1" ht="15" customHeight="1">
      <c r="B32" s="1077"/>
      <c r="C32" s="1078"/>
      <c r="D32" s="1078"/>
      <c r="E32" s="1078"/>
      <c r="F32" s="1078"/>
      <c r="G32" s="1079"/>
      <c r="H32" s="1138"/>
      <c r="I32" s="1139"/>
      <c r="J32" s="1139"/>
      <c r="K32" s="1139"/>
      <c r="L32" s="1139"/>
      <c r="M32" s="1139"/>
      <c r="N32" s="1139"/>
      <c r="O32" s="1140"/>
      <c r="P32" s="1143"/>
      <c r="Q32" s="1087"/>
      <c r="R32" s="1087"/>
      <c r="S32" s="1087"/>
      <c r="T32" s="100"/>
      <c r="U32" s="1087"/>
      <c r="V32" s="1087"/>
      <c r="W32" s="99"/>
      <c r="X32" s="1087"/>
      <c r="Y32" s="1087"/>
      <c r="Z32" s="99"/>
      <c r="AA32" s="96"/>
      <c r="AB32" s="1126"/>
      <c r="AC32" s="1127"/>
      <c r="AD32" s="1127"/>
      <c r="AE32" s="1127"/>
      <c r="AF32" s="1127"/>
      <c r="AG32" s="1127"/>
      <c r="AH32" s="1127"/>
      <c r="AI32" s="1127"/>
      <c r="AJ32" s="1127"/>
      <c r="AK32" s="1127"/>
      <c r="AL32" s="1127"/>
      <c r="AM32" s="1127"/>
      <c r="AN32" s="1127"/>
      <c r="AO32" s="1127"/>
      <c r="AP32" s="1127"/>
      <c r="AQ32" s="1127"/>
      <c r="AR32" s="1127"/>
      <c r="AS32" s="1127"/>
      <c r="AT32" s="1127"/>
      <c r="AU32" s="1127"/>
      <c r="AV32" s="1127"/>
      <c r="AW32" s="1127"/>
      <c r="AX32" s="1127"/>
      <c r="AY32" s="1127"/>
      <c r="AZ32" s="1127"/>
      <c r="BA32" s="1127"/>
      <c r="BB32" s="1127"/>
      <c r="BC32" s="1127"/>
      <c r="BD32" s="1127"/>
      <c r="BE32" s="1127"/>
      <c r="BF32" s="1127"/>
      <c r="BG32" s="1127"/>
      <c r="BH32" s="545"/>
      <c r="CE32" s="64"/>
      <c r="CF32" s="64"/>
      <c r="CG32" s="64"/>
      <c r="CH32" s="64"/>
      <c r="CI32" s="64"/>
      <c r="CJ32" s="64"/>
      <c r="CK32" s="64"/>
      <c r="CL32" s="64"/>
    </row>
    <row r="33" spans="2:90" s="15" customFormat="1" ht="15" customHeight="1">
      <c r="B33" s="1074"/>
      <c r="C33" s="1075"/>
      <c r="D33" s="1075"/>
      <c r="E33" s="1075"/>
      <c r="F33" s="1075"/>
      <c r="G33" s="1076"/>
      <c r="H33" s="1135"/>
      <c r="I33" s="1136"/>
      <c r="J33" s="1136"/>
      <c r="K33" s="1136"/>
      <c r="L33" s="1136"/>
      <c r="M33" s="1136"/>
      <c r="N33" s="1136"/>
      <c r="O33" s="1137"/>
      <c r="P33" s="1083"/>
      <c r="Q33" s="1084"/>
      <c r="R33" s="1084"/>
      <c r="S33" s="1084"/>
      <c r="T33" s="109" t="s">
        <v>4</v>
      </c>
      <c r="U33" s="1084"/>
      <c r="V33" s="1084"/>
      <c r="W33" s="109" t="s">
        <v>34</v>
      </c>
      <c r="X33" s="1084"/>
      <c r="Y33" s="1084"/>
      <c r="Z33" s="109" t="s">
        <v>6</v>
      </c>
      <c r="AA33" s="108"/>
      <c r="AB33" s="1124"/>
      <c r="AC33" s="1125"/>
      <c r="AD33" s="1125"/>
      <c r="AE33" s="1125"/>
      <c r="AF33" s="1125"/>
      <c r="AG33" s="1125"/>
      <c r="AH33" s="1125"/>
      <c r="AI33" s="1125"/>
      <c r="AJ33" s="1125"/>
      <c r="AK33" s="1125"/>
      <c r="AL33" s="1125"/>
      <c r="AM33" s="1125"/>
      <c r="AN33" s="1125"/>
      <c r="AO33" s="1125"/>
      <c r="AP33" s="1125"/>
      <c r="AQ33" s="1125"/>
      <c r="AR33" s="1125"/>
      <c r="AS33" s="1125"/>
      <c r="AT33" s="1125"/>
      <c r="AU33" s="1125"/>
      <c r="AV33" s="1125"/>
      <c r="AW33" s="1125"/>
      <c r="AX33" s="1125"/>
      <c r="AY33" s="1125"/>
      <c r="AZ33" s="1125"/>
      <c r="BA33" s="1125"/>
      <c r="BB33" s="1125"/>
      <c r="BC33" s="1125"/>
      <c r="BD33" s="1125"/>
      <c r="BE33" s="1125"/>
      <c r="BF33" s="1125"/>
      <c r="BG33" s="1125"/>
      <c r="BH33" s="544"/>
      <c r="BL33" s="72"/>
      <c r="CE33" s="63"/>
      <c r="CF33" s="63"/>
      <c r="CG33" s="63"/>
      <c r="CH33" s="63"/>
      <c r="CI33" s="63"/>
      <c r="CJ33" s="63"/>
      <c r="CK33" s="63"/>
      <c r="CL33" s="63"/>
    </row>
    <row r="34" spans="2:90" s="12" customFormat="1" ht="15" customHeight="1">
      <c r="B34" s="1077"/>
      <c r="C34" s="1078"/>
      <c r="D34" s="1078"/>
      <c r="E34" s="1078"/>
      <c r="F34" s="1078"/>
      <c r="G34" s="1079"/>
      <c r="H34" s="1138"/>
      <c r="I34" s="1139"/>
      <c r="J34" s="1139"/>
      <c r="K34" s="1139"/>
      <c r="L34" s="1139"/>
      <c r="M34" s="1139"/>
      <c r="N34" s="1139"/>
      <c r="O34" s="1140"/>
      <c r="P34" s="1143"/>
      <c r="Q34" s="1087"/>
      <c r="R34" s="1087"/>
      <c r="S34" s="1087"/>
      <c r="T34" s="111"/>
      <c r="U34" s="1087"/>
      <c r="V34" s="1087"/>
      <c r="W34" s="112"/>
      <c r="X34" s="1087"/>
      <c r="Y34" s="1087"/>
      <c r="Z34" s="112"/>
      <c r="AA34" s="110"/>
      <c r="AB34" s="1126"/>
      <c r="AC34" s="1127"/>
      <c r="AD34" s="1127"/>
      <c r="AE34" s="1127"/>
      <c r="AF34" s="1127"/>
      <c r="AG34" s="1127"/>
      <c r="AH34" s="1127"/>
      <c r="AI34" s="1127"/>
      <c r="AJ34" s="1127"/>
      <c r="AK34" s="1127"/>
      <c r="AL34" s="1127"/>
      <c r="AM34" s="1127"/>
      <c r="AN34" s="1127"/>
      <c r="AO34" s="1127"/>
      <c r="AP34" s="1127"/>
      <c r="AQ34" s="1127"/>
      <c r="AR34" s="1127"/>
      <c r="AS34" s="1127"/>
      <c r="AT34" s="1127"/>
      <c r="AU34" s="1127"/>
      <c r="AV34" s="1127"/>
      <c r="AW34" s="1127"/>
      <c r="AX34" s="1127"/>
      <c r="AY34" s="1127"/>
      <c r="AZ34" s="1127"/>
      <c r="BA34" s="1127"/>
      <c r="BB34" s="1127"/>
      <c r="BC34" s="1127"/>
      <c r="BD34" s="1127"/>
      <c r="BE34" s="1127"/>
      <c r="BF34" s="1127"/>
      <c r="BG34" s="1127"/>
      <c r="BH34" s="545"/>
      <c r="BL34" s="136"/>
      <c r="CE34" s="64"/>
      <c r="CF34" s="64"/>
      <c r="CG34" s="64"/>
      <c r="CH34" s="64"/>
      <c r="CI34" s="64"/>
      <c r="CJ34" s="64"/>
      <c r="CK34" s="64"/>
      <c r="CL34" s="64"/>
    </row>
    <row r="35" spans="2:90" s="15" customFormat="1" ht="14.25">
      <c r="B35" s="1074"/>
      <c r="C35" s="1075"/>
      <c r="D35" s="1075"/>
      <c r="E35" s="1075"/>
      <c r="F35" s="1075"/>
      <c r="G35" s="1076"/>
      <c r="H35" s="1135"/>
      <c r="I35" s="1136"/>
      <c r="J35" s="1136"/>
      <c r="K35" s="1136"/>
      <c r="L35" s="1136"/>
      <c r="M35" s="1136"/>
      <c r="N35" s="1136"/>
      <c r="O35" s="1137"/>
      <c r="P35" s="1083"/>
      <c r="Q35" s="1084"/>
      <c r="R35" s="1084"/>
      <c r="S35" s="1084"/>
      <c r="T35" s="101" t="s">
        <v>4</v>
      </c>
      <c r="U35" s="1084"/>
      <c r="V35" s="1084"/>
      <c r="W35" s="101" t="s">
        <v>34</v>
      </c>
      <c r="X35" s="1084"/>
      <c r="Y35" s="1084"/>
      <c r="Z35" s="101" t="s">
        <v>6</v>
      </c>
      <c r="AA35" s="95"/>
      <c r="AB35" s="1124"/>
      <c r="AC35" s="1125"/>
      <c r="AD35" s="1125"/>
      <c r="AE35" s="1125"/>
      <c r="AF35" s="1125"/>
      <c r="AG35" s="1125"/>
      <c r="AH35" s="1125"/>
      <c r="AI35" s="1125"/>
      <c r="AJ35" s="1125"/>
      <c r="AK35" s="1125"/>
      <c r="AL35" s="1125"/>
      <c r="AM35" s="1125"/>
      <c r="AN35" s="1125"/>
      <c r="AO35" s="1125"/>
      <c r="AP35" s="1125"/>
      <c r="AQ35" s="1125"/>
      <c r="AR35" s="1125"/>
      <c r="AS35" s="1125"/>
      <c r="AT35" s="1125"/>
      <c r="AU35" s="1125"/>
      <c r="AV35" s="1125"/>
      <c r="AW35" s="1125"/>
      <c r="AX35" s="1125"/>
      <c r="AY35" s="1125"/>
      <c r="AZ35" s="1125"/>
      <c r="BA35" s="1125"/>
      <c r="BB35" s="1125"/>
      <c r="BC35" s="1125"/>
      <c r="BD35" s="1125"/>
      <c r="BE35" s="1125"/>
      <c r="BF35" s="1125"/>
      <c r="BG35" s="1125"/>
      <c r="BH35" s="544"/>
      <c r="CE35" s="63"/>
      <c r="CF35" s="63"/>
      <c r="CG35" s="63"/>
      <c r="CH35" s="63"/>
      <c r="CI35" s="63"/>
      <c r="CJ35" s="63"/>
      <c r="CK35" s="63"/>
      <c r="CL35" s="63"/>
    </row>
    <row r="36" spans="2:90" s="12" customFormat="1" ht="15" customHeight="1">
      <c r="B36" s="1077"/>
      <c r="C36" s="1078"/>
      <c r="D36" s="1078"/>
      <c r="E36" s="1078"/>
      <c r="F36" s="1078"/>
      <c r="G36" s="1079"/>
      <c r="H36" s="1138"/>
      <c r="I36" s="1139"/>
      <c r="J36" s="1139"/>
      <c r="K36" s="1139"/>
      <c r="L36" s="1139"/>
      <c r="M36" s="1139"/>
      <c r="N36" s="1139"/>
      <c r="O36" s="1140"/>
      <c r="P36" s="1143"/>
      <c r="Q36" s="1087"/>
      <c r="R36" s="1087"/>
      <c r="S36" s="1087"/>
      <c r="T36" s="100"/>
      <c r="U36" s="1087"/>
      <c r="V36" s="1087"/>
      <c r="W36" s="99"/>
      <c r="X36" s="1087"/>
      <c r="Y36" s="1087"/>
      <c r="Z36" s="99"/>
      <c r="AA36" s="96"/>
      <c r="AB36" s="1126"/>
      <c r="AC36" s="1127"/>
      <c r="AD36" s="1127"/>
      <c r="AE36" s="1127"/>
      <c r="AF36" s="1127"/>
      <c r="AG36" s="1127"/>
      <c r="AH36" s="1127"/>
      <c r="AI36" s="1127"/>
      <c r="AJ36" s="1127"/>
      <c r="AK36" s="1127"/>
      <c r="AL36" s="1127"/>
      <c r="AM36" s="1127"/>
      <c r="AN36" s="1127"/>
      <c r="AO36" s="1127"/>
      <c r="AP36" s="1127"/>
      <c r="AQ36" s="1127"/>
      <c r="AR36" s="1127"/>
      <c r="AS36" s="1127"/>
      <c r="AT36" s="1127"/>
      <c r="AU36" s="1127"/>
      <c r="AV36" s="1127"/>
      <c r="AW36" s="1127"/>
      <c r="AX36" s="1127"/>
      <c r="AY36" s="1127"/>
      <c r="AZ36" s="1127"/>
      <c r="BA36" s="1127"/>
      <c r="BB36" s="1127"/>
      <c r="BC36" s="1127"/>
      <c r="BD36" s="1127"/>
      <c r="BE36" s="1127"/>
      <c r="BF36" s="1127"/>
      <c r="BG36" s="1127"/>
      <c r="BH36" s="545"/>
      <c r="CE36" s="64"/>
      <c r="CF36" s="64"/>
      <c r="CG36" s="64"/>
      <c r="CH36" s="64"/>
      <c r="CI36" s="64"/>
      <c r="CJ36" s="64"/>
      <c r="CK36" s="64"/>
      <c r="CL36" s="64"/>
    </row>
    <row r="37" spans="2:90" s="12" customFormat="1" ht="14.25">
      <c r="B37" s="1074"/>
      <c r="C37" s="1075"/>
      <c r="D37" s="1075"/>
      <c r="E37" s="1075"/>
      <c r="F37" s="1075"/>
      <c r="G37" s="1076"/>
      <c r="H37" s="1135"/>
      <c r="I37" s="1136"/>
      <c r="J37" s="1136"/>
      <c r="K37" s="1136"/>
      <c r="L37" s="1136"/>
      <c r="M37" s="1136"/>
      <c r="N37" s="1136"/>
      <c r="O37" s="1137"/>
      <c r="P37" s="1083"/>
      <c r="Q37" s="1084"/>
      <c r="R37" s="1084"/>
      <c r="S37" s="1084"/>
      <c r="T37" s="101" t="s">
        <v>4</v>
      </c>
      <c r="U37" s="1084"/>
      <c r="V37" s="1084"/>
      <c r="W37" s="101" t="s">
        <v>34</v>
      </c>
      <c r="X37" s="1084"/>
      <c r="Y37" s="1084"/>
      <c r="Z37" s="101" t="s">
        <v>6</v>
      </c>
      <c r="AA37" s="95"/>
      <c r="AB37" s="1124"/>
      <c r="AC37" s="1125"/>
      <c r="AD37" s="1125"/>
      <c r="AE37" s="1125"/>
      <c r="AF37" s="1125"/>
      <c r="AG37" s="1125"/>
      <c r="AH37" s="1125"/>
      <c r="AI37" s="1125"/>
      <c r="AJ37" s="1125"/>
      <c r="AK37" s="1125"/>
      <c r="AL37" s="1125"/>
      <c r="AM37" s="1125"/>
      <c r="AN37" s="1125"/>
      <c r="AO37" s="1125"/>
      <c r="AP37" s="1125"/>
      <c r="AQ37" s="1125"/>
      <c r="AR37" s="1125"/>
      <c r="AS37" s="1125"/>
      <c r="AT37" s="1125"/>
      <c r="AU37" s="1125"/>
      <c r="AV37" s="1125"/>
      <c r="AW37" s="1125"/>
      <c r="AX37" s="1125"/>
      <c r="AY37" s="1125"/>
      <c r="AZ37" s="1125"/>
      <c r="BA37" s="1125"/>
      <c r="BB37" s="1125"/>
      <c r="BC37" s="1125"/>
      <c r="BD37" s="1125"/>
      <c r="BE37" s="1125"/>
      <c r="BF37" s="1125"/>
      <c r="BG37" s="1125"/>
      <c r="BH37" s="544"/>
      <c r="CE37" s="64"/>
      <c r="CF37" s="64"/>
      <c r="CG37" s="64"/>
      <c r="CH37" s="64"/>
      <c r="CI37" s="64"/>
      <c r="CJ37" s="64"/>
      <c r="CK37" s="64"/>
      <c r="CL37" s="64"/>
    </row>
    <row r="38" spans="2:90" ht="15" thickBot="1">
      <c r="B38" s="1080"/>
      <c r="C38" s="1081"/>
      <c r="D38" s="1081"/>
      <c r="E38" s="1081"/>
      <c r="F38" s="1081"/>
      <c r="G38" s="1082"/>
      <c r="H38" s="1203"/>
      <c r="I38" s="1204"/>
      <c r="J38" s="1204"/>
      <c r="K38" s="1204"/>
      <c r="L38" s="1204"/>
      <c r="M38" s="1204"/>
      <c r="N38" s="1204"/>
      <c r="O38" s="1205"/>
      <c r="P38" s="1085"/>
      <c r="Q38" s="1086"/>
      <c r="R38" s="1086"/>
      <c r="S38" s="1086"/>
      <c r="T38" s="104"/>
      <c r="U38" s="1086"/>
      <c r="V38" s="1086"/>
      <c r="W38" s="105"/>
      <c r="X38" s="1086"/>
      <c r="Y38" s="1086"/>
      <c r="Z38" s="105"/>
      <c r="AA38" s="97"/>
      <c r="AB38" s="1188"/>
      <c r="AC38" s="1189"/>
      <c r="AD38" s="1189"/>
      <c r="AE38" s="1189"/>
      <c r="AF38" s="1189"/>
      <c r="AG38" s="1189"/>
      <c r="AH38" s="1189"/>
      <c r="AI38" s="1189"/>
      <c r="AJ38" s="1189"/>
      <c r="AK38" s="1189"/>
      <c r="AL38" s="1189"/>
      <c r="AM38" s="1189"/>
      <c r="AN38" s="1189"/>
      <c r="AO38" s="1189"/>
      <c r="AP38" s="1189"/>
      <c r="AQ38" s="1189"/>
      <c r="AR38" s="1189"/>
      <c r="AS38" s="1189"/>
      <c r="AT38" s="1189"/>
      <c r="AU38" s="1189"/>
      <c r="AV38" s="1189"/>
      <c r="AW38" s="1189"/>
      <c r="AX38" s="1189"/>
      <c r="AY38" s="1189"/>
      <c r="AZ38" s="1189"/>
      <c r="BA38" s="1189"/>
      <c r="BB38" s="1189"/>
      <c r="BC38" s="1189"/>
      <c r="BD38" s="1189"/>
      <c r="BE38" s="1189"/>
      <c r="BF38" s="1189"/>
      <c r="BG38" s="1189"/>
      <c r="BH38" s="547"/>
    </row>
    <row r="39" spans="2:90" ht="14.25" thickBot="1"/>
    <row r="40" spans="2:90">
      <c r="B40" s="106" t="s">
        <v>203</v>
      </c>
      <c r="C40" s="61"/>
      <c r="D40" s="61"/>
      <c r="E40" s="61"/>
      <c r="F40" s="61"/>
      <c r="G40" s="61"/>
      <c r="H40" s="61" t="s">
        <v>1151</v>
      </c>
      <c r="I40" s="61"/>
      <c r="J40" s="61"/>
      <c r="K40" s="61"/>
      <c r="L40" s="21"/>
      <c r="M40" s="21"/>
      <c r="N40" s="21"/>
      <c r="O40" s="21"/>
      <c r="P40" s="753"/>
      <c r="Q40" s="754"/>
      <c r="R40" s="754"/>
      <c r="S40" s="755"/>
      <c r="T40" s="753"/>
      <c r="U40" s="754"/>
      <c r="V40" s="755"/>
      <c r="W40" s="755"/>
      <c r="X40" s="755"/>
      <c r="Y40" s="61"/>
      <c r="Z40" s="61"/>
      <c r="AA40" s="61"/>
      <c r="AB40" s="61"/>
      <c r="AC40" s="61"/>
      <c r="AD40" s="61"/>
      <c r="AE40" s="61"/>
      <c r="AF40" s="61"/>
      <c r="AG40" s="61"/>
      <c r="AH40" s="61"/>
      <c r="AI40" s="61"/>
      <c r="AJ40" s="61"/>
      <c r="AK40" s="61"/>
      <c r="AL40" s="61"/>
      <c r="AM40" s="61"/>
      <c r="AN40" s="21"/>
      <c r="AO40" s="21"/>
      <c r="AP40" s="21"/>
      <c r="AQ40" s="21"/>
      <c r="AR40" s="21"/>
      <c r="AS40" s="21"/>
      <c r="AT40" s="21"/>
      <c r="AU40" s="21"/>
      <c r="AV40" s="21"/>
      <c r="AW40" s="21"/>
      <c r="AX40" s="21"/>
      <c r="AY40" s="21"/>
      <c r="AZ40" s="21"/>
      <c r="BA40" s="21"/>
      <c r="BB40" s="21"/>
      <c r="BC40" s="21"/>
      <c r="BD40" s="21"/>
      <c r="BE40" s="21"/>
      <c r="BF40" s="21"/>
      <c r="BG40" s="21"/>
      <c r="BH40" s="60"/>
    </row>
    <row r="41" spans="2:90">
      <c r="B41" s="1013" t="s">
        <v>1152</v>
      </c>
      <c r="C41" s="1014"/>
      <c r="D41" s="1014"/>
      <c r="E41" s="1014"/>
      <c r="F41" s="1015"/>
      <c r="G41" s="1017" t="s">
        <v>1153</v>
      </c>
      <c r="H41" s="1014"/>
      <c r="I41" s="1014"/>
      <c r="J41" s="1014"/>
      <c r="K41" s="1014"/>
      <c r="L41" s="1014"/>
      <c r="M41" s="1014"/>
      <c r="N41" s="1015"/>
      <c r="O41" s="1017" t="s">
        <v>1154</v>
      </c>
      <c r="P41" s="1014"/>
      <c r="Q41" s="1014"/>
      <c r="R41" s="1014"/>
      <c r="S41" s="1014"/>
      <c r="T41" s="1014"/>
      <c r="U41" s="1014"/>
      <c r="V41" s="1014"/>
      <c r="W41" s="1014"/>
      <c r="X41" s="1014"/>
      <c r="Y41" s="1014"/>
      <c r="Z41" s="1015"/>
      <c r="AA41" s="1206" t="s">
        <v>174</v>
      </c>
      <c r="AB41" s="1069"/>
      <c r="AC41" s="1069"/>
      <c r="AD41" s="1069"/>
      <c r="AE41" s="1069"/>
      <c r="AF41" s="1069"/>
      <c r="AG41" s="1070"/>
      <c r="AH41" s="1017" t="s">
        <v>1155</v>
      </c>
      <c r="AI41" s="1014"/>
      <c r="AJ41" s="1014"/>
      <c r="AK41" s="1014"/>
      <c r="AL41" s="1015"/>
      <c r="AM41" s="1014" t="s">
        <v>306</v>
      </c>
      <c r="AN41" s="1014"/>
      <c r="AO41" s="1014"/>
      <c r="AP41" s="1014"/>
      <c r="AQ41" s="1014"/>
      <c r="AR41" s="1014"/>
      <c r="AS41" s="1014"/>
      <c r="AT41" s="1014"/>
      <c r="AU41" s="1014"/>
      <c r="AV41" s="1014"/>
      <c r="AW41" s="1014"/>
      <c r="AX41" s="1014"/>
      <c r="AY41" s="1017" t="s">
        <v>1156</v>
      </c>
      <c r="AZ41" s="1014"/>
      <c r="BA41" s="1014"/>
      <c r="BB41" s="1014"/>
      <c r="BC41" s="1014"/>
      <c r="BD41" s="1014"/>
      <c r="BE41" s="1014"/>
      <c r="BF41" s="1014"/>
      <c r="BG41" s="1014"/>
      <c r="BH41" s="1037"/>
    </row>
    <row r="42" spans="2:90">
      <c r="B42" s="1025" t="s">
        <v>1157</v>
      </c>
      <c r="C42" s="1019"/>
      <c r="D42" s="1019"/>
      <c r="E42" s="1019"/>
      <c r="F42" s="1020"/>
      <c r="G42" s="1018" t="s">
        <v>1158</v>
      </c>
      <c r="H42" s="1019"/>
      <c r="I42" s="1019"/>
      <c r="J42" s="1019"/>
      <c r="K42" s="1019"/>
      <c r="L42" s="1019"/>
      <c r="M42" s="1019"/>
      <c r="N42" s="1020"/>
      <c r="O42" s="1018" t="s">
        <v>1159</v>
      </c>
      <c r="P42" s="1019"/>
      <c r="Q42" s="1019"/>
      <c r="R42" s="1019"/>
      <c r="S42" s="1019"/>
      <c r="T42" s="1019"/>
      <c r="U42" s="1019"/>
      <c r="V42" s="1019"/>
      <c r="W42" s="1019"/>
      <c r="X42" s="1019"/>
      <c r="Y42" s="1019"/>
      <c r="Z42" s="1020"/>
      <c r="AA42" s="1191" t="s">
        <v>1160</v>
      </c>
      <c r="AB42" s="1072"/>
      <c r="AC42" s="1072"/>
      <c r="AD42" s="1072"/>
      <c r="AE42" s="1072"/>
      <c r="AF42" s="1072"/>
      <c r="AG42" s="1073"/>
      <c r="AH42" s="1018" t="s">
        <v>1161</v>
      </c>
      <c r="AI42" s="1019"/>
      <c r="AJ42" s="1019"/>
      <c r="AK42" s="1019"/>
      <c r="AL42" s="1020"/>
      <c r="AM42" s="1019" t="s">
        <v>1162</v>
      </c>
      <c r="AN42" s="1019"/>
      <c r="AO42" s="1019"/>
      <c r="AP42" s="1019"/>
      <c r="AQ42" s="1019"/>
      <c r="AR42" s="1019"/>
      <c r="AS42" s="1019"/>
      <c r="AT42" s="1019"/>
      <c r="AU42" s="1019"/>
      <c r="AV42" s="1019"/>
      <c r="AW42" s="1019"/>
      <c r="AX42" s="1019"/>
      <c r="AY42" s="1018" t="s">
        <v>1163</v>
      </c>
      <c r="AZ42" s="1019"/>
      <c r="BA42" s="1019"/>
      <c r="BB42" s="1019"/>
      <c r="BC42" s="1019"/>
      <c r="BD42" s="1019"/>
      <c r="BE42" s="1019"/>
      <c r="BF42" s="1019"/>
      <c r="BG42" s="1019"/>
      <c r="BH42" s="1039"/>
    </row>
    <row r="43" spans="2:90" ht="14.25">
      <c r="B43" s="1146"/>
      <c r="C43" s="1147"/>
      <c r="D43" s="1147"/>
      <c r="E43" s="1147"/>
      <c r="F43" s="1148"/>
      <c r="G43" s="1197"/>
      <c r="H43" s="1198"/>
      <c r="I43" s="1198"/>
      <c r="J43" s="1198"/>
      <c r="K43" s="1198"/>
      <c r="L43" s="1198"/>
      <c r="M43" s="1198"/>
      <c r="N43" s="1199"/>
      <c r="O43" s="1190"/>
      <c r="P43" s="1144"/>
      <c r="Q43" s="1144"/>
      <c r="R43" s="1144"/>
      <c r="S43" s="123" t="s">
        <v>4</v>
      </c>
      <c r="T43" s="1144"/>
      <c r="U43" s="1144"/>
      <c r="V43" s="123" t="s">
        <v>34</v>
      </c>
      <c r="W43" s="1144"/>
      <c r="X43" s="1144"/>
      <c r="Y43" s="123" t="s">
        <v>6</v>
      </c>
      <c r="Z43" s="119"/>
      <c r="AA43" s="42"/>
      <c r="AB43" s="822" t="s">
        <v>124</v>
      </c>
      <c r="AC43" s="15" t="s">
        <v>176</v>
      </c>
      <c r="AD43" s="18"/>
      <c r="AE43" s="822" t="s">
        <v>124</v>
      </c>
      <c r="AF43" s="15" t="s">
        <v>1164</v>
      </c>
      <c r="AG43" s="43"/>
      <c r="AH43" s="1028"/>
      <c r="AI43" s="1029"/>
      <c r="AJ43" s="1029"/>
      <c r="AK43" s="1029"/>
      <c r="AL43" s="1192"/>
      <c r="AM43" s="1029"/>
      <c r="AN43" s="1029"/>
      <c r="AO43" s="1029"/>
      <c r="AP43" s="1029"/>
      <c r="AQ43" s="1029"/>
      <c r="AR43" s="1029"/>
      <c r="AS43" s="1029"/>
      <c r="AT43" s="1029"/>
      <c r="AU43" s="1029"/>
      <c r="AV43" s="1029"/>
      <c r="AW43" s="1029"/>
      <c r="AX43" s="1029"/>
      <c r="AY43" s="1028"/>
      <c r="AZ43" s="1029"/>
      <c r="BA43" s="1029"/>
      <c r="BB43" s="1029"/>
      <c r="BC43" s="1029"/>
      <c r="BD43" s="1029"/>
      <c r="BE43" s="1029"/>
      <c r="BF43" s="1029"/>
      <c r="BG43" s="1029"/>
      <c r="BH43" s="1030"/>
    </row>
    <row r="44" spans="2:90" ht="14.25">
      <c r="B44" s="1149"/>
      <c r="C44" s="1032"/>
      <c r="D44" s="1032"/>
      <c r="E44" s="1032"/>
      <c r="F44" s="1150"/>
      <c r="G44" s="1200"/>
      <c r="H44" s="1201"/>
      <c r="I44" s="1201"/>
      <c r="J44" s="1201"/>
      <c r="K44" s="1201"/>
      <c r="L44" s="1201"/>
      <c r="M44" s="1201"/>
      <c r="N44" s="1202"/>
      <c r="O44" s="1160"/>
      <c r="P44" s="1145"/>
      <c r="Q44" s="1145"/>
      <c r="R44" s="1145"/>
      <c r="S44" s="100"/>
      <c r="T44" s="1145"/>
      <c r="U44" s="1145"/>
      <c r="V44" s="99"/>
      <c r="W44" s="1145"/>
      <c r="X44" s="1145"/>
      <c r="Y44" s="99"/>
      <c r="Z44" s="96"/>
      <c r="AA44" s="44"/>
      <c r="AB44" s="16" t="s">
        <v>1165</v>
      </c>
      <c r="AC44" s="16"/>
      <c r="AD44" s="16"/>
      <c r="AE44" s="122" t="s">
        <v>1166</v>
      </c>
      <c r="AF44" s="16"/>
      <c r="AG44" s="45"/>
      <c r="AH44" s="1031"/>
      <c r="AI44" s="1032"/>
      <c r="AJ44" s="1032"/>
      <c r="AK44" s="1032"/>
      <c r="AL44" s="1150"/>
      <c r="AM44" s="1032"/>
      <c r="AN44" s="1032"/>
      <c r="AO44" s="1032"/>
      <c r="AP44" s="1032"/>
      <c r="AQ44" s="1032"/>
      <c r="AR44" s="1032"/>
      <c r="AS44" s="1032"/>
      <c r="AT44" s="1032"/>
      <c r="AU44" s="1032"/>
      <c r="AV44" s="1032"/>
      <c r="AW44" s="1032"/>
      <c r="AX44" s="1032"/>
      <c r="AY44" s="1031"/>
      <c r="AZ44" s="1032"/>
      <c r="BA44" s="1032"/>
      <c r="BB44" s="1032"/>
      <c r="BC44" s="1032"/>
      <c r="BD44" s="1032"/>
      <c r="BE44" s="1032"/>
      <c r="BF44" s="1032"/>
      <c r="BG44" s="1032"/>
      <c r="BH44" s="1033"/>
    </row>
    <row r="45" spans="2:90" ht="14.25">
      <c r="B45" s="1194"/>
      <c r="C45" s="1029"/>
      <c r="D45" s="1029"/>
      <c r="E45" s="1029"/>
      <c r="F45" s="1192"/>
      <c r="G45" s="1162"/>
      <c r="H45" s="1163"/>
      <c r="I45" s="1163"/>
      <c r="J45" s="1163"/>
      <c r="K45" s="1163"/>
      <c r="L45" s="1163"/>
      <c r="M45" s="1163"/>
      <c r="N45" s="1164"/>
      <c r="O45" s="1159"/>
      <c r="P45" s="1157"/>
      <c r="Q45" s="1157"/>
      <c r="R45" s="1157"/>
      <c r="S45" s="101" t="s">
        <v>4</v>
      </c>
      <c r="T45" s="1157"/>
      <c r="U45" s="1157"/>
      <c r="V45" s="101" t="s">
        <v>34</v>
      </c>
      <c r="W45" s="1157"/>
      <c r="X45" s="1157"/>
      <c r="Y45" s="101" t="s">
        <v>6</v>
      </c>
      <c r="Z45" s="95"/>
      <c r="AA45" s="46"/>
      <c r="AB45" s="822" t="s">
        <v>124</v>
      </c>
      <c r="AC45" s="18" t="s">
        <v>176</v>
      </c>
      <c r="AD45" s="18"/>
      <c r="AE45" s="822" t="s">
        <v>124</v>
      </c>
      <c r="AF45" s="18" t="s">
        <v>1164</v>
      </c>
      <c r="AG45" s="81"/>
      <c r="AH45" s="1028"/>
      <c r="AI45" s="1029"/>
      <c r="AJ45" s="1029"/>
      <c r="AK45" s="1029"/>
      <c r="AL45" s="1192"/>
      <c r="AM45" s="1029"/>
      <c r="AN45" s="1029"/>
      <c r="AO45" s="1029"/>
      <c r="AP45" s="1029"/>
      <c r="AQ45" s="1029"/>
      <c r="AR45" s="1029"/>
      <c r="AS45" s="1029"/>
      <c r="AT45" s="1029"/>
      <c r="AU45" s="1029"/>
      <c r="AV45" s="1029"/>
      <c r="AW45" s="1029"/>
      <c r="AX45" s="1029"/>
      <c r="AY45" s="1028"/>
      <c r="AZ45" s="1029"/>
      <c r="BA45" s="1029"/>
      <c r="BB45" s="1029"/>
      <c r="BC45" s="1029"/>
      <c r="BD45" s="1029"/>
      <c r="BE45" s="1029"/>
      <c r="BF45" s="1029"/>
      <c r="BG45" s="1029"/>
      <c r="BH45" s="1030"/>
    </row>
    <row r="46" spans="2:90" ht="14.25">
      <c r="B46" s="1149"/>
      <c r="C46" s="1032"/>
      <c r="D46" s="1032"/>
      <c r="E46" s="1032"/>
      <c r="F46" s="1150"/>
      <c r="G46" s="1200"/>
      <c r="H46" s="1201"/>
      <c r="I46" s="1201"/>
      <c r="J46" s="1201"/>
      <c r="K46" s="1201"/>
      <c r="L46" s="1201"/>
      <c r="M46" s="1201"/>
      <c r="N46" s="1202"/>
      <c r="O46" s="1160"/>
      <c r="P46" s="1145"/>
      <c r="Q46" s="1145"/>
      <c r="R46" s="1145"/>
      <c r="S46" s="100"/>
      <c r="T46" s="1145"/>
      <c r="U46" s="1145"/>
      <c r="V46" s="99"/>
      <c r="W46" s="1145"/>
      <c r="X46" s="1145"/>
      <c r="Y46" s="99"/>
      <c r="Z46" s="96"/>
      <c r="AA46" s="44"/>
      <c r="AB46" s="16" t="s">
        <v>1167</v>
      </c>
      <c r="AC46" s="16"/>
      <c r="AD46" s="16"/>
      <c r="AE46" s="122" t="s">
        <v>1168</v>
      </c>
      <c r="AF46" s="16"/>
      <c r="AG46" s="45"/>
      <c r="AH46" s="1031"/>
      <c r="AI46" s="1032"/>
      <c r="AJ46" s="1032"/>
      <c r="AK46" s="1032"/>
      <c r="AL46" s="1150"/>
      <c r="AM46" s="1032"/>
      <c r="AN46" s="1032"/>
      <c r="AO46" s="1032"/>
      <c r="AP46" s="1032"/>
      <c r="AQ46" s="1032"/>
      <c r="AR46" s="1032"/>
      <c r="AS46" s="1032"/>
      <c r="AT46" s="1032"/>
      <c r="AU46" s="1032"/>
      <c r="AV46" s="1032"/>
      <c r="AW46" s="1032"/>
      <c r="AX46" s="1032"/>
      <c r="AY46" s="1031"/>
      <c r="AZ46" s="1032"/>
      <c r="BA46" s="1032"/>
      <c r="BB46" s="1032"/>
      <c r="BC46" s="1032"/>
      <c r="BD46" s="1032"/>
      <c r="BE46" s="1032"/>
      <c r="BF46" s="1032"/>
      <c r="BG46" s="1032"/>
      <c r="BH46" s="1033"/>
    </row>
    <row r="47" spans="2:90" ht="14.25">
      <c r="B47" s="1194"/>
      <c r="C47" s="1029"/>
      <c r="D47" s="1029"/>
      <c r="E47" s="1029"/>
      <c r="F47" s="1192"/>
      <c r="G47" s="1162"/>
      <c r="H47" s="1163"/>
      <c r="I47" s="1163"/>
      <c r="J47" s="1163"/>
      <c r="K47" s="1163"/>
      <c r="L47" s="1163"/>
      <c r="M47" s="1163"/>
      <c r="N47" s="1164"/>
      <c r="O47" s="1159"/>
      <c r="P47" s="1157"/>
      <c r="Q47" s="1157"/>
      <c r="R47" s="1157"/>
      <c r="S47" s="101" t="s">
        <v>4</v>
      </c>
      <c r="T47" s="1157"/>
      <c r="U47" s="1157"/>
      <c r="V47" s="101" t="s">
        <v>34</v>
      </c>
      <c r="W47" s="1157"/>
      <c r="X47" s="1157"/>
      <c r="Y47" s="101" t="s">
        <v>6</v>
      </c>
      <c r="Z47" s="95"/>
      <c r="AA47" s="46"/>
      <c r="AB47" s="822" t="s">
        <v>124</v>
      </c>
      <c r="AC47" s="18" t="s">
        <v>176</v>
      </c>
      <c r="AD47" s="18"/>
      <c r="AE47" s="822" t="s">
        <v>124</v>
      </c>
      <c r="AF47" s="18" t="s">
        <v>1169</v>
      </c>
      <c r="AG47" s="81"/>
      <c r="AH47" s="1028"/>
      <c r="AI47" s="1029"/>
      <c r="AJ47" s="1029"/>
      <c r="AK47" s="1029"/>
      <c r="AL47" s="1192"/>
      <c r="AM47" s="1029"/>
      <c r="AN47" s="1029"/>
      <c r="AO47" s="1029"/>
      <c r="AP47" s="1029"/>
      <c r="AQ47" s="1029"/>
      <c r="AR47" s="1029"/>
      <c r="AS47" s="1029"/>
      <c r="AT47" s="1029"/>
      <c r="AU47" s="1029"/>
      <c r="AV47" s="1029"/>
      <c r="AW47" s="1029"/>
      <c r="AX47" s="1029"/>
      <c r="AY47" s="1028"/>
      <c r="AZ47" s="1029"/>
      <c r="BA47" s="1029"/>
      <c r="BB47" s="1029"/>
      <c r="BC47" s="1029"/>
      <c r="BD47" s="1029"/>
      <c r="BE47" s="1029"/>
      <c r="BF47" s="1029"/>
      <c r="BG47" s="1029"/>
      <c r="BH47" s="1030"/>
    </row>
    <row r="48" spans="2:90" ht="14.25">
      <c r="B48" s="1149"/>
      <c r="C48" s="1032"/>
      <c r="D48" s="1032"/>
      <c r="E48" s="1032"/>
      <c r="F48" s="1150"/>
      <c r="G48" s="1200"/>
      <c r="H48" s="1201"/>
      <c r="I48" s="1201"/>
      <c r="J48" s="1201"/>
      <c r="K48" s="1201"/>
      <c r="L48" s="1201"/>
      <c r="M48" s="1201"/>
      <c r="N48" s="1202"/>
      <c r="O48" s="1160"/>
      <c r="P48" s="1145"/>
      <c r="Q48" s="1145"/>
      <c r="R48" s="1145"/>
      <c r="S48" s="100"/>
      <c r="T48" s="1145"/>
      <c r="U48" s="1145"/>
      <c r="V48" s="99"/>
      <c r="W48" s="1145"/>
      <c r="X48" s="1145"/>
      <c r="Y48" s="99"/>
      <c r="Z48" s="96"/>
      <c r="AA48" s="44"/>
      <c r="AB48" s="16" t="s">
        <v>1170</v>
      </c>
      <c r="AC48" s="16"/>
      <c r="AD48" s="16"/>
      <c r="AE48" s="122" t="s">
        <v>1166</v>
      </c>
      <c r="AF48" s="16"/>
      <c r="AG48" s="45"/>
      <c r="AH48" s="1031"/>
      <c r="AI48" s="1032"/>
      <c r="AJ48" s="1032"/>
      <c r="AK48" s="1032"/>
      <c r="AL48" s="1150"/>
      <c r="AM48" s="1032"/>
      <c r="AN48" s="1032"/>
      <c r="AO48" s="1032"/>
      <c r="AP48" s="1032"/>
      <c r="AQ48" s="1032"/>
      <c r="AR48" s="1032"/>
      <c r="AS48" s="1032"/>
      <c r="AT48" s="1032"/>
      <c r="AU48" s="1032"/>
      <c r="AV48" s="1032"/>
      <c r="AW48" s="1032"/>
      <c r="AX48" s="1032"/>
      <c r="AY48" s="1031"/>
      <c r="AZ48" s="1032"/>
      <c r="BA48" s="1032"/>
      <c r="BB48" s="1032"/>
      <c r="BC48" s="1032"/>
      <c r="BD48" s="1032"/>
      <c r="BE48" s="1032"/>
      <c r="BF48" s="1032"/>
      <c r="BG48" s="1032"/>
      <c r="BH48" s="1033"/>
    </row>
    <row r="49" spans="2:60" ht="14.25">
      <c r="B49" s="1194"/>
      <c r="C49" s="1029"/>
      <c r="D49" s="1029"/>
      <c r="E49" s="1029"/>
      <c r="F49" s="1192"/>
      <c r="G49" s="1162"/>
      <c r="H49" s="1163"/>
      <c r="I49" s="1163"/>
      <c r="J49" s="1163"/>
      <c r="K49" s="1163"/>
      <c r="L49" s="1163"/>
      <c r="M49" s="1163"/>
      <c r="N49" s="1164"/>
      <c r="O49" s="1159"/>
      <c r="P49" s="1157"/>
      <c r="Q49" s="1157"/>
      <c r="R49" s="1157"/>
      <c r="S49" s="101" t="s">
        <v>4</v>
      </c>
      <c r="T49" s="1157"/>
      <c r="U49" s="1157"/>
      <c r="V49" s="101" t="s">
        <v>34</v>
      </c>
      <c r="W49" s="1157"/>
      <c r="X49" s="1157"/>
      <c r="Y49" s="101" t="s">
        <v>6</v>
      </c>
      <c r="Z49" s="95"/>
      <c r="AA49" s="46"/>
      <c r="AB49" s="822" t="s">
        <v>124</v>
      </c>
      <c r="AC49" s="18" t="s">
        <v>176</v>
      </c>
      <c r="AD49" s="18"/>
      <c r="AE49" s="822" t="s">
        <v>124</v>
      </c>
      <c r="AF49" s="18" t="s">
        <v>1169</v>
      </c>
      <c r="AG49" s="81"/>
      <c r="AH49" s="1028"/>
      <c r="AI49" s="1029"/>
      <c r="AJ49" s="1029"/>
      <c r="AK49" s="1029"/>
      <c r="AL49" s="1192"/>
      <c r="AM49" s="1029"/>
      <c r="AN49" s="1029"/>
      <c r="AO49" s="1029"/>
      <c r="AP49" s="1029"/>
      <c r="AQ49" s="1029"/>
      <c r="AR49" s="1029"/>
      <c r="AS49" s="1029"/>
      <c r="AT49" s="1029"/>
      <c r="AU49" s="1029"/>
      <c r="AV49" s="1029"/>
      <c r="AW49" s="1029"/>
      <c r="AX49" s="1029"/>
      <c r="AY49" s="1028"/>
      <c r="AZ49" s="1029"/>
      <c r="BA49" s="1029"/>
      <c r="BB49" s="1029"/>
      <c r="BC49" s="1029"/>
      <c r="BD49" s="1029"/>
      <c r="BE49" s="1029"/>
      <c r="BF49" s="1029"/>
      <c r="BG49" s="1029"/>
      <c r="BH49" s="1030"/>
    </row>
    <row r="50" spans="2:60" ht="14.25">
      <c r="B50" s="1149"/>
      <c r="C50" s="1032"/>
      <c r="D50" s="1032"/>
      <c r="E50" s="1032"/>
      <c r="F50" s="1150"/>
      <c r="G50" s="1200"/>
      <c r="H50" s="1201"/>
      <c r="I50" s="1201"/>
      <c r="J50" s="1201"/>
      <c r="K50" s="1201"/>
      <c r="L50" s="1201"/>
      <c r="M50" s="1201"/>
      <c r="N50" s="1202"/>
      <c r="O50" s="1160"/>
      <c r="P50" s="1145"/>
      <c r="Q50" s="1145"/>
      <c r="R50" s="1145"/>
      <c r="S50" s="100"/>
      <c r="T50" s="1145"/>
      <c r="U50" s="1145"/>
      <c r="V50" s="99"/>
      <c r="W50" s="1145"/>
      <c r="X50" s="1145"/>
      <c r="Y50" s="99"/>
      <c r="Z50" s="96"/>
      <c r="AA50" s="44"/>
      <c r="AB50" s="16" t="s">
        <v>1171</v>
      </c>
      <c r="AC50" s="16"/>
      <c r="AD50" s="16"/>
      <c r="AE50" s="122" t="s">
        <v>1166</v>
      </c>
      <c r="AF50" s="16"/>
      <c r="AG50" s="45"/>
      <c r="AH50" s="1031"/>
      <c r="AI50" s="1032"/>
      <c r="AJ50" s="1032"/>
      <c r="AK50" s="1032"/>
      <c r="AL50" s="1150"/>
      <c r="AM50" s="1032"/>
      <c r="AN50" s="1032"/>
      <c r="AO50" s="1032"/>
      <c r="AP50" s="1032"/>
      <c r="AQ50" s="1032"/>
      <c r="AR50" s="1032"/>
      <c r="AS50" s="1032"/>
      <c r="AT50" s="1032"/>
      <c r="AU50" s="1032"/>
      <c r="AV50" s="1032"/>
      <c r="AW50" s="1032"/>
      <c r="AX50" s="1032"/>
      <c r="AY50" s="1031"/>
      <c r="AZ50" s="1032"/>
      <c r="BA50" s="1032"/>
      <c r="BB50" s="1032"/>
      <c r="BC50" s="1032"/>
      <c r="BD50" s="1032"/>
      <c r="BE50" s="1032"/>
      <c r="BF50" s="1032"/>
      <c r="BG50" s="1032"/>
      <c r="BH50" s="1033"/>
    </row>
    <row r="51" spans="2:60" ht="14.25">
      <c r="B51" s="1194"/>
      <c r="C51" s="1029"/>
      <c r="D51" s="1029"/>
      <c r="E51" s="1029"/>
      <c r="F51" s="1192"/>
      <c r="G51" s="1162"/>
      <c r="H51" s="1163"/>
      <c r="I51" s="1163"/>
      <c r="J51" s="1163"/>
      <c r="K51" s="1163"/>
      <c r="L51" s="1163"/>
      <c r="M51" s="1163"/>
      <c r="N51" s="1164"/>
      <c r="O51" s="1159"/>
      <c r="P51" s="1157"/>
      <c r="Q51" s="1157"/>
      <c r="R51" s="1157"/>
      <c r="S51" s="101" t="s">
        <v>4</v>
      </c>
      <c r="T51" s="1157"/>
      <c r="U51" s="1157"/>
      <c r="V51" s="101" t="s">
        <v>34</v>
      </c>
      <c r="W51" s="1157"/>
      <c r="X51" s="1157"/>
      <c r="Y51" s="101" t="s">
        <v>6</v>
      </c>
      <c r="Z51" s="95"/>
      <c r="AA51" s="42"/>
      <c r="AB51" s="819" t="s">
        <v>124</v>
      </c>
      <c r="AC51" s="15" t="s">
        <v>176</v>
      </c>
      <c r="AD51" s="15"/>
      <c r="AE51" s="819" t="s">
        <v>1172</v>
      </c>
      <c r="AF51" s="15" t="s">
        <v>1173</v>
      </c>
      <c r="AG51" s="43"/>
      <c r="AH51" s="1028"/>
      <c r="AI51" s="1029"/>
      <c r="AJ51" s="1029"/>
      <c r="AK51" s="1029"/>
      <c r="AL51" s="1192"/>
      <c r="AM51" s="1029"/>
      <c r="AN51" s="1029"/>
      <c r="AO51" s="1029"/>
      <c r="AP51" s="1029"/>
      <c r="AQ51" s="1029"/>
      <c r="AR51" s="1029"/>
      <c r="AS51" s="1029"/>
      <c r="AT51" s="1029"/>
      <c r="AU51" s="1029"/>
      <c r="AV51" s="1029"/>
      <c r="AW51" s="1029"/>
      <c r="AX51" s="1029"/>
      <c r="AY51" s="1028"/>
      <c r="AZ51" s="1029"/>
      <c r="BA51" s="1029"/>
      <c r="BB51" s="1029"/>
      <c r="BC51" s="1029"/>
      <c r="BD51" s="1029"/>
      <c r="BE51" s="1029"/>
      <c r="BF51" s="1029"/>
      <c r="BG51" s="1029"/>
      <c r="BH51" s="1030"/>
    </row>
    <row r="52" spans="2:60" ht="15" thickBot="1">
      <c r="B52" s="1195"/>
      <c r="C52" s="1152"/>
      <c r="D52" s="1152"/>
      <c r="E52" s="1152"/>
      <c r="F52" s="1193"/>
      <c r="G52" s="1165"/>
      <c r="H52" s="1166"/>
      <c r="I52" s="1166"/>
      <c r="J52" s="1166"/>
      <c r="K52" s="1166"/>
      <c r="L52" s="1166"/>
      <c r="M52" s="1166"/>
      <c r="N52" s="1167"/>
      <c r="O52" s="1196"/>
      <c r="P52" s="1158"/>
      <c r="Q52" s="1158"/>
      <c r="R52" s="1158"/>
      <c r="S52" s="104"/>
      <c r="T52" s="1158"/>
      <c r="U52" s="1158"/>
      <c r="V52" s="105"/>
      <c r="W52" s="1158"/>
      <c r="X52" s="1158"/>
      <c r="Y52" s="105"/>
      <c r="Z52" s="97"/>
      <c r="AA52" s="78"/>
      <c r="AB52" s="23" t="s">
        <v>1170</v>
      </c>
      <c r="AC52" s="23"/>
      <c r="AD52" s="23"/>
      <c r="AE52" s="124" t="s">
        <v>1166</v>
      </c>
      <c r="AF52" s="23"/>
      <c r="AG52" s="125"/>
      <c r="AH52" s="1151"/>
      <c r="AI52" s="1152"/>
      <c r="AJ52" s="1152"/>
      <c r="AK52" s="1152"/>
      <c r="AL52" s="1193"/>
      <c r="AM52" s="1152"/>
      <c r="AN52" s="1152"/>
      <c r="AO52" s="1152"/>
      <c r="AP52" s="1152"/>
      <c r="AQ52" s="1152"/>
      <c r="AR52" s="1152"/>
      <c r="AS52" s="1152"/>
      <c r="AT52" s="1152"/>
      <c r="AU52" s="1152"/>
      <c r="AV52" s="1152"/>
      <c r="AW52" s="1152"/>
      <c r="AX52" s="1152"/>
      <c r="AY52" s="1151"/>
      <c r="AZ52" s="1152"/>
      <c r="BA52" s="1152"/>
      <c r="BB52" s="1152"/>
      <c r="BC52" s="1152"/>
      <c r="BD52" s="1152"/>
      <c r="BE52" s="1152"/>
      <c r="BF52" s="1152"/>
      <c r="BG52" s="1152"/>
      <c r="BH52" s="1153"/>
    </row>
  </sheetData>
  <mergeCells count="142">
    <mergeCell ref="AM51:AX52"/>
    <mergeCell ref="AY51:BH52"/>
    <mergeCell ref="B51:F52"/>
    <mergeCell ref="G51:N52"/>
    <mergeCell ref="O51:R52"/>
    <mergeCell ref="T51:U52"/>
    <mergeCell ref="W51:X52"/>
    <mergeCell ref="AH51:AL52"/>
    <mergeCell ref="AM47:AX48"/>
    <mergeCell ref="AY47:BH48"/>
    <mergeCell ref="B49:F50"/>
    <mergeCell ref="G49:N50"/>
    <mergeCell ref="O49:R50"/>
    <mergeCell ref="T49:U50"/>
    <mergeCell ref="W49:X50"/>
    <mergeCell ref="AH49:AL50"/>
    <mergeCell ref="AM49:AX50"/>
    <mergeCell ref="AY49:BH50"/>
    <mergeCell ref="B47:F48"/>
    <mergeCell ref="G47:N48"/>
    <mergeCell ref="O47:R48"/>
    <mergeCell ref="T47:U48"/>
    <mergeCell ref="W47:X48"/>
    <mergeCell ref="AH47:AL48"/>
    <mergeCell ref="AM43:AX44"/>
    <mergeCell ref="AY43:BH44"/>
    <mergeCell ref="B45:F46"/>
    <mergeCell ref="G45:N46"/>
    <mergeCell ref="O45:R46"/>
    <mergeCell ref="T45:U46"/>
    <mergeCell ref="W45:X46"/>
    <mergeCell ref="AH45:AL46"/>
    <mergeCell ref="AM45:AX46"/>
    <mergeCell ref="AY45:BH46"/>
    <mergeCell ref="B43:F44"/>
    <mergeCell ref="G43:N44"/>
    <mergeCell ref="O43:R44"/>
    <mergeCell ref="T43:U44"/>
    <mergeCell ref="W43:X44"/>
    <mergeCell ref="AH43:AL44"/>
    <mergeCell ref="AY41:BH41"/>
    <mergeCell ref="B42:F42"/>
    <mergeCell ref="G42:N42"/>
    <mergeCell ref="O42:Z42"/>
    <mergeCell ref="AA42:AG42"/>
    <mergeCell ref="AH42:AL42"/>
    <mergeCell ref="AM42:AX42"/>
    <mergeCell ref="AY42:BH42"/>
    <mergeCell ref="B41:F41"/>
    <mergeCell ref="G41:N41"/>
    <mergeCell ref="O41:Z41"/>
    <mergeCell ref="AA41:AG41"/>
    <mergeCell ref="AH41:AL41"/>
    <mergeCell ref="AM41:AX41"/>
    <mergeCell ref="B37:G38"/>
    <mergeCell ref="H37:O38"/>
    <mergeCell ref="P37:S38"/>
    <mergeCell ref="U37:V38"/>
    <mergeCell ref="X37:Y38"/>
    <mergeCell ref="AB37:BG38"/>
    <mergeCell ref="B35:G36"/>
    <mergeCell ref="H35:O36"/>
    <mergeCell ref="P35:S36"/>
    <mergeCell ref="U35:V36"/>
    <mergeCell ref="X35:Y36"/>
    <mergeCell ref="AB35:BG36"/>
    <mergeCell ref="B33:G34"/>
    <mergeCell ref="H33:O34"/>
    <mergeCell ref="P33:S34"/>
    <mergeCell ref="U33:V34"/>
    <mergeCell ref="X33:Y34"/>
    <mergeCell ref="AB33:BG34"/>
    <mergeCell ref="B31:G32"/>
    <mergeCell ref="H31:O32"/>
    <mergeCell ref="P31:S32"/>
    <mergeCell ref="U31:V32"/>
    <mergeCell ref="X31:Y32"/>
    <mergeCell ref="AB31:BG32"/>
    <mergeCell ref="B29:G30"/>
    <mergeCell ref="H29:O30"/>
    <mergeCell ref="P29:S30"/>
    <mergeCell ref="U29:V30"/>
    <mergeCell ref="X29:Y30"/>
    <mergeCell ref="AB29:BG30"/>
    <mergeCell ref="B27:G28"/>
    <mergeCell ref="H27:O28"/>
    <mergeCell ref="P27:S28"/>
    <mergeCell ref="U27:V28"/>
    <mergeCell ref="X27:Y28"/>
    <mergeCell ref="AB27:BG28"/>
    <mergeCell ref="B25:G26"/>
    <mergeCell ref="H25:O26"/>
    <mergeCell ref="P25:S26"/>
    <mergeCell ref="U25:V26"/>
    <mergeCell ref="X25:Y26"/>
    <mergeCell ref="AB25:BG26"/>
    <mergeCell ref="B23:G24"/>
    <mergeCell ref="H23:O24"/>
    <mergeCell ref="P23:S24"/>
    <mergeCell ref="U23:V24"/>
    <mergeCell ref="X23:Y24"/>
    <mergeCell ref="AB23:BG24"/>
    <mergeCell ref="B21:G22"/>
    <mergeCell ref="H21:O22"/>
    <mergeCell ref="P21:S22"/>
    <mergeCell ref="U21:V22"/>
    <mergeCell ref="X21:Y22"/>
    <mergeCell ref="AB21:BG22"/>
    <mergeCell ref="B19:G20"/>
    <mergeCell ref="H19:O20"/>
    <mergeCell ref="P19:S20"/>
    <mergeCell ref="U19:V20"/>
    <mergeCell ref="X19:Y20"/>
    <mergeCell ref="AB19:BG20"/>
    <mergeCell ref="B13:G14"/>
    <mergeCell ref="H13:O14"/>
    <mergeCell ref="P13:S14"/>
    <mergeCell ref="U13:V14"/>
    <mergeCell ref="X13:Y14"/>
    <mergeCell ref="AB13:BG14"/>
    <mergeCell ref="B17:G18"/>
    <mergeCell ref="H17:O18"/>
    <mergeCell ref="P17:S18"/>
    <mergeCell ref="U17:V18"/>
    <mergeCell ref="X17:Y18"/>
    <mergeCell ref="AB17:BG18"/>
    <mergeCell ref="B15:G16"/>
    <mergeCell ref="H15:O16"/>
    <mergeCell ref="P15:S16"/>
    <mergeCell ref="U15:V16"/>
    <mergeCell ref="X15:Y16"/>
    <mergeCell ref="AB15:BG16"/>
    <mergeCell ref="B2:BH2"/>
    <mergeCell ref="B3:BH3"/>
    <mergeCell ref="B11:G11"/>
    <mergeCell ref="H11:O11"/>
    <mergeCell ref="P11:AA11"/>
    <mergeCell ref="AB11:BH11"/>
    <mergeCell ref="B12:G12"/>
    <mergeCell ref="H12:O12"/>
    <mergeCell ref="P12:AA12"/>
    <mergeCell ref="AB12:BH12"/>
  </mergeCells>
  <phoneticPr fontId="5"/>
  <dataValidations count="4">
    <dataValidation type="list" allowBlank="1" showInputMessage="1" showErrorMessage="1" sqref="AE51 AB51 AB49 AE49 AB43 N40 AE43 L40 AB47 AE47 AB45 AE45">
      <formula1>$CD$3:$CD$4</formula1>
    </dataValidation>
    <dataValidation type="list" allowBlank="1" showInputMessage="1" showErrorMessage="1" sqref="AH43:AL44">
      <formula1>$BO$3:$BO$10</formula1>
    </dataValidation>
    <dataValidation type="list" allowBlank="1" showInputMessage="1" showErrorMessage="1" sqref="B25:G38">
      <formula1>#REF!</formula1>
    </dataValidation>
    <dataValidation type="custom" allowBlank="1" showInputMessage="1" showErrorMessage="1" sqref="AB13:BG38">
      <formula1>LEN(AB13)=LENB(AB13)</formula1>
    </dataValidation>
  </dataValidations>
  <printOptions horizontalCentered="1"/>
  <pageMargins left="0.31496062992125984" right="0.43307086614173229" top="0.43307086614173229" bottom="0" header="0" footer="0"/>
  <pageSetup paperSize="9" scale="92" orientation="portrait" blackAndWhite="1" r:id="rId1"/>
  <headerFooter alignWithMargins="0">
    <oddHeader>&amp;L&amp;6 2016年3月改訂</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CH157"/>
  <sheetViews>
    <sheetView view="pageBreakPreview" topLeftCell="A38" zoomScale="115" zoomScaleNormal="115" zoomScaleSheetLayoutView="115" workbookViewId="0">
      <selection activeCell="BA38" sqref="BA38"/>
    </sheetView>
  </sheetViews>
  <sheetFormatPr defaultRowHeight="13.5"/>
  <cols>
    <col min="1" max="1" width="1.375" customWidth="1"/>
    <col min="2" max="60" width="1.625" customWidth="1"/>
    <col min="61" max="61" width="0.375" customWidth="1"/>
    <col min="62" max="62" width="12.125" bestFit="1" customWidth="1"/>
  </cols>
  <sheetData>
    <row r="1" spans="1:86" ht="13.5" customHeight="1" thickBot="1">
      <c r="A1" s="715"/>
      <c r="B1" s="715"/>
      <c r="C1" s="715"/>
      <c r="D1" s="715"/>
      <c r="E1" s="715"/>
      <c r="F1" s="715"/>
      <c r="G1" s="715"/>
      <c r="H1" s="715"/>
      <c r="I1" s="715"/>
      <c r="J1" s="715"/>
      <c r="K1" s="715"/>
      <c r="L1" s="715"/>
      <c r="M1" s="715"/>
      <c r="N1" s="715"/>
      <c r="O1" s="715"/>
      <c r="P1" s="715"/>
      <c r="Q1" s="715"/>
      <c r="R1" s="715"/>
      <c r="S1" s="715"/>
      <c r="T1" s="715"/>
      <c r="U1" s="715"/>
      <c r="V1" s="715"/>
      <c r="W1" s="715"/>
      <c r="X1" s="715"/>
      <c r="Y1" s="715"/>
      <c r="Z1" s="715"/>
      <c r="AA1" s="715"/>
      <c r="AB1" s="715"/>
      <c r="AC1" s="715"/>
      <c r="AD1" s="715"/>
      <c r="AE1" s="715"/>
      <c r="AF1" s="715"/>
      <c r="AG1" s="715"/>
      <c r="AH1" s="715"/>
      <c r="AI1" s="715"/>
      <c r="AJ1" s="715"/>
      <c r="AK1" s="715"/>
      <c r="AL1" s="715"/>
      <c r="AM1" s="715"/>
      <c r="AN1" s="715"/>
      <c r="AO1" s="715"/>
      <c r="AP1" s="715"/>
      <c r="AQ1" s="715"/>
      <c r="AR1" s="715"/>
      <c r="AS1" s="715"/>
      <c r="AT1" s="715"/>
      <c r="AU1" s="715"/>
      <c r="AV1" s="715"/>
      <c r="AW1" s="715"/>
      <c r="AX1" s="715"/>
      <c r="AY1" s="715"/>
      <c r="AZ1" s="715"/>
      <c r="BA1" s="715"/>
      <c r="BB1" s="715"/>
      <c r="BC1" s="715"/>
      <c r="BD1" s="715"/>
      <c r="BE1" s="715"/>
      <c r="BF1" s="715"/>
      <c r="BG1" s="715"/>
      <c r="BH1" s="716"/>
    </row>
    <row r="2" spans="1:86" s="1" customFormat="1" ht="24.75" thickBot="1">
      <c r="A2" s="1236" t="s">
        <v>1104</v>
      </c>
      <c r="B2" s="1236"/>
      <c r="C2" s="1236"/>
      <c r="D2" s="1236"/>
      <c r="E2" s="1236"/>
      <c r="F2" s="1236"/>
      <c r="G2" s="1236"/>
      <c r="H2" s="1236"/>
      <c r="I2" s="717"/>
      <c r="J2" s="717"/>
      <c r="K2" s="717"/>
      <c r="L2" s="717"/>
      <c r="M2" s="717"/>
      <c r="N2" s="717"/>
      <c r="O2" s="717"/>
      <c r="P2" s="717"/>
      <c r="Q2" s="717"/>
      <c r="R2" s="717"/>
      <c r="S2" s="717"/>
      <c r="T2" s="717"/>
      <c r="U2" s="717"/>
      <c r="V2" s="717"/>
      <c r="W2" s="717"/>
      <c r="X2" s="717"/>
      <c r="Y2" s="717"/>
      <c r="Z2" s="717"/>
      <c r="AA2" s="717"/>
      <c r="AB2" s="717"/>
      <c r="AC2" s="717"/>
      <c r="AD2" s="717"/>
      <c r="AE2" s="717"/>
      <c r="AF2" s="717"/>
      <c r="AG2" s="717"/>
      <c r="AH2" s="717"/>
      <c r="AI2" s="717"/>
      <c r="AJ2" s="717"/>
      <c r="AK2" s="717"/>
      <c r="AL2" s="1257" t="s">
        <v>1131</v>
      </c>
      <c r="AM2" s="1258"/>
      <c r="AN2" s="1258"/>
      <c r="AO2" s="1258"/>
      <c r="AP2" s="1258"/>
      <c r="AQ2" s="1259" t="str">
        <f>'01.入学願書'!AM11&amp;" "&amp;'01.入学願書'!AV11</f>
        <v>BUI VAN HAI</v>
      </c>
      <c r="AR2" s="1259"/>
      <c r="AS2" s="1259"/>
      <c r="AT2" s="1259"/>
      <c r="AU2" s="1259"/>
      <c r="AV2" s="1259"/>
      <c r="AW2" s="1259"/>
      <c r="AX2" s="1259"/>
      <c r="AY2" s="1259"/>
      <c r="AZ2" s="1259"/>
      <c r="BA2" s="1259"/>
      <c r="BB2" s="1259"/>
      <c r="BC2" s="1259"/>
      <c r="BD2" s="1259"/>
      <c r="BE2" s="1259"/>
      <c r="BF2" s="1259"/>
      <c r="BG2" s="1260"/>
      <c r="BH2" s="717"/>
    </row>
    <row r="3" spans="1:86" s="736" customFormat="1" ht="12">
      <c r="A3" s="734"/>
      <c r="B3" s="734"/>
      <c r="C3" s="734"/>
      <c r="D3" s="734"/>
      <c r="E3" s="734"/>
      <c r="F3" s="734"/>
      <c r="G3" s="734"/>
      <c r="H3" s="734"/>
      <c r="I3" s="735"/>
      <c r="J3" s="735"/>
      <c r="K3" s="735"/>
      <c r="L3" s="735"/>
      <c r="M3" s="735"/>
      <c r="N3" s="735"/>
      <c r="O3" s="735"/>
      <c r="P3" s="735"/>
      <c r="Q3" s="735"/>
      <c r="R3" s="735"/>
      <c r="S3" s="735"/>
      <c r="T3" s="735"/>
      <c r="U3" s="735"/>
      <c r="V3" s="735"/>
      <c r="W3" s="735"/>
      <c r="X3" s="735"/>
      <c r="Y3" s="735"/>
      <c r="Z3" s="735"/>
      <c r="AA3" s="735"/>
      <c r="AB3" s="735"/>
      <c r="AC3" s="735"/>
      <c r="AD3" s="735"/>
      <c r="AE3" s="735"/>
      <c r="AF3" s="735"/>
      <c r="AG3" s="735"/>
      <c r="AH3" s="735"/>
      <c r="AI3" s="735"/>
      <c r="AJ3" s="735"/>
      <c r="AK3" s="735"/>
      <c r="AL3" s="735"/>
      <c r="AM3" s="735"/>
      <c r="AN3" s="735"/>
      <c r="AO3" s="735"/>
      <c r="AP3" s="735"/>
      <c r="AQ3" s="735"/>
      <c r="AR3" s="735"/>
      <c r="AS3" s="735"/>
      <c r="AT3" s="735"/>
      <c r="AU3" s="735"/>
      <c r="AV3" s="735"/>
      <c r="AW3" s="735"/>
      <c r="AX3" s="735"/>
      <c r="AY3" s="735"/>
      <c r="AZ3" s="735"/>
      <c r="BA3" s="735"/>
      <c r="BB3" s="735"/>
      <c r="BC3" s="735"/>
      <c r="BD3" s="735"/>
      <c r="BE3" s="735"/>
      <c r="BF3" s="735"/>
      <c r="BG3" s="735"/>
      <c r="BH3" s="735"/>
    </row>
    <row r="4" spans="1:86" s="1" customFormat="1" ht="25.5" customHeight="1">
      <c r="A4" s="719"/>
      <c r="B4" s="719"/>
      <c r="C4" s="722" t="s">
        <v>1122</v>
      </c>
      <c r="D4" s="719"/>
      <c r="E4" s="719"/>
      <c r="F4" s="719"/>
      <c r="G4" s="719"/>
      <c r="H4" s="719"/>
      <c r="I4" s="717"/>
      <c r="J4" s="717"/>
      <c r="K4" s="717"/>
      <c r="L4" s="717"/>
      <c r="M4" s="717"/>
      <c r="N4" s="717"/>
      <c r="O4" s="717"/>
      <c r="P4" s="717"/>
      <c r="Q4" s="717"/>
      <c r="R4" s="717"/>
      <c r="S4" s="717"/>
      <c r="T4" s="717"/>
      <c r="U4" s="717"/>
      <c r="V4" s="717"/>
      <c r="W4" s="717"/>
      <c r="X4" s="717"/>
      <c r="Y4" s="717"/>
      <c r="Z4" s="717"/>
      <c r="AA4" s="717"/>
      <c r="AB4" s="717"/>
      <c r="AC4" s="717"/>
      <c r="AD4" s="717"/>
      <c r="AE4" s="717"/>
      <c r="AF4" s="717"/>
      <c r="AG4" s="717"/>
      <c r="AH4" s="717"/>
      <c r="AI4" s="717"/>
      <c r="AJ4" s="717"/>
      <c r="AK4" s="717"/>
      <c r="AL4" s="717"/>
      <c r="AM4" s="717"/>
      <c r="AN4" s="717"/>
      <c r="AO4" s="717"/>
      <c r="AP4" s="717"/>
      <c r="AQ4" s="717"/>
      <c r="AR4" s="717"/>
      <c r="AS4" s="717"/>
      <c r="AT4" s="717"/>
      <c r="AU4" s="717"/>
      <c r="AV4" s="717"/>
      <c r="AW4" s="717"/>
      <c r="AX4" s="717"/>
      <c r="AY4" s="717"/>
      <c r="AZ4" s="717"/>
      <c r="BA4" s="717"/>
      <c r="BB4" s="717"/>
      <c r="BC4" s="717"/>
      <c r="BD4" s="717"/>
      <c r="BE4" s="717"/>
      <c r="BF4" s="717"/>
      <c r="BG4" s="717"/>
      <c r="BH4" s="717"/>
    </row>
    <row r="5" spans="1:86" s="607" customFormat="1" ht="11.25">
      <c r="A5" s="732"/>
      <c r="B5" s="732"/>
      <c r="C5" s="737"/>
      <c r="D5" s="732"/>
      <c r="E5" s="732"/>
      <c r="F5" s="732"/>
      <c r="G5" s="732"/>
      <c r="H5" s="732"/>
      <c r="I5" s="733"/>
      <c r="J5" s="733"/>
      <c r="K5" s="733"/>
      <c r="L5" s="733"/>
      <c r="M5" s="733"/>
      <c r="N5" s="733"/>
      <c r="O5" s="733"/>
      <c r="P5" s="733"/>
      <c r="Q5" s="733"/>
      <c r="R5" s="733"/>
      <c r="S5" s="733"/>
      <c r="T5" s="733"/>
      <c r="U5" s="733"/>
      <c r="V5" s="733"/>
      <c r="W5" s="733"/>
      <c r="X5" s="733"/>
      <c r="Y5" s="733"/>
      <c r="Z5" s="733"/>
      <c r="AA5" s="733"/>
      <c r="AB5" s="733"/>
      <c r="AC5" s="733"/>
      <c r="AD5" s="733"/>
      <c r="AE5" s="733"/>
      <c r="AF5" s="733"/>
      <c r="AG5" s="733"/>
      <c r="AH5" s="733"/>
      <c r="AI5" s="733"/>
      <c r="AJ5" s="733"/>
      <c r="AK5" s="733"/>
      <c r="AL5" s="733"/>
      <c r="AM5" s="733"/>
      <c r="AN5" s="733"/>
      <c r="AO5" s="733"/>
      <c r="AP5" s="733"/>
      <c r="AQ5" s="733"/>
      <c r="AR5" s="733"/>
      <c r="AS5" s="733"/>
      <c r="AT5" s="733"/>
      <c r="AU5" s="733"/>
      <c r="AV5" s="733"/>
      <c r="AW5" s="733"/>
      <c r="AX5" s="733"/>
      <c r="AY5" s="733"/>
      <c r="AZ5" s="733"/>
      <c r="BA5" s="733"/>
      <c r="BB5" s="733"/>
      <c r="BC5" s="733"/>
      <c r="BD5" s="733"/>
      <c r="BE5" s="733"/>
      <c r="BF5" s="733"/>
      <c r="BG5" s="733"/>
      <c r="BH5" s="733"/>
    </row>
    <row r="6" spans="1:86" s="12" customFormat="1" ht="15" customHeight="1">
      <c r="B6" s="728" t="s">
        <v>1120</v>
      </c>
      <c r="C6" s="130"/>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CA6" s="64"/>
      <c r="CB6" s="64"/>
      <c r="CC6" s="64"/>
      <c r="CD6" s="64"/>
      <c r="CE6" s="64"/>
      <c r="CF6" s="64"/>
      <c r="CG6" s="64"/>
      <c r="CH6" s="64"/>
    </row>
    <row r="7" spans="1:86" s="12" customFormat="1" ht="13.5" customHeight="1">
      <c r="B7" s="130"/>
      <c r="C7" s="130" t="s">
        <v>1106</v>
      </c>
      <c r="D7" s="130"/>
      <c r="E7" s="130"/>
      <c r="F7" s="130"/>
      <c r="G7" s="130"/>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CA7" s="64"/>
      <c r="CB7" s="64"/>
      <c r="CC7" s="64"/>
      <c r="CD7" s="64"/>
      <c r="CE7" s="64"/>
      <c r="CF7" s="64"/>
      <c r="CG7" s="64"/>
      <c r="CH7" s="64"/>
    </row>
    <row r="8" spans="1:86" s="12" customFormat="1" ht="13.5" customHeight="1">
      <c r="B8" s="130"/>
      <c r="C8" s="130"/>
      <c r="D8" s="130" t="s">
        <v>191</v>
      </c>
      <c r="E8" s="130"/>
      <c r="F8" s="130"/>
      <c r="G8" s="130"/>
      <c r="H8" s="130"/>
      <c r="I8" s="130" t="s">
        <v>192</v>
      </c>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CA8" s="64"/>
      <c r="CB8" s="64"/>
      <c r="CC8" s="64"/>
      <c r="CD8" s="64"/>
      <c r="CE8" s="64"/>
      <c r="CF8" s="64"/>
      <c r="CG8" s="64"/>
      <c r="CH8" s="64"/>
    </row>
    <row r="9" spans="1:86" s="12" customFormat="1" ht="13.5" customHeight="1">
      <c r="B9" s="130"/>
      <c r="C9" s="130"/>
      <c r="D9" s="130"/>
      <c r="E9" s="730" t="str">
        <f>'01.入学願書'!E142</f>
        <v>■</v>
      </c>
      <c r="F9" s="130" t="s">
        <v>139</v>
      </c>
      <c r="G9" s="130"/>
      <c r="H9" s="130"/>
      <c r="I9" s="130"/>
      <c r="J9" s="130"/>
      <c r="K9" s="130"/>
      <c r="L9" s="130"/>
      <c r="M9" s="130"/>
      <c r="N9" s="731"/>
      <c r="O9" s="730" t="str">
        <f>'01.入学願書'!O142</f>
        <v>□</v>
      </c>
      <c r="P9" s="130" t="s">
        <v>977</v>
      </c>
      <c r="Q9" s="15"/>
      <c r="R9" s="130"/>
      <c r="S9" s="15"/>
      <c r="T9" s="130"/>
      <c r="U9" s="130"/>
      <c r="V9" s="130"/>
      <c r="W9" s="15"/>
      <c r="X9" s="15"/>
      <c r="Y9" s="130"/>
      <c r="Z9" s="15"/>
      <c r="AA9" s="730" t="str">
        <f>'01.入学願書'!AA142</f>
        <v>□</v>
      </c>
      <c r="AB9" s="130" t="s">
        <v>978</v>
      </c>
      <c r="AC9" s="130"/>
      <c r="AD9" s="130"/>
      <c r="AE9" s="15"/>
      <c r="AF9" s="130"/>
      <c r="AG9" s="130"/>
      <c r="AH9" s="15"/>
      <c r="AI9" s="15"/>
      <c r="AJ9" s="15"/>
      <c r="AK9" s="15"/>
      <c r="AL9" s="15"/>
      <c r="AM9" s="730" t="str">
        <f>'01.入学願書'!AM142</f>
        <v>□</v>
      </c>
      <c r="AN9" s="130" t="s">
        <v>188</v>
      </c>
      <c r="AO9" s="15"/>
      <c r="AP9" s="15"/>
      <c r="AQ9" s="15"/>
      <c r="AR9" s="15"/>
      <c r="AS9" s="15"/>
      <c r="AT9" s="15"/>
      <c r="AU9" s="15"/>
      <c r="AV9" s="15"/>
      <c r="AW9" s="15"/>
      <c r="AX9" s="15"/>
      <c r="AY9" s="15"/>
      <c r="AZ9" s="15"/>
      <c r="BA9" s="15"/>
      <c r="BB9" s="15"/>
      <c r="BC9" s="15"/>
      <c r="BD9" s="15"/>
      <c r="BE9" s="130"/>
      <c r="BF9" s="130"/>
      <c r="BG9" s="130"/>
      <c r="BH9" s="130"/>
      <c r="CA9" s="64"/>
      <c r="CB9" s="64"/>
      <c r="CC9" s="64"/>
      <c r="CD9" s="64"/>
      <c r="CE9" s="64"/>
      <c r="CF9" s="64"/>
      <c r="CG9" s="64"/>
      <c r="CH9" s="64"/>
    </row>
    <row r="10" spans="1:86" s="12" customFormat="1" ht="13.5" customHeight="1">
      <c r="B10" s="130"/>
      <c r="C10" s="130"/>
      <c r="D10" s="130"/>
      <c r="E10" s="130"/>
      <c r="F10" s="130" t="s">
        <v>980</v>
      </c>
      <c r="G10" s="130"/>
      <c r="H10" s="130"/>
      <c r="I10" s="130"/>
      <c r="J10" s="130"/>
      <c r="K10" s="130"/>
      <c r="L10" s="130"/>
      <c r="M10" s="130"/>
      <c r="N10" s="130"/>
      <c r="O10" s="130"/>
      <c r="P10" s="130" t="s">
        <v>984</v>
      </c>
      <c r="Q10" s="130"/>
      <c r="R10" s="130"/>
      <c r="S10" s="130"/>
      <c r="T10" s="130"/>
      <c r="U10" s="130"/>
      <c r="V10" s="130"/>
      <c r="W10" s="130"/>
      <c r="X10" s="130"/>
      <c r="Y10" s="130"/>
      <c r="Z10" s="130"/>
      <c r="AA10" s="130"/>
      <c r="AB10" s="130" t="s">
        <v>985</v>
      </c>
      <c r="AC10" s="130"/>
      <c r="AD10" s="130"/>
      <c r="AE10" s="130"/>
      <c r="AF10" s="130"/>
      <c r="AG10" s="130"/>
      <c r="AH10" s="130"/>
      <c r="AI10" s="130"/>
      <c r="AJ10" s="130"/>
      <c r="AK10" s="130"/>
      <c r="AL10" s="130"/>
      <c r="AM10" s="130"/>
      <c r="AN10" s="130" t="s">
        <v>983</v>
      </c>
      <c r="AO10" s="15"/>
      <c r="AP10" s="15"/>
      <c r="AQ10" s="15"/>
      <c r="AR10" s="130"/>
      <c r="AS10" s="130"/>
      <c r="AT10" s="130"/>
      <c r="AU10" s="130"/>
      <c r="AV10" s="130"/>
      <c r="AW10" s="130"/>
      <c r="AX10" s="130"/>
      <c r="AY10" s="130"/>
      <c r="AZ10" s="130"/>
      <c r="BA10" s="130"/>
      <c r="BB10" s="130"/>
      <c r="BC10" s="130"/>
      <c r="BD10" s="130"/>
      <c r="BE10" s="130"/>
      <c r="BF10" s="130"/>
      <c r="BG10" s="130"/>
      <c r="BH10" s="130"/>
      <c r="CA10" s="64"/>
      <c r="CB10" s="64"/>
      <c r="CC10" s="64"/>
      <c r="CD10" s="64"/>
      <c r="CE10" s="64"/>
      <c r="CF10" s="64"/>
      <c r="CG10" s="64"/>
      <c r="CH10" s="64"/>
    </row>
    <row r="11" spans="1:86" s="12" customFormat="1" ht="13.5" customHeight="1">
      <c r="B11" s="130"/>
      <c r="C11" s="130"/>
      <c r="D11" s="130"/>
      <c r="E11" s="730" t="str">
        <f>'01.入学願書'!E144</f>
        <v>□</v>
      </c>
      <c r="F11" s="130" t="s">
        <v>189</v>
      </c>
      <c r="G11" s="130"/>
      <c r="H11" s="130"/>
      <c r="I11" s="130"/>
      <c r="J11" s="130"/>
      <c r="K11" s="15"/>
      <c r="L11" s="15"/>
      <c r="M11" s="15"/>
      <c r="N11" s="15"/>
      <c r="O11" s="730" t="str">
        <f>'01.入学願書'!O144</f>
        <v>□</v>
      </c>
      <c r="P11" s="130" t="s">
        <v>190</v>
      </c>
      <c r="Q11" s="130"/>
      <c r="R11" s="130"/>
      <c r="S11" s="130" t="s">
        <v>27</v>
      </c>
      <c r="T11" s="1255" t="str">
        <f>IF('01.入学願書'!T144:AL144="","",'01.入学願書'!T144:AL144)</f>
        <v/>
      </c>
      <c r="U11" s="1255"/>
      <c r="V11" s="1255"/>
      <c r="W11" s="1255"/>
      <c r="X11" s="1255"/>
      <c r="Y11" s="1255"/>
      <c r="Z11" s="1255"/>
      <c r="AA11" s="1255"/>
      <c r="AB11" s="1255"/>
      <c r="AC11" s="1255"/>
      <c r="AD11" s="1255"/>
      <c r="AE11" s="1255"/>
      <c r="AF11" s="1255"/>
      <c r="AG11" s="1255"/>
      <c r="AH11" s="1255"/>
      <c r="AI11" s="1255"/>
      <c r="AJ11" s="1255"/>
      <c r="AK11" s="1255"/>
      <c r="AL11" s="1255"/>
      <c r="AM11" s="130" t="s">
        <v>219</v>
      </c>
      <c r="AN11" s="130"/>
      <c r="AO11" s="130"/>
      <c r="AP11" s="130"/>
      <c r="AQ11" s="130"/>
      <c r="AR11" s="130"/>
      <c r="AS11" s="130"/>
      <c r="AT11" s="130"/>
      <c r="AU11" s="130"/>
      <c r="AV11" s="130"/>
      <c r="AW11" s="130"/>
      <c r="AX11" s="130"/>
      <c r="AY11" s="130"/>
      <c r="AZ11" s="130"/>
      <c r="BA11" s="130"/>
      <c r="BB11" s="130"/>
      <c r="BC11" s="130"/>
      <c r="BD11" s="130"/>
      <c r="BE11" s="130"/>
      <c r="BF11" s="130"/>
      <c r="BG11" s="130"/>
      <c r="BH11" s="130"/>
      <c r="CA11" s="64"/>
      <c r="CB11" s="64"/>
      <c r="CC11" s="64"/>
      <c r="CD11" s="64"/>
      <c r="CE11" s="64"/>
      <c r="CF11" s="64"/>
      <c r="CG11" s="64"/>
      <c r="CH11" s="64"/>
    </row>
    <row r="12" spans="1:86" s="12" customFormat="1" ht="13.5" customHeight="1">
      <c r="B12" s="130"/>
      <c r="C12" s="130"/>
      <c r="D12" s="15"/>
      <c r="E12" s="15"/>
      <c r="F12" s="15" t="s">
        <v>520</v>
      </c>
      <c r="G12" s="15"/>
      <c r="H12" s="15"/>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30"/>
      <c r="BH12" s="130"/>
      <c r="CA12" s="64"/>
      <c r="CB12" s="64"/>
      <c r="CC12" s="64"/>
      <c r="CD12" s="64"/>
      <c r="CE12" s="64"/>
      <c r="CF12" s="64"/>
      <c r="CG12" s="64"/>
      <c r="CH12" s="64"/>
    </row>
    <row r="13" spans="1:86" s="12" customFormat="1" ht="13.5" customHeight="1">
      <c r="B13" s="130"/>
      <c r="C13" s="15"/>
      <c r="D13" s="130" t="s">
        <v>193</v>
      </c>
      <c r="E13" s="130"/>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5"/>
      <c r="BH13" s="130"/>
      <c r="CA13" s="64"/>
      <c r="CB13" s="64"/>
      <c r="CC13" s="64"/>
      <c r="CD13" s="64"/>
      <c r="CE13" s="64"/>
      <c r="CF13" s="64"/>
      <c r="CG13" s="64"/>
      <c r="CH13" s="64"/>
    </row>
    <row r="14" spans="1:86" s="12" customFormat="1" ht="13.5" customHeight="1">
      <c r="B14" s="130"/>
      <c r="C14" s="130"/>
      <c r="D14" s="15"/>
      <c r="E14" s="730" t="str">
        <f>'01.入学願書'!E147</f>
        <v>□</v>
      </c>
      <c r="F14" s="130" t="s">
        <v>194</v>
      </c>
      <c r="G14" s="130"/>
      <c r="H14" s="130"/>
      <c r="I14" s="130"/>
      <c r="J14" s="15"/>
      <c r="K14" s="730" t="str">
        <f>'01.入学願書'!K147</f>
        <v>■</v>
      </c>
      <c r="L14" s="130" t="s">
        <v>210</v>
      </c>
      <c r="M14" s="15"/>
      <c r="N14" s="130"/>
      <c r="O14" s="130"/>
      <c r="P14" s="15"/>
      <c r="Q14" s="730" t="str">
        <f>'01.入学願書'!Q147</f>
        <v>□</v>
      </c>
      <c r="R14" s="130" t="s">
        <v>195</v>
      </c>
      <c r="S14" s="130"/>
      <c r="T14" s="130"/>
      <c r="U14" s="130"/>
      <c r="V14" s="15"/>
      <c r="W14" s="730" t="str">
        <f>'01.入学願書'!W147</f>
        <v>□</v>
      </c>
      <c r="X14" s="130" t="s">
        <v>196</v>
      </c>
      <c r="Y14" s="130"/>
      <c r="Z14" s="130"/>
      <c r="AA14" s="130"/>
      <c r="AB14" s="130"/>
      <c r="AC14" s="730" t="str">
        <f>'01.入学願書'!AC147</f>
        <v>□</v>
      </c>
      <c r="AD14" s="130" t="s">
        <v>212</v>
      </c>
      <c r="AE14" s="130"/>
      <c r="AF14" s="130"/>
      <c r="AG14" s="130"/>
      <c r="AH14" s="130"/>
      <c r="AI14" s="130"/>
      <c r="AJ14" s="130"/>
      <c r="AK14" s="130"/>
      <c r="AL14" s="130"/>
      <c r="AM14" s="130"/>
      <c r="AN14" s="730" t="str">
        <f>'01.入学願書'!AN147</f>
        <v>□</v>
      </c>
      <c r="AO14" s="130" t="s">
        <v>190</v>
      </c>
      <c r="AP14" s="130"/>
      <c r="AQ14" s="130"/>
      <c r="AR14" s="1058" t="s">
        <v>211</v>
      </c>
      <c r="AS14" s="1256" t="str">
        <f>IF('01.入学願書'!AS147="","",'01.入学願書'!AS147)</f>
        <v/>
      </c>
      <c r="AT14" s="1256"/>
      <c r="AU14" s="1256"/>
      <c r="AV14" s="1256"/>
      <c r="AW14" s="1256"/>
      <c r="AX14" s="1256"/>
      <c r="AY14" s="1256"/>
      <c r="AZ14" s="1058" t="s">
        <v>219</v>
      </c>
      <c r="BA14" s="130"/>
      <c r="BB14" s="730" t="str">
        <f>'01.入学願書'!BB147</f>
        <v>□</v>
      </c>
      <c r="BC14" s="130" t="s">
        <v>220</v>
      </c>
      <c r="BD14" s="130"/>
      <c r="BE14" s="130"/>
      <c r="BF14" s="130"/>
      <c r="BG14" s="130"/>
      <c r="BH14" s="130"/>
      <c r="CA14" s="64"/>
      <c r="CB14" s="64"/>
      <c r="CC14" s="64"/>
      <c r="CD14" s="64"/>
      <c r="CE14" s="64"/>
      <c r="CF14" s="64"/>
      <c r="CG14" s="64"/>
      <c r="CH14" s="64"/>
    </row>
    <row r="15" spans="1:86" s="12" customFormat="1" ht="13.5" customHeight="1">
      <c r="B15" s="130"/>
      <c r="C15" s="15"/>
      <c r="D15" s="15"/>
      <c r="E15" s="130"/>
      <c r="F15" s="130" t="s">
        <v>217</v>
      </c>
      <c r="G15" s="130"/>
      <c r="H15" s="130"/>
      <c r="I15" s="130"/>
      <c r="J15" s="15"/>
      <c r="K15" s="130"/>
      <c r="L15" s="130" t="s">
        <v>216</v>
      </c>
      <c r="M15" s="15"/>
      <c r="N15" s="130"/>
      <c r="O15" s="130"/>
      <c r="P15" s="15"/>
      <c r="Q15" s="130"/>
      <c r="R15" s="130" t="s">
        <v>215</v>
      </c>
      <c r="S15" s="130"/>
      <c r="T15" s="130"/>
      <c r="U15" s="130"/>
      <c r="V15" s="15"/>
      <c r="W15" s="130"/>
      <c r="X15" s="130" t="s">
        <v>214</v>
      </c>
      <c r="Y15" s="130"/>
      <c r="Z15" s="130"/>
      <c r="AA15" s="130"/>
      <c r="AB15" s="130"/>
      <c r="AC15" s="130"/>
      <c r="AD15" s="130" t="s">
        <v>213</v>
      </c>
      <c r="AE15" s="130"/>
      <c r="AF15" s="130"/>
      <c r="AG15" s="130"/>
      <c r="AH15" s="130"/>
      <c r="AI15" s="130"/>
      <c r="AJ15" s="130"/>
      <c r="AK15" s="130"/>
      <c r="AL15" s="130"/>
      <c r="AM15" s="130"/>
      <c r="AN15" s="130"/>
      <c r="AO15" s="130" t="s">
        <v>218</v>
      </c>
      <c r="AP15" s="130"/>
      <c r="AQ15" s="130"/>
      <c r="AR15" s="1058"/>
      <c r="AS15" s="1256"/>
      <c r="AT15" s="1256"/>
      <c r="AU15" s="1256"/>
      <c r="AV15" s="1256"/>
      <c r="AW15" s="1256"/>
      <c r="AX15" s="1256"/>
      <c r="AY15" s="1256"/>
      <c r="AZ15" s="1058"/>
      <c r="BA15" s="130"/>
      <c r="BB15" s="130"/>
      <c r="BC15" s="130" t="s">
        <v>221</v>
      </c>
      <c r="BD15" s="130"/>
      <c r="BE15" s="130"/>
      <c r="BF15" s="130"/>
      <c r="BG15" s="130"/>
      <c r="BH15" s="130"/>
      <c r="CA15" s="64"/>
      <c r="CB15" s="64"/>
      <c r="CC15" s="64"/>
      <c r="CD15" s="64"/>
      <c r="CE15" s="64"/>
      <c r="CF15" s="64"/>
      <c r="CG15" s="64"/>
      <c r="CH15" s="64"/>
    </row>
    <row r="16" spans="1:86" s="12" customFormat="1" ht="13.5" customHeight="1">
      <c r="B16" s="130"/>
      <c r="C16" s="130"/>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30"/>
      <c r="BH16" s="130"/>
      <c r="CA16" s="64"/>
      <c r="CB16" s="64"/>
      <c r="CC16" s="64"/>
      <c r="CD16" s="64"/>
      <c r="CE16" s="64"/>
      <c r="CF16" s="64"/>
      <c r="CG16" s="64"/>
      <c r="CH16" s="64"/>
    </row>
    <row r="17" spans="1:68" s="1" customFormat="1" ht="16.5" customHeight="1">
      <c r="A17" s="718"/>
      <c r="B17" s="729" t="s">
        <v>1123</v>
      </c>
      <c r="C17" s="721"/>
      <c r="D17" s="721"/>
      <c r="E17" s="721"/>
      <c r="F17" s="721"/>
      <c r="G17" s="721"/>
      <c r="H17" s="721"/>
      <c r="I17" s="718"/>
      <c r="J17" s="718"/>
      <c r="K17" s="718"/>
      <c r="L17" s="718"/>
      <c r="M17" s="718"/>
      <c r="N17" s="718"/>
      <c r="O17" s="718"/>
      <c r="P17" s="718"/>
      <c r="Q17" s="718"/>
      <c r="R17" s="718"/>
      <c r="S17" s="718"/>
      <c r="T17" s="718"/>
      <c r="U17" s="718"/>
      <c r="V17" s="718"/>
      <c r="W17" s="718"/>
      <c r="X17" s="718"/>
      <c r="Y17" s="718"/>
      <c r="Z17" s="718"/>
      <c r="AA17" s="718"/>
      <c r="AB17" s="718"/>
      <c r="AC17" s="718"/>
      <c r="AD17" s="718"/>
      <c r="AE17" s="718"/>
      <c r="AF17" s="718"/>
      <c r="AG17" s="718"/>
      <c r="AH17" s="718"/>
      <c r="AI17" s="718"/>
      <c r="AJ17" s="718"/>
      <c r="AK17" s="718"/>
      <c r="AL17" s="718"/>
      <c r="AM17" s="718"/>
      <c r="AN17" s="718"/>
      <c r="AO17" s="718"/>
      <c r="AP17" s="718"/>
      <c r="AQ17" s="718"/>
      <c r="AR17" s="718"/>
      <c r="AS17" s="718"/>
      <c r="AT17" s="718"/>
      <c r="AU17" s="718"/>
      <c r="AV17" s="718"/>
      <c r="AW17" s="718"/>
      <c r="AX17" s="718"/>
      <c r="AY17" s="718"/>
      <c r="AZ17" s="718"/>
      <c r="BA17" s="718"/>
      <c r="BB17" s="718"/>
      <c r="BC17" s="718"/>
      <c r="BD17" s="718"/>
      <c r="BE17" s="718"/>
      <c r="BF17" s="718"/>
      <c r="BG17" s="718"/>
      <c r="BH17" s="718"/>
    </row>
    <row r="18" spans="1:68" s="1" customFormat="1" ht="16.5" customHeight="1">
      <c r="A18" s="718"/>
      <c r="B18" s="729"/>
      <c r="C18" s="721"/>
      <c r="D18" s="808" t="s">
        <v>1126</v>
      </c>
      <c r="E18" s="808"/>
      <c r="F18" s="721"/>
      <c r="G18" s="721"/>
      <c r="H18" s="721"/>
      <c r="I18" s="718"/>
      <c r="J18" s="718"/>
      <c r="K18" s="718"/>
      <c r="L18" s="718"/>
      <c r="M18" s="718"/>
      <c r="N18" s="718"/>
      <c r="O18" s="718"/>
      <c r="P18" s="718"/>
      <c r="Q18" s="718"/>
      <c r="R18" s="718"/>
      <c r="S18" s="718"/>
      <c r="T18" s="718"/>
      <c r="U18" s="718"/>
      <c r="V18" s="718"/>
      <c r="W18" s="718"/>
      <c r="X18" s="718"/>
      <c r="Y18" s="718"/>
      <c r="Z18" s="718"/>
      <c r="AA18" s="718"/>
      <c r="AB18" s="718"/>
      <c r="AC18" s="718"/>
      <c r="AD18" s="718"/>
      <c r="AE18" s="718"/>
      <c r="AF18" s="718"/>
      <c r="AG18" s="718"/>
      <c r="AH18" s="718"/>
      <c r="AI18" s="718"/>
      <c r="AJ18" s="718"/>
      <c r="AK18" s="718"/>
      <c r="AL18" s="718"/>
      <c r="AM18" s="718"/>
      <c r="AN18" s="718"/>
      <c r="AO18" s="718"/>
      <c r="AP18" s="718"/>
      <c r="AQ18" s="718"/>
      <c r="AR18" s="718"/>
      <c r="AS18" s="718"/>
      <c r="AT18" s="718"/>
      <c r="AU18" s="718"/>
      <c r="AV18" s="718"/>
      <c r="AW18" s="718"/>
      <c r="AX18" s="718"/>
      <c r="AY18" s="718"/>
      <c r="AZ18" s="718"/>
      <c r="BA18" s="718"/>
      <c r="BB18" s="718"/>
      <c r="BC18" s="718"/>
      <c r="BD18" s="718"/>
      <c r="BE18" s="718"/>
      <c r="BF18" s="718"/>
      <c r="BG18" s="718"/>
      <c r="BH18" s="718"/>
    </row>
    <row r="19" spans="1:68" s="1" customFormat="1" ht="16.5" customHeight="1" thickBot="1">
      <c r="A19" s="718"/>
      <c r="B19" s="729"/>
      <c r="C19" s="721"/>
      <c r="D19" s="808" t="s">
        <v>1125</v>
      </c>
      <c r="E19" s="808"/>
      <c r="F19" s="721"/>
      <c r="G19" s="721"/>
      <c r="H19" s="721"/>
      <c r="I19" s="718"/>
      <c r="J19" s="718"/>
      <c r="K19" s="718"/>
      <c r="L19" s="718"/>
      <c r="M19" s="718"/>
      <c r="N19" s="718"/>
      <c r="O19" s="718"/>
      <c r="P19" s="718"/>
      <c r="Q19" s="718"/>
      <c r="R19" s="718"/>
      <c r="S19" s="718"/>
      <c r="T19" s="718"/>
      <c r="U19" s="718"/>
      <c r="V19" s="718"/>
      <c r="W19" s="718"/>
      <c r="X19" s="718"/>
      <c r="Y19" s="718"/>
      <c r="Z19" s="718"/>
      <c r="AA19" s="718"/>
      <c r="AB19" s="718"/>
      <c r="AC19" s="718"/>
      <c r="AD19" s="718"/>
      <c r="AE19" s="718"/>
      <c r="AF19" s="718"/>
      <c r="AG19" s="718"/>
      <c r="AH19" s="718"/>
      <c r="AI19" s="718"/>
      <c r="AJ19" s="718"/>
      <c r="AK19" s="718"/>
      <c r="AL19" s="718"/>
      <c r="AM19" s="718"/>
      <c r="AN19" s="718"/>
      <c r="AO19" s="718"/>
      <c r="AP19" s="718"/>
      <c r="AQ19" s="718"/>
      <c r="AR19" s="718"/>
      <c r="AS19" s="718"/>
      <c r="AT19" s="718"/>
      <c r="AU19" s="718"/>
      <c r="AV19" s="718"/>
      <c r="AW19" s="718"/>
      <c r="AX19" s="718"/>
      <c r="AY19" s="718"/>
      <c r="AZ19" s="718"/>
      <c r="BA19" s="718"/>
      <c r="BB19" s="718"/>
      <c r="BC19" s="718"/>
      <c r="BD19" s="718"/>
      <c r="BE19" s="718"/>
      <c r="BF19" s="718"/>
      <c r="BG19" s="718"/>
      <c r="BH19" s="718"/>
      <c r="BJ19" s="1" t="s">
        <v>1117</v>
      </c>
    </row>
    <row r="20" spans="1:68" s="1" customFormat="1" ht="18" customHeight="1">
      <c r="A20" s="718"/>
      <c r="B20" s="718"/>
      <c r="C20" s="718"/>
      <c r="D20" s="1237" t="s">
        <v>1337</v>
      </c>
      <c r="E20" s="1238"/>
      <c r="F20" s="1238"/>
      <c r="G20" s="1238"/>
      <c r="H20" s="1238"/>
      <c r="I20" s="1238"/>
      <c r="J20" s="1238"/>
      <c r="K20" s="1238"/>
      <c r="L20" s="1238"/>
      <c r="M20" s="1238"/>
      <c r="N20" s="1238"/>
      <c r="O20" s="1238"/>
      <c r="P20" s="1238"/>
      <c r="Q20" s="1238"/>
      <c r="R20" s="1238"/>
      <c r="S20" s="1238"/>
      <c r="T20" s="1238"/>
      <c r="U20" s="1238"/>
      <c r="V20" s="1238"/>
      <c r="W20" s="1238"/>
      <c r="X20" s="1238"/>
      <c r="Y20" s="1238"/>
      <c r="Z20" s="1238"/>
      <c r="AA20" s="1238"/>
      <c r="AB20" s="1238"/>
      <c r="AC20" s="1238"/>
      <c r="AD20" s="1238"/>
      <c r="AE20" s="1238"/>
      <c r="AF20" s="1238"/>
      <c r="AG20" s="1238"/>
      <c r="AH20" s="1238"/>
      <c r="AI20" s="1238"/>
      <c r="AJ20" s="1238"/>
      <c r="AK20" s="1238"/>
      <c r="AL20" s="1238"/>
      <c r="AM20" s="1238"/>
      <c r="AN20" s="1238"/>
      <c r="AO20" s="1238"/>
      <c r="AP20" s="1238"/>
      <c r="AQ20" s="1238"/>
      <c r="AR20" s="1238"/>
      <c r="AS20" s="1238"/>
      <c r="AT20" s="1238"/>
      <c r="AU20" s="1238"/>
      <c r="AV20" s="1238"/>
      <c r="AW20" s="1238"/>
      <c r="AX20" s="1238"/>
      <c r="AY20" s="1238"/>
      <c r="AZ20" s="1238"/>
      <c r="BA20" s="1238"/>
      <c r="BB20" s="1238"/>
      <c r="BC20" s="1238"/>
      <c r="BD20" s="1238"/>
      <c r="BE20" s="1238"/>
      <c r="BF20" s="1239"/>
      <c r="BG20" s="718"/>
      <c r="BH20" s="718"/>
      <c r="BJ20" s="1270" t="str">
        <f>'01.入学願書'!D152</f>
        <v>Vào tháng 7/ 2014 tôi tốt nghiệp đại học hàng hải khoa kinh tế, sau đó tôi đã xin đi làm tai công ty trách nhiệm hữu hạn máy văn phòng KYOCERA VIỆT NAM với chức vụ nhân viên sản xuất. Thời gian làm ở đây tôi thấy những kiến thức mà mình đã học còn rất hạn chế, hơn nữa ở VIỆT NAM trình độ đào tạo không thể nào bằng các nước khác được. Tôi rất muốn được đi ra nước ngoài học tiếp để nâng cao kiến thức của mình, vào tháng 1/2017 tôi quyết định  xin nghỉ làm để về xin đi du học nước ngoài. Tôi tìm hiểu qua sách báo , internet , bạn bè người thân và thông qua rất nhiều buổi hội thảo giới thiệu về du học NHẬT BẢN. Xung quanh tôi, có người đã từng đi du học Nhật Bản. Theo như kinh nghiệm của người đó, du học là khoảng thời gian làm cho mình trở nên trưởng thành hơn, vì vậy tôi nghĩ mình cũng muốn thử sức như người đó vậy. Nếu được sang nhật học tôi sẽ cố gắng học tập chăm chỉ và học lên chuyên ngành kinh tế tại đại học Fukuoka để nâng cao thêm kiến thức trong lĩnh vực này đã học ở Việt Nam.</v>
      </c>
      <c r="BK20" s="1271"/>
      <c r="BL20" s="1271"/>
      <c r="BM20" s="1271"/>
      <c r="BN20" s="1271"/>
      <c r="BO20" s="1271"/>
      <c r="BP20" s="1272"/>
    </row>
    <row r="21" spans="1:68" ht="20.25" customHeight="1">
      <c r="A21" s="718"/>
      <c r="B21" s="718"/>
      <c r="C21" s="718"/>
      <c r="D21" s="1240"/>
      <c r="E21" s="1241"/>
      <c r="F21" s="1241"/>
      <c r="G21" s="1241"/>
      <c r="H21" s="1241"/>
      <c r="I21" s="1241"/>
      <c r="J21" s="1241"/>
      <c r="K21" s="1241"/>
      <c r="L21" s="1241"/>
      <c r="M21" s="1241"/>
      <c r="N21" s="1241"/>
      <c r="O21" s="1241"/>
      <c r="P21" s="1241"/>
      <c r="Q21" s="1241"/>
      <c r="R21" s="1241"/>
      <c r="S21" s="1241"/>
      <c r="T21" s="1241"/>
      <c r="U21" s="1241"/>
      <c r="V21" s="1241"/>
      <c r="W21" s="1241"/>
      <c r="X21" s="1241"/>
      <c r="Y21" s="1241"/>
      <c r="Z21" s="1241"/>
      <c r="AA21" s="1241"/>
      <c r="AB21" s="1241"/>
      <c r="AC21" s="1241"/>
      <c r="AD21" s="1241"/>
      <c r="AE21" s="1241"/>
      <c r="AF21" s="1241"/>
      <c r="AG21" s="1241"/>
      <c r="AH21" s="1241"/>
      <c r="AI21" s="1241"/>
      <c r="AJ21" s="1241"/>
      <c r="AK21" s="1241"/>
      <c r="AL21" s="1241"/>
      <c r="AM21" s="1241"/>
      <c r="AN21" s="1241"/>
      <c r="AO21" s="1241"/>
      <c r="AP21" s="1241"/>
      <c r="AQ21" s="1241"/>
      <c r="AR21" s="1241"/>
      <c r="AS21" s="1241"/>
      <c r="AT21" s="1241"/>
      <c r="AU21" s="1241"/>
      <c r="AV21" s="1241"/>
      <c r="AW21" s="1241"/>
      <c r="AX21" s="1241"/>
      <c r="AY21" s="1241"/>
      <c r="AZ21" s="1241"/>
      <c r="BA21" s="1241"/>
      <c r="BB21" s="1241"/>
      <c r="BC21" s="1241"/>
      <c r="BD21" s="1241"/>
      <c r="BE21" s="1241"/>
      <c r="BF21" s="1242"/>
      <c r="BG21" s="718"/>
      <c r="BH21" s="718"/>
      <c r="BJ21" s="1273"/>
      <c r="BK21" s="1274"/>
      <c r="BL21" s="1274"/>
      <c r="BM21" s="1274"/>
      <c r="BN21" s="1274"/>
      <c r="BO21" s="1274"/>
      <c r="BP21" s="1275"/>
    </row>
    <row r="22" spans="1:68" ht="20.25" customHeight="1">
      <c r="A22" s="718"/>
      <c r="B22" s="718"/>
      <c r="C22" s="718"/>
      <c r="D22" s="1240"/>
      <c r="E22" s="1241"/>
      <c r="F22" s="1241"/>
      <c r="G22" s="1241"/>
      <c r="H22" s="1241"/>
      <c r="I22" s="1241"/>
      <c r="J22" s="1241"/>
      <c r="K22" s="1241"/>
      <c r="L22" s="1241"/>
      <c r="M22" s="1241"/>
      <c r="N22" s="1241"/>
      <c r="O22" s="1241"/>
      <c r="P22" s="1241"/>
      <c r="Q22" s="1241"/>
      <c r="R22" s="1241"/>
      <c r="S22" s="1241"/>
      <c r="T22" s="1241"/>
      <c r="U22" s="1241"/>
      <c r="V22" s="1241"/>
      <c r="W22" s="1241"/>
      <c r="X22" s="1241"/>
      <c r="Y22" s="1241"/>
      <c r="Z22" s="1241"/>
      <c r="AA22" s="1241"/>
      <c r="AB22" s="1241"/>
      <c r="AC22" s="1241"/>
      <c r="AD22" s="1241"/>
      <c r="AE22" s="1241"/>
      <c r="AF22" s="1241"/>
      <c r="AG22" s="1241"/>
      <c r="AH22" s="1241"/>
      <c r="AI22" s="1241"/>
      <c r="AJ22" s="1241"/>
      <c r="AK22" s="1241"/>
      <c r="AL22" s="1241"/>
      <c r="AM22" s="1241"/>
      <c r="AN22" s="1241"/>
      <c r="AO22" s="1241"/>
      <c r="AP22" s="1241"/>
      <c r="AQ22" s="1241"/>
      <c r="AR22" s="1241"/>
      <c r="AS22" s="1241"/>
      <c r="AT22" s="1241"/>
      <c r="AU22" s="1241"/>
      <c r="AV22" s="1241"/>
      <c r="AW22" s="1241"/>
      <c r="AX22" s="1241"/>
      <c r="AY22" s="1241"/>
      <c r="AZ22" s="1241"/>
      <c r="BA22" s="1241"/>
      <c r="BB22" s="1241"/>
      <c r="BC22" s="1241"/>
      <c r="BD22" s="1241"/>
      <c r="BE22" s="1241"/>
      <c r="BF22" s="1242"/>
      <c r="BG22" s="718"/>
      <c r="BH22" s="718"/>
      <c r="BJ22" s="1273"/>
      <c r="BK22" s="1274"/>
      <c r="BL22" s="1274"/>
      <c r="BM22" s="1274"/>
      <c r="BN22" s="1274"/>
      <c r="BO22" s="1274"/>
      <c r="BP22" s="1275"/>
    </row>
    <row r="23" spans="1:68" s="4" customFormat="1" ht="15" customHeight="1">
      <c r="A23" s="718"/>
      <c r="B23" s="718"/>
      <c r="C23" s="718"/>
      <c r="D23" s="1240"/>
      <c r="E23" s="1241"/>
      <c r="F23" s="1241"/>
      <c r="G23" s="1241"/>
      <c r="H23" s="1241"/>
      <c r="I23" s="1241"/>
      <c r="J23" s="1241"/>
      <c r="K23" s="1241"/>
      <c r="L23" s="1241"/>
      <c r="M23" s="1241"/>
      <c r="N23" s="1241"/>
      <c r="O23" s="1241"/>
      <c r="P23" s="1241"/>
      <c r="Q23" s="1241"/>
      <c r="R23" s="1241"/>
      <c r="S23" s="1241"/>
      <c r="T23" s="1241"/>
      <c r="U23" s="1241"/>
      <c r="V23" s="1241"/>
      <c r="W23" s="1241"/>
      <c r="X23" s="1241"/>
      <c r="Y23" s="1241"/>
      <c r="Z23" s="1241"/>
      <c r="AA23" s="1241"/>
      <c r="AB23" s="1241"/>
      <c r="AC23" s="1241"/>
      <c r="AD23" s="1241"/>
      <c r="AE23" s="1241"/>
      <c r="AF23" s="1241"/>
      <c r="AG23" s="1241"/>
      <c r="AH23" s="1241"/>
      <c r="AI23" s="1241"/>
      <c r="AJ23" s="1241"/>
      <c r="AK23" s="1241"/>
      <c r="AL23" s="1241"/>
      <c r="AM23" s="1241"/>
      <c r="AN23" s="1241"/>
      <c r="AO23" s="1241"/>
      <c r="AP23" s="1241"/>
      <c r="AQ23" s="1241"/>
      <c r="AR23" s="1241"/>
      <c r="AS23" s="1241"/>
      <c r="AT23" s="1241"/>
      <c r="AU23" s="1241"/>
      <c r="AV23" s="1241"/>
      <c r="AW23" s="1241"/>
      <c r="AX23" s="1241"/>
      <c r="AY23" s="1241"/>
      <c r="AZ23" s="1241"/>
      <c r="BA23" s="1241"/>
      <c r="BB23" s="1241"/>
      <c r="BC23" s="1241"/>
      <c r="BD23" s="1241"/>
      <c r="BE23" s="1241"/>
      <c r="BF23" s="1242"/>
      <c r="BG23" s="718"/>
      <c r="BH23" s="718"/>
      <c r="BJ23" s="1273"/>
      <c r="BK23" s="1274"/>
      <c r="BL23" s="1274"/>
      <c r="BM23" s="1274"/>
      <c r="BN23" s="1274"/>
      <c r="BO23" s="1274"/>
      <c r="BP23" s="1275"/>
    </row>
    <row r="24" spans="1:68" s="4" customFormat="1" ht="15" customHeight="1">
      <c r="A24" s="718"/>
      <c r="B24" s="718"/>
      <c r="C24" s="718"/>
      <c r="D24" s="1240"/>
      <c r="E24" s="1241"/>
      <c r="F24" s="1241"/>
      <c r="G24" s="1241"/>
      <c r="H24" s="1241"/>
      <c r="I24" s="1241"/>
      <c r="J24" s="1241"/>
      <c r="K24" s="1241"/>
      <c r="L24" s="1241"/>
      <c r="M24" s="1241"/>
      <c r="N24" s="1241"/>
      <c r="O24" s="1241"/>
      <c r="P24" s="1241"/>
      <c r="Q24" s="1241"/>
      <c r="R24" s="1241"/>
      <c r="S24" s="1241"/>
      <c r="T24" s="1241"/>
      <c r="U24" s="1241"/>
      <c r="V24" s="1241"/>
      <c r="W24" s="1241"/>
      <c r="X24" s="1241"/>
      <c r="Y24" s="1241"/>
      <c r="Z24" s="1241"/>
      <c r="AA24" s="1241"/>
      <c r="AB24" s="1241"/>
      <c r="AC24" s="1241"/>
      <c r="AD24" s="1241"/>
      <c r="AE24" s="1241"/>
      <c r="AF24" s="1241"/>
      <c r="AG24" s="1241"/>
      <c r="AH24" s="1241"/>
      <c r="AI24" s="1241"/>
      <c r="AJ24" s="1241"/>
      <c r="AK24" s="1241"/>
      <c r="AL24" s="1241"/>
      <c r="AM24" s="1241"/>
      <c r="AN24" s="1241"/>
      <c r="AO24" s="1241"/>
      <c r="AP24" s="1241"/>
      <c r="AQ24" s="1241"/>
      <c r="AR24" s="1241"/>
      <c r="AS24" s="1241"/>
      <c r="AT24" s="1241"/>
      <c r="AU24" s="1241"/>
      <c r="AV24" s="1241"/>
      <c r="AW24" s="1241"/>
      <c r="AX24" s="1241"/>
      <c r="AY24" s="1241"/>
      <c r="AZ24" s="1241"/>
      <c r="BA24" s="1241"/>
      <c r="BB24" s="1241"/>
      <c r="BC24" s="1241"/>
      <c r="BD24" s="1241"/>
      <c r="BE24" s="1241"/>
      <c r="BF24" s="1242"/>
      <c r="BG24" s="718"/>
      <c r="BH24" s="718"/>
      <c r="BJ24" s="1273"/>
      <c r="BK24" s="1274"/>
      <c r="BL24" s="1274"/>
      <c r="BM24" s="1274"/>
      <c r="BN24" s="1274"/>
      <c r="BO24" s="1274"/>
      <c r="BP24" s="1275"/>
    </row>
    <row r="25" spans="1:68" s="4" customFormat="1" ht="15" customHeight="1">
      <c r="A25" s="718"/>
      <c r="B25" s="718"/>
      <c r="C25" s="718"/>
      <c r="D25" s="1240"/>
      <c r="E25" s="1241"/>
      <c r="F25" s="1241"/>
      <c r="G25" s="1241"/>
      <c r="H25" s="1241"/>
      <c r="I25" s="1241"/>
      <c r="J25" s="1241"/>
      <c r="K25" s="1241"/>
      <c r="L25" s="1241"/>
      <c r="M25" s="1241"/>
      <c r="N25" s="1241"/>
      <c r="O25" s="1241"/>
      <c r="P25" s="1241"/>
      <c r="Q25" s="1241"/>
      <c r="R25" s="1241"/>
      <c r="S25" s="1241"/>
      <c r="T25" s="1241"/>
      <c r="U25" s="1241"/>
      <c r="V25" s="1241"/>
      <c r="W25" s="1241"/>
      <c r="X25" s="1241"/>
      <c r="Y25" s="1241"/>
      <c r="Z25" s="1241"/>
      <c r="AA25" s="1241"/>
      <c r="AB25" s="1241"/>
      <c r="AC25" s="1241"/>
      <c r="AD25" s="1241"/>
      <c r="AE25" s="1241"/>
      <c r="AF25" s="1241"/>
      <c r="AG25" s="1241"/>
      <c r="AH25" s="1241"/>
      <c r="AI25" s="1241"/>
      <c r="AJ25" s="1241"/>
      <c r="AK25" s="1241"/>
      <c r="AL25" s="1241"/>
      <c r="AM25" s="1241"/>
      <c r="AN25" s="1241"/>
      <c r="AO25" s="1241"/>
      <c r="AP25" s="1241"/>
      <c r="AQ25" s="1241"/>
      <c r="AR25" s="1241"/>
      <c r="AS25" s="1241"/>
      <c r="AT25" s="1241"/>
      <c r="AU25" s="1241"/>
      <c r="AV25" s="1241"/>
      <c r="AW25" s="1241"/>
      <c r="AX25" s="1241"/>
      <c r="AY25" s="1241"/>
      <c r="AZ25" s="1241"/>
      <c r="BA25" s="1241"/>
      <c r="BB25" s="1241"/>
      <c r="BC25" s="1241"/>
      <c r="BD25" s="1241"/>
      <c r="BE25" s="1241"/>
      <c r="BF25" s="1242"/>
      <c r="BG25" s="718"/>
      <c r="BH25" s="718"/>
      <c r="BJ25" s="1273"/>
      <c r="BK25" s="1274"/>
      <c r="BL25" s="1274"/>
      <c r="BM25" s="1274"/>
      <c r="BN25" s="1274"/>
      <c r="BO25" s="1274"/>
      <c r="BP25" s="1275"/>
    </row>
    <row r="26" spans="1:68" s="4" customFormat="1" ht="15" customHeight="1">
      <c r="A26" s="718"/>
      <c r="B26" s="718"/>
      <c r="C26" s="718"/>
      <c r="D26" s="1240"/>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241"/>
      <c r="AN26" s="1241"/>
      <c r="AO26" s="1241"/>
      <c r="AP26" s="1241"/>
      <c r="AQ26" s="1241"/>
      <c r="AR26" s="1241"/>
      <c r="AS26" s="1241"/>
      <c r="AT26" s="1241"/>
      <c r="AU26" s="1241"/>
      <c r="AV26" s="1241"/>
      <c r="AW26" s="1241"/>
      <c r="AX26" s="1241"/>
      <c r="AY26" s="1241"/>
      <c r="AZ26" s="1241"/>
      <c r="BA26" s="1241"/>
      <c r="BB26" s="1241"/>
      <c r="BC26" s="1241"/>
      <c r="BD26" s="1241"/>
      <c r="BE26" s="1241"/>
      <c r="BF26" s="1242"/>
      <c r="BG26" s="718"/>
      <c r="BH26" s="718"/>
      <c r="BJ26" s="1273"/>
      <c r="BK26" s="1274"/>
      <c r="BL26" s="1274"/>
      <c r="BM26" s="1274"/>
      <c r="BN26" s="1274"/>
      <c r="BO26" s="1274"/>
      <c r="BP26" s="1275"/>
    </row>
    <row r="27" spans="1:68" s="4" customFormat="1" ht="15" customHeight="1">
      <c r="A27" s="718"/>
      <c r="B27" s="718"/>
      <c r="C27" s="718"/>
      <c r="D27" s="1240"/>
      <c r="E27" s="1241"/>
      <c r="F27" s="1241"/>
      <c r="G27" s="1241"/>
      <c r="H27" s="1241"/>
      <c r="I27" s="1241"/>
      <c r="J27" s="1241"/>
      <c r="K27" s="1241"/>
      <c r="L27" s="1241"/>
      <c r="M27" s="1241"/>
      <c r="N27" s="1241"/>
      <c r="O27" s="1241"/>
      <c r="P27" s="1241"/>
      <c r="Q27" s="1241"/>
      <c r="R27" s="1241"/>
      <c r="S27" s="1241"/>
      <c r="T27" s="1241"/>
      <c r="U27" s="1241"/>
      <c r="V27" s="1241"/>
      <c r="W27" s="1241"/>
      <c r="X27" s="1241"/>
      <c r="Y27" s="1241"/>
      <c r="Z27" s="1241"/>
      <c r="AA27" s="1241"/>
      <c r="AB27" s="1241"/>
      <c r="AC27" s="1241"/>
      <c r="AD27" s="1241"/>
      <c r="AE27" s="1241"/>
      <c r="AF27" s="1241"/>
      <c r="AG27" s="1241"/>
      <c r="AH27" s="1241"/>
      <c r="AI27" s="1241"/>
      <c r="AJ27" s="1241"/>
      <c r="AK27" s="1241"/>
      <c r="AL27" s="1241"/>
      <c r="AM27" s="1241"/>
      <c r="AN27" s="1241"/>
      <c r="AO27" s="1241"/>
      <c r="AP27" s="1241"/>
      <c r="AQ27" s="1241"/>
      <c r="AR27" s="1241"/>
      <c r="AS27" s="1241"/>
      <c r="AT27" s="1241"/>
      <c r="AU27" s="1241"/>
      <c r="AV27" s="1241"/>
      <c r="AW27" s="1241"/>
      <c r="AX27" s="1241"/>
      <c r="AY27" s="1241"/>
      <c r="AZ27" s="1241"/>
      <c r="BA27" s="1241"/>
      <c r="BB27" s="1241"/>
      <c r="BC27" s="1241"/>
      <c r="BD27" s="1241"/>
      <c r="BE27" s="1241"/>
      <c r="BF27" s="1242"/>
      <c r="BG27" s="718"/>
      <c r="BH27" s="718"/>
      <c r="BJ27" s="1273"/>
      <c r="BK27" s="1274"/>
      <c r="BL27" s="1274"/>
      <c r="BM27" s="1274"/>
      <c r="BN27" s="1274"/>
      <c r="BO27" s="1274"/>
      <c r="BP27" s="1275"/>
    </row>
    <row r="28" spans="1:68" s="12" customFormat="1" ht="15" customHeight="1">
      <c r="A28" s="718"/>
      <c r="B28" s="718"/>
      <c r="C28" s="718"/>
      <c r="D28" s="1240"/>
      <c r="E28" s="1241"/>
      <c r="F28" s="1241"/>
      <c r="G28" s="1241"/>
      <c r="H28" s="1241"/>
      <c r="I28" s="1241"/>
      <c r="J28" s="1241"/>
      <c r="K28" s="1241"/>
      <c r="L28" s="1241"/>
      <c r="M28" s="1241"/>
      <c r="N28" s="1241"/>
      <c r="O28" s="1241"/>
      <c r="P28" s="1241"/>
      <c r="Q28" s="1241"/>
      <c r="R28" s="1241"/>
      <c r="S28" s="1241"/>
      <c r="T28" s="1241"/>
      <c r="U28" s="1241"/>
      <c r="V28" s="1241"/>
      <c r="W28" s="1241"/>
      <c r="X28" s="1241"/>
      <c r="Y28" s="1241"/>
      <c r="Z28" s="1241"/>
      <c r="AA28" s="1241"/>
      <c r="AB28" s="1241"/>
      <c r="AC28" s="1241"/>
      <c r="AD28" s="1241"/>
      <c r="AE28" s="1241"/>
      <c r="AF28" s="1241"/>
      <c r="AG28" s="1241"/>
      <c r="AH28" s="1241"/>
      <c r="AI28" s="1241"/>
      <c r="AJ28" s="1241"/>
      <c r="AK28" s="1241"/>
      <c r="AL28" s="1241"/>
      <c r="AM28" s="1241"/>
      <c r="AN28" s="1241"/>
      <c r="AO28" s="1241"/>
      <c r="AP28" s="1241"/>
      <c r="AQ28" s="1241"/>
      <c r="AR28" s="1241"/>
      <c r="AS28" s="1241"/>
      <c r="AT28" s="1241"/>
      <c r="AU28" s="1241"/>
      <c r="AV28" s="1241"/>
      <c r="AW28" s="1241"/>
      <c r="AX28" s="1241"/>
      <c r="AY28" s="1241"/>
      <c r="AZ28" s="1241"/>
      <c r="BA28" s="1241"/>
      <c r="BB28" s="1241"/>
      <c r="BC28" s="1241"/>
      <c r="BD28" s="1241"/>
      <c r="BE28" s="1241"/>
      <c r="BF28" s="1242"/>
      <c r="BG28" s="718"/>
      <c r="BH28" s="718"/>
      <c r="BJ28" s="1273"/>
      <c r="BK28" s="1274"/>
      <c r="BL28" s="1274"/>
      <c r="BM28" s="1274"/>
      <c r="BN28" s="1274"/>
      <c r="BO28" s="1274"/>
      <c r="BP28" s="1275"/>
    </row>
    <row r="29" spans="1:68" s="15" customFormat="1" ht="15" customHeight="1">
      <c r="A29" s="718"/>
      <c r="B29" s="718"/>
      <c r="C29" s="718"/>
      <c r="D29" s="1240"/>
      <c r="E29" s="1241"/>
      <c r="F29" s="1241"/>
      <c r="G29" s="1241"/>
      <c r="H29" s="1241"/>
      <c r="I29" s="1241"/>
      <c r="J29" s="1241"/>
      <c r="K29" s="1241"/>
      <c r="L29" s="1241"/>
      <c r="M29" s="1241"/>
      <c r="N29" s="1241"/>
      <c r="O29" s="1241"/>
      <c r="P29" s="1241"/>
      <c r="Q29" s="1241"/>
      <c r="R29" s="1241"/>
      <c r="S29" s="1241"/>
      <c r="T29" s="1241"/>
      <c r="U29" s="1241"/>
      <c r="V29" s="1241"/>
      <c r="W29" s="1241"/>
      <c r="X29" s="1241"/>
      <c r="Y29" s="1241"/>
      <c r="Z29" s="1241"/>
      <c r="AA29" s="1241"/>
      <c r="AB29" s="1241"/>
      <c r="AC29" s="1241"/>
      <c r="AD29" s="1241"/>
      <c r="AE29" s="1241"/>
      <c r="AF29" s="1241"/>
      <c r="AG29" s="1241"/>
      <c r="AH29" s="1241"/>
      <c r="AI29" s="1241"/>
      <c r="AJ29" s="1241"/>
      <c r="AK29" s="1241"/>
      <c r="AL29" s="1241"/>
      <c r="AM29" s="1241"/>
      <c r="AN29" s="1241"/>
      <c r="AO29" s="1241"/>
      <c r="AP29" s="1241"/>
      <c r="AQ29" s="1241"/>
      <c r="AR29" s="1241"/>
      <c r="AS29" s="1241"/>
      <c r="AT29" s="1241"/>
      <c r="AU29" s="1241"/>
      <c r="AV29" s="1241"/>
      <c r="AW29" s="1241"/>
      <c r="AX29" s="1241"/>
      <c r="AY29" s="1241"/>
      <c r="AZ29" s="1241"/>
      <c r="BA29" s="1241"/>
      <c r="BB29" s="1241"/>
      <c r="BC29" s="1241"/>
      <c r="BD29" s="1241"/>
      <c r="BE29" s="1241"/>
      <c r="BF29" s="1242"/>
      <c r="BG29" s="718"/>
      <c r="BH29" s="718"/>
      <c r="BJ29" s="1273"/>
      <c r="BK29" s="1274"/>
      <c r="BL29" s="1274"/>
      <c r="BM29" s="1274"/>
      <c r="BN29" s="1274"/>
      <c r="BO29" s="1274"/>
      <c r="BP29" s="1275"/>
    </row>
    <row r="30" spans="1:68" s="12" customFormat="1" ht="15" customHeight="1">
      <c r="A30" s="718"/>
      <c r="B30" s="718"/>
      <c r="C30" s="718"/>
      <c r="D30" s="1240"/>
      <c r="E30" s="1241"/>
      <c r="F30" s="1241"/>
      <c r="G30" s="1241"/>
      <c r="H30" s="1241"/>
      <c r="I30" s="1241"/>
      <c r="J30" s="1241"/>
      <c r="K30" s="1241"/>
      <c r="L30" s="1241"/>
      <c r="M30" s="1241"/>
      <c r="N30" s="1241"/>
      <c r="O30" s="1241"/>
      <c r="P30" s="1241"/>
      <c r="Q30" s="1241"/>
      <c r="R30" s="1241"/>
      <c r="S30" s="1241"/>
      <c r="T30" s="1241"/>
      <c r="U30" s="1241"/>
      <c r="V30" s="1241"/>
      <c r="W30" s="1241"/>
      <c r="X30" s="1241"/>
      <c r="Y30" s="1241"/>
      <c r="Z30" s="1241"/>
      <c r="AA30" s="1241"/>
      <c r="AB30" s="1241"/>
      <c r="AC30" s="1241"/>
      <c r="AD30" s="1241"/>
      <c r="AE30" s="1241"/>
      <c r="AF30" s="1241"/>
      <c r="AG30" s="1241"/>
      <c r="AH30" s="1241"/>
      <c r="AI30" s="1241"/>
      <c r="AJ30" s="1241"/>
      <c r="AK30" s="1241"/>
      <c r="AL30" s="1241"/>
      <c r="AM30" s="1241"/>
      <c r="AN30" s="1241"/>
      <c r="AO30" s="1241"/>
      <c r="AP30" s="1241"/>
      <c r="AQ30" s="1241"/>
      <c r="AR30" s="1241"/>
      <c r="AS30" s="1241"/>
      <c r="AT30" s="1241"/>
      <c r="AU30" s="1241"/>
      <c r="AV30" s="1241"/>
      <c r="AW30" s="1241"/>
      <c r="AX30" s="1241"/>
      <c r="AY30" s="1241"/>
      <c r="AZ30" s="1241"/>
      <c r="BA30" s="1241"/>
      <c r="BB30" s="1241"/>
      <c r="BC30" s="1241"/>
      <c r="BD30" s="1241"/>
      <c r="BE30" s="1241"/>
      <c r="BF30" s="1242"/>
      <c r="BG30" s="718"/>
      <c r="BH30" s="718"/>
      <c r="BJ30" s="1273"/>
      <c r="BK30" s="1274"/>
      <c r="BL30" s="1274"/>
      <c r="BM30" s="1274"/>
      <c r="BN30" s="1274"/>
      <c r="BO30" s="1274"/>
      <c r="BP30" s="1275"/>
    </row>
    <row r="31" spans="1:68" s="12" customFormat="1" ht="15" customHeight="1">
      <c r="A31" s="718"/>
      <c r="B31" s="718"/>
      <c r="C31" s="718"/>
      <c r="D31" s="1240"/>
      <c r="E31" s="1241"/>
      <c r="F31" s="1241"/>
      <c r="G31" s="1241"/>
      <c r="H31" s="1241"/>
      <c r="I31" s="1241"/>
      <c r="J31" s="1241"/>
      <c r="K31" s="1241"/>
      <c r="L31" s="1241"/>
      <c r="M31" s="1241"/>
      <c r="N31" s="1241"/>
      <c r="O31" s="1241"/>
      <c r="P31" s="1241"/>
      <c r="Q31" s="1241"/>
      <c r="R31" s="1241"/>
      <c r="S31" s="1241"/>
      <c r="T31" s="1241"/>
      <c r="U31" s="1241"/>
      <c r="V31" s="1241"/>
      <c r="W31" s="1241"/>
      <c r="X31" s="1241"/>
      <c r="Y31" s="1241"/>
      <c r="Z31" s="1241"/>
      <c r="AA31" s="1241"/>
      <c r="AB31" s="1241"/>
      <c r="AC31" s="1241"/>
      <c r="AD31" s="1241"/>
      <c r="AE31" s="1241"/>
      <c r="AF31" s="1241"/>
      <c r="AG31" s="1241"/>
      <c r="AH31" s="1241"/>
      <c r="AI31" s="1241"/>
      <c r="AJ31" s="1241"/>
      <c r="AK31" s="1241"/>
      <c r="AL31" s="1241"/>
      <c r="AM31" s="1241"/>
      <c r="AN31" s="1241"/>
      <c r="AO31" s="1241"/>
      <c r="AP31" s="1241"/>
      <c r="AQ31" s="1241"/>
      <c r="AR31" s="1241"/>
      <c r="AS31" s="1241"/>
      <c r="AT31" s="1241"/>
      <c r="AU31" s="1241"/>
      <c r="AV31" s="1241"/>
      <c r="AW31" s="1241"/>
      <c r="AX31" s="1241"/>
      <c r="AY31" s="1241"/>
      <c r="AZ31" s="1241"/>
      <c r="BA31" s="1241"/>
      <c r="BB31" s="1241"/>
      <c r="BC31" s="1241"/>
      <c r="BD31" s="1241"/>
      <c r="BE31" s="1241"/>
      <c r="BF31" s="1242"/>
      <c r="BG31" s="718"/>
      <c r="BH31" s="718"/>
      <c r="BJ31" s="1273"/>
      <c r="BK31" s="1274"/>
      <c r="BL31" s="1274"/>
      <c r="BM31" s="1274"/>
      <c r="BN31" s="1274"/>
      <c r="BO31" s="1274"/>
      <c r="BP31" s="1275"/>
    </row>
    <row r="32" spans="1:68" s="12" customFormat="1" ht="15" customHeight="1" thickBot="1">
      <c r="A32" s="718"/>
      <c r="B32" s="718"/>
      <c r="C32" s="718"/>
      <c r="D32" s="1243"/>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244"/>
      <c r="AN32" s="1244"/>
      <c r="AO32" s="1244"/>
      <c r="AP32" s="1244"/>
      <c r="AQ32" s="1244"/>
      <c r="AR32" s="1244"/>
      <c r="AS32" s="1244"/>
      <c r="AT32" s="1244"/>
      <c r="AU32" s="1244"/>
      <c r="AV32" s="1244"/>
      <c r="AW32" s="1244"/>
      <c r="AX32" s="1244"/>
      <c r="AY32" s="1244"/>
      <c r="AZ32" s="1244"/>
      <c r="BA32" s="1244"/>
      <c r="BB32" s="1244"/>
      <c r="BC32" s="1244"/>
      <c r="BD32" s="1244"/>
      <c r="BE32" s="1244"/>
      <c r="BF32" s="1245"/>
      <c r="BG32" s="718"/>
      <c r="BH32" s="718"/>
      <c r="BJ32" s="1276"/>
      <c r="BK32" s="1277"/>
      <c r="BL32" s="1277"/>
      <c r="BM32" s="1277"/>
      <c r="BN32" s="1277"/>
      <c r="BO32" s="1277"/>
      <c r="BP32" s="1278"/>
    </row>
    <row r="33" spans="1:86" s="15" customFormat="1" ht="15" customHeight="1">
      <c r="A33" s="718"/>
      <c r="B33" s="718"/>
      <c r="C33" s="718"/>
      <c r="D33" s="718"/>
      <c r="E33" s="718"/>
      <c r="F33" s="718"/>
      <c r="G33" s="718"/>
      <c r="H33" s="718"/>
      <c r="I33" s="718"/>
      <c r="J33" s="718"/>
      <c r="K33" s="718"/>
      <c r="L33" s="718"/>
      <c r="M33" s="718"/>
      <c r="N33" s="718"/>
      <c r="O33" s="718"/>
      <c r="P33" s="718"/>
      <c r="Q33" s="718"/>
      <c r="R33" s="718"/>
      <c r="S33" s="718"/>
      <c r="T33" s="718"/>
      <c r="U33" s="718"/>
      <c r="V33" s="718"/>
      <c r="W33" s="718"/>
      <c r="X33" s="718"/>
      <c r="Y33" s="718"/>
      <c r="Z33" s="718"/>
      <c r="AA33" s="718"/>
      <c r="AB33" s="718"/>
      <c r="AC33" s="718"/>
      <c r="AD33" s="718"/>
      <c r="AE33" s="718"/>
      <c r="AF33" s="718"/>
      <c r="AG33" s="718"/>
      <c r="AH33" s="718"/>
      <c r="AI33" s="718"/>
      <c r="AJ33" s="718"/>
      <c r="AK33" s="718"/>
      <c r="AL33" s="718"/>
      <c r="AM33" s="718"/>
      <c r="AN33" s="718"/>
      <c r="AO33" s="718"/>
      <c r="AP33" s="718"/>
      <c r="AQ33" s="718"/>
      <c r="AR33" s="718"/>
      <c r="AS33" s="718"/>
      <c r="AT33" s="718"/>
      <c r="AU33" s="718"/>
      <c r="AV33" s="718"/>
      <c r="AW33" s="718"/>
      <c r="AX33" s="718"/>
      <c r="AY33" s="718"/>
      <c r="AZ33" s="718"/>
      <c r="BA33" s="718"/>
      <c r="BB33" s="718"/>
      <c r="BC33" s="718"/>
      <c r="BD33" s="718"/>
      <c r="BE33" s="718"/>
      <c r="BF33" s="718"/>
      <c r="BG33" s="718"/>
      <c r="BH33" s="718"/>
    </row>
    <row r="34" spans="1:86" s="12" customFormat="1" ht="15" customHeight="1">
      <c r="A34" s="718"/>
      <c r="B34" s="729" t="s">
        <v>1245</v>
      </c>
      <c r="C34" s="718"/>
      <c r="D34" s="721"/>
      <c r="E34" s="721"/>
      <c r="F34" s="721"/>
      <c r="G34" s="718"/>
      <c r="H34" s="718"/>
      <c r="I34" s="718"/>
      <c r="J34" s="718"/>
      <c r="K34" s="718"/>
      <c r="L34" s="718"/>
      <c r="M34" s="718"/>
      <c r="N34" s="718"/>
      <c r="O34" s="718"/>
      <c r="P34" s="718"/>
      <c r="Q34" s="718"/>
      <c r="R34" s="718"/>
      <c r="S34" s="718"/>
      <c r="T34" s="718"/>
      <c r="U34" s="718"/>
      <c r="V34" s="718"/>
      <c r="W34" s="718"/>
      <c r="X34" s="718"/>
      <c r="Y34" s="718"/>
      <c r="Z34" s="718"/>
      <c r="AA34" s="718"/>
      <c r="AB34" s="718"/>
      <c r="AC34" s="718"/>
      <c r="AD34" s="718"/>
      <c r="AE34" s="718"/>
      <c r="AF34" s="718"/>
      <c r="AG34" s="718"/>
      <c r="AH34" s="718"/>
      <c r="AI34" s="718"/>
      <c r="AJ34" s="718"/>
      <c r="AK34" s="718"/>
      <c r="AL34" s="718"/>
      <c r="AM34" s="718"/>
      <c r="AN34" s="718"/>
      <c r="AO34" s="718"/>
      <c r="AP34" s="718"/>
      <c r="AQ34" s="718"/>
      <c r="AR34" s="718"/>
      <c r="AS34" s="718"/>
      <c r="AT34" s="718"/>
      <c r="AU34" s="718"/>
      <c r="AV34" s="718"/>
      <c r="AW34" s="718"/>
      <c r="AX34" s="718"/>
      <c r="AY34" s="718"/>
      <c r="AZ34" s="718"/>
      <c r="BA34" s="718"/>
      <c r="BB34" s="718"/>
      <c r="BC34" s="718"/>
      <c r="BD34" s="718"/>
      <c r="BE34" s="718"/>
      <c r="BF34" s="718"/>
      <c r="BG34" s="718"/>
      <c r="BH34" s="718"/>
    </row>
    <row r="35" spans="1:86" s="12" customFormat="1" ht="13.5" customHeight="1">
      <c r="B35" s="130"/>
      <c r="C35" s="130"/>
      <c r="D35" s="130" t="s">
        <v>982</v>
      </c>
      <c r="E35" s="130"/>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CA35" s="64"/>
      <c r="CB35" s="64"/>
      <c r="CC35" s="64"/>
      <c r="CD35" s="64"/>
      <c r="CE35" s="64"/>
      <c r="CF35" s="64"/>
      <c r="CG35" s="64"/>
      <c r="CH35" s="64"/>
    </row>
    <row r="36" spans="1:86" s="12" customFormat="1" ht="13.5" customHeight="1">
      <c r="B36" s="130"/>
      <c r="D36" s="130" t="s">
        <v>205</v>
      </c>
      <c r="E36" s="130"/>
      <c r="F36" s="738" t="str">
        <f>'01.入学願書'!F160</f>
        <v>■</v>
      </c>
      <c r="G36" s="130" t="s">
        <v>206</v>
      </c>
      <c r="H36" s="130"/>
      <c r="I36" s="130"/>
      <c r="L36" s="130"/>
      <c r="M36" s="130"/>
      <c r="N36" s="130"/>
      <c r="O36" s="730" t="str">
        <f>'01.入学願書'!O160</f>
        <v>□</v>
      </c>
      <c r="P36" s="731" t="s">
        <v>207</v>
      </c>
      <c r="Q36" s="130"/>
      <c r="R36" s="130"/>
      <c r="S36" s="130"/>
      <c r="T36" s="130"/>
      <c r="U36" s="130"/>
      <c r="V36" s="130"/>
      <c r="W36" s="130"/>
      <c r="X36" s="130"/>
      <c r="Y36" s="130"/>
      <c r="Z36" s="730" t="str">
        <f>'01.入学願書'!Z160</f>
        <v>□</v>
      </c>
      <c r="AA36" s="130" t="s">
        <v>208</v>
      </c>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CA36" s="64"/>
      <c r="CB36" s="64"/>
      <c r="CC36" s="64"/>
      <c r="CD36" s="64"/>
      <c r="CE36" s="64"/>
      <c r="CF36" s="64"/>
      <c r="CG36" s="64"/>
      <c r="CH36" s="64"/>
    </row>
    <row r="37" spans="1:86" s="12" customFormat="1" ht="15" customHeight="1">
      <c r="B37" s="130"/>
      <c r="D37" s="130"/>
      <c r="E37" s="130"/>
      <c r="F37" s="130"/>
      <c r="G37" s="130" t="s">
        <v>1101</v>
      </c>
      <c r="H37" s="130"/>
      <c r="I37" s="130"/>
      <c r="J37" s="130"/>
      <c r="K37" s="130"/>
      <c r="L37" s="130"/>
      <c r="M37" s="130"/>
      <c r="P37" s="130" t="s">
        <v>1102</v>
      </c>
      <c r="Q37" s="130"/>
      <c r="R37" s="130"/>
      <c r="S37" s="130"/>
      <c r="T37" s="130"/>
      <c r="U37" s="130"/>
      <c r="V37" s="130"/>
      <c r="W37" s="130"/>
      <c r="X37" s="130"/>
      <c r="Y37" s="130"/>
      <c r="Z37" s="130"/>
      <c r="AA37" s="130" t="s">
        <v>1108</v>
      </c>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CA37" s="64"/>
      <c r="CB37" s="64"/>
      <c r="CC37" s="64"/>
      <c r="CD37" s="64"/>
      <c r="CE37" s="64"/>
      <c r="CF37" s="64"/>
      <c r="CG37" s="64"/>
      <c r="CH37" s="64"/>
    </row>
    <row r="38" spans="1:86" s="12" customFormat="1" ht="15" customHeight="1">
      <c r="B38" s="130"/>
      <c r="D38" s="130" t="s">
        <v>209</v>
      </c>
      <c r="E38" s="130"/>
      <c r="F38" s="130" t="s">
        <v>1100</v>
      </c>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c r="AQ38" s="130"/>
      <c r="AR38" s="130"/>
      <c r="AS38" s="130"/>
      <c r="AT38" s="130"/>
      <c r="AU38" s="130"/>
      <c r="AV38" s="130"/>
      <c r="AW38" s="130"/>
      <c r="AX38" s="130"/>
      <c r="AY38" s="130"/>
      <c r="AZ38" s="130"/>
      <c r="BA38" s="130"/>
      <c r="BB38" s="130"/>
      <c r="BC38" s="130"/>
      <c r="BD38" s="130"/>
      <c r="BE38" s="130"/>
      <c r="BF38" s="130"/>
      <c r="BG38" s="130"/>
      <c r="BH38" s="130"/>
      <c r="CA38" s="64"/>
      <c r="CB38" s="64"/>
      <c r="CC38" s="64"/>
      <c r="CD38" s="64"/>
      <c r="CE38" s="64"/>
      <c r="CF38" s="64"/>
      <c r="CG38" s="64"/>
      <c r="CH38" s="64"/>
    </row>
    <row r="39" spans="1:86" s="12" customFormat="1" ht="15" customHeight="1" thickBot="1">
      <c r="B39" s="130"/>
      <c r="F39" s="12" t="s">
        <v>1103</v>
      </c>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30"/>
      <c r="BE39" s="130"/>
      <c r="BF39" s="130"/>
      <c r="BG39" s="130"/>
      <c r="BH39" s="130"/>
      <c r="BJ39" s="1" t="s">
        <v>1117</v>
      </c>
      <c r="CA39" s="64"/>
      <c r="CB39" s="64"/>
      <c r="CC39" s="64"/>
      <c r="CD39" s="64"/>
      <c r="CE39" s="64"/>
      <c r="CF39" s="64"/>
      <c r="CG39" s="64"/>
      <c r="CH39" s="64"/>
    </row>
    <row r="40" spans="1:86" s="12" customFormat="1" ht="15" customHeight="1">
      <c r="A40" s="718"/>
      <c r="B40" s="718"/>
      <c r="C40" s="718"/>
      <c r="D40" s="1237" t="s">
        <v>1338</v>
      </c>
      <c r="E40" s="1238"/>
      <c r="F40" s="1238"/>
      <c r="G40" s="1238"/>
      <c r="H40" s="1238"/>
      <c r="I40" s="1238"/>
      <c r="J40" s="1238"/>
      <c r="K40" s="1238"/>
      <c r="L40" s="1238"/>
      <c r="M40" s="1238"/>
      <c r="N40" s="1238"/>
      <c r="O40" s="1238"/>
      <c r="P40" s="1238"/>
      <c r="Q40" s="1238"/>
      <c r="R40" s="1238"/>
      <c r="S40" s="1238"/>
      <c r="T40" s="1238"/>
      <c r="U40" s="1238"/>
      <c r="V40" s="1238"/>
      <c r="W40" s="1238"/>
      <c r="X40" s="1238"/>
      <c r="Y40" s="1238"/>
      <c r="Z40" s="1238"/>
      <c r="AA40" s="1238"/>
      <c r="AB40" s="1238"/>
      <c r="AC40" s="1238"/>
      <c r="AD40" s="1238"/>
      <c r="AE40" s="1238"/>
      <c r="AF40" s="1238"/>
      <c r="AG40" s="1238"/>
      <c r="AH40" s="1238"/>
      <c r="AI40" s="1238"/>
      <c r="AJ40" s="1238"/>
      <c r="AK40" s="1238"/>
      <c r="AL40" s="1238"/>
      <c r="AM40" s="1238"/>
      <c r="AN40" s="1238"/>
      <c r="AO40" s="1238"/>
      <c r="AP40" s="1238"/>
      <c r="AQ40" s="1238"/>
      <c r="AR40" s="1238"/>
      <c r="AS40" s="1238"/>
      <c r="AT40" s="1238"/>
      <c r="AU40" s="1238"/>
      <c r="AV40" s="1238"/>
      <c r="AW40" s="1238"/>
      <c r="AX40" s="1238"/>
      <c r="AY40" s="1238"/>
      <c r="AZ40" s="1238"/>
      <c r="BA40" s="1238"/>
      <c r="BB40" s="1238"/>
      <c r="BC40" s="1238"/>
      <c r="BD40" s="1238"/>
      <c r="BE40" s="1238"/>
      <c r="BF40" s="1239"/>
      <c r="BG40" s="718"/>
      <c r="BH40" s="718"/>
      <c r="BJ40" s="1279" t="str">
        <f>'01.入学願書'!D164</f>
        <v>Sau  khi tốt nghiệp, tôi sẽ trở về nước và vận dụng những kiến thức đã học ở Nhật Bản để làm việc ở những công ty, xí nghiệp.Tôi hi vọng, với những kiến thức mà tôi học được trong thời gian ở Nhật tôi sẽ có một công việc ổn định sau khi về Việt Nam và cống hiến cho sự phát triển của đất nước tôi</v>
      </c>
      <c r="BK40" s="1271"/>
      <c r="BL40" s="1271"/>
      <c r="BM40" s="1271"/>
      <c r="BN40" s="1271"/>
      <c r="BO40" s="1271"/>
      <c r="BP40" s="1272"/>
    </row>
    <row r="41" spans="1:86" s="15" customFormat="1" ht="15" customHeight="1">
      <c r="A41" s="718"/>
      <c r="B41" s="718"/>
      <c r="C41" s="718"/>
      <c r="D41" s="1240"/>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1241"/>
      <c r="AK41" s="1241"/>
      <c r="AL41" s="1241"/>
      <c r="AM41" s="1241"/>
      <c r="AN41" s="1241"/>
      <c r="AO41" s="1241"/>
      <c r="AP41" s="1241"/>
      <c r="AQ41" s="1241"/>
      <c r="AR41" s="1241"/>
      <c r="AS41" s="1241"/>
      <c r="AT41" s="1241"/>
      <c r="AU41" s="1241"/>
      <c r="AV41" s="1241"/>
      <c r="AW41" s="1241"/>
      <c r="AX41" s="1241"/>
      <c r="AY41" s="1241"/>
      <c r="AZ41" s="1241"/>
      <c r="BA41" s="1241"/>
      <c r="BB41" s="1241"/>
      <c r="BC41" s="1241"/>
      <c r="BD41" s="1241"/>
      <c r="BE41" s="1241"/>
      <c r="BF41" s="1242"/>
      <c r="BG41" s="718"/>
      <c r="BH41" s="718"/>
      <c r="BJ41" s="1273"/>
      <c r="BK41" s="1274"/>
      <c r="BL41" s="1274"/>
      <c r="BM41" s="1274"/>
      <c r="BN41" s="1274"/>
      <c r="BO41" s="1274"/>
      <c r="BP41" s="1275"/>
    </row>
    <row r="42" spans="1:86" s="15" customFormat="1" ht="15" customHeight="1">
      <c r="A42" s="718"/>
      <c r="B42" s="718"/>
      <c r="C42" s="718"/>
      <c r="D42" s="1240"/>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2"/>
      <c r="BG42" s="718"/>
      <c r="BH42" s="718"/>
      <c r="BJ42" s="1273"/>
      <c r="BK42" s="1274"/>
      <c r="BL42" s="1274"/>
      <c r="BM42" s="1274"/>
      <c r="BN42" s="1274"/>
      <c r="BO42" s="1274"/>
      <c r="BP42" s="1275"/>
    </row>
    <row r="43" spans="1:86" s="15" customFormat="1" ht="15" customHeight="1">
      <c r="A43" s="718"/>
      <c r="B43" s="718"/>
      <c r="C43" s="718"/>
      <c r="D43" s="1240"/>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2"/>
      <c r="BG43" s="718"/>
      <c r="BH43" s="718"/>
      <c r="BJ43" s="1273"/>
      <c r="BK43" s="1274"/>
      <c r="BL43" s="1274"/>
      <c r="BM43" s="1274"/>
      <c r="BN43" s="1274"/>
      <c r="BO43" s="1274"/>
      <c r="BP43" s="1275"/>
    </row>
    <row r="44" spans="1:86" s="15" customFormat="1" ht="15" customHeight="1">
      <c r="A44" s="718"/>
      <c r="B44" s="718"/>
      <c r="C44" s="718"/>
      <c r="D44" s="1240"/>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1241"/>
      <c r="AK44" s="1241"/>
      <c r="AL44" s="1241"/>
      <c r="AM44" s="1241"/>
      <c r="AN44" s="1241"/>
      <c r="AO44" s="1241"/>
      <c r="AP44" s="1241"/>
      <c r="AQ44" s="1241"/>
      <c r="AR44" s="1241"/>
      <c r="AS44" s="1241"/>
      <c r="AT44" s="1241"/>
      <c r="AU44" s="1241"/>
      <c r="AV44" s="1241"/>
      <c r="AW44" s="1241"/>
      <c r="AX44" s="1241"/>
      <c r="AY44" s="1241"/>
      <c r="AZ44" s="1241"/>
      <c r="BA44" s="1241"/>
      <c r="BB44" s="1241"/>
      <c r="BC44" s="1241"/>
      <c r="BD44" s="1241"/>
      <c r="BE44" s="1241"/>
      <c r="BF44" s="1242"/>
      <c r="BG44" s="718"/>
      <c r="BH44" s="718"/>
      <c r="BJ44" s="1273"/>
      <c r="BK44" s="1274"/>
      <c r="BL44" s="1274"/>
      <c r="BM44" s="1274"/>
      <c r="BN44" s="1274"/>
      <c r="BO44" s="1274"/>
      <c r="BP44" s="1275"/>
    </row>
    <row r="45" spans="1:86" s="12" customFormat="1" ht="15" customHeight="1">
      <c r="A45" s="718"/>
      <c r="B45" s="718"/>
      <c r="C45" s="718"/>
      <c r="D45" s="1240"/>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1241"/>
      <c r="AK45" s="1241"/>
      <c r="AL45" s="1241"/>
      <c r="AM45" s="1241"/>
      <c r="AN45" s="1241"/>
      <c r="AO45" s="1241"/>
      <c r="AP45" s="1241"/>
      <c r="AQ45" s="1241"/>
      <c r="AR45" s="1241"/>
      <c r="AS45" s="1241"/>
      <c r="AT45" s="1241"/>
      <c r="AU45" s="1241"/>
      <c r="AV45" s="1241"/>
      <c r="AW45" s="1241"/>
      <c r="AX45" s="1241"/>
      <c r="AY45" s="1241"/>
      <c r="AZ45" s="1241"/>
      <c r="BA45" s="1241"/>
      <c r="BB45" s="1241"/>
      <c r="BC45" s="1241"/>
      <c r="BD45" s="1241"/>
      <c r="BE45" s="1241"/>
      <c r="BF45" s="1242"/>
      <c r="BG45" s="718"/>
      <c r="BH45" s="718"/>
      <c r="BJ45" s="1273"/>
      <c r="BK45" s="1274"/>
      <c r="BL45" s="1274"/>
      <c r="BM45" s="1274"/>
      <c r="BN45" s="1274"/>
      <c r="BO45" s="1274"/>
      <c r="BP45" s="1275"/>
    </row>
    <row r="46" spans="1:86" s="15" customFormat="1" ht="15" customHeight="1">
      <c r="A46" s="718"/>
      <c r="B46" s="718"/>
      <c r="C46" s="718"/>
      <c r="D46" s="1240"/>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1241"/>
      <c r="AK46" s="1241"/>
      <c r="AL46" s="1241"/>
      <c r="AM46" s="1241"/>
      <c r="AN46" s="1241"/>
      <c r="AO46" s="1241"/>
      <c r="AP46" s="1241"/>
      <c r="AQ46" s="1241"/>
      <c r="AR46" s="1241"/>
      <c r="AS46" s="1241"/>
      <c r="AT46" s="1241"/>
      <c r="AU46" s="1241"/>
      <c r="AV46" s="1241"/>
      <c r="AW46" s="1241"/>
      <c r="AX46" s="1241"/>
      <c r="AY46" s="1241"/>
      <c r="AZ46" s="1241"/>
      <c r="BA46" s="1241"/>
      <c r="BB46" s="1241"/>
      <c r="BC46" s="1241"/>
      <c r="BD46" s="1241"/>
      <c r="BE46" s="1241"/>
      <c r="BF46" s="1242"/>
      <c r="BG46" s="718"/>
      <c r="BH46" s="718"/>
      <c r="BJ46" s="1273"/>
      <c r="BK46" s="1274"/>
      <c r="BL46" s="1274"/>
      <c r="BM46" s="1274"/>
      <c r="BN46" s="1274"/>
      <c r="BO46" s="1274"/>
      <c r="BP46" s="1275"/>
    </row>
    <row r="47" spans="1:86" s="12" customFormat="1" ht="15" customHeight="1">
      <c r="A47" s="718"/>
      <c r="B47" s="718"/>
      <c r="C47" s="718"/>
      <c r="D47" s="1240"/>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1241"/>
      <c r="AK47" s="1241"/>
      <c r="AL47" s="1241"/>
      <c r="AM47" s="1241"/>
      <c r="AN47" s="1241"/>
      <c r="AO47" s="1241"/>
      <c r="AP47" s="1241"/>
      <c r="AQ47" s="1241"/>
      <c r="AR47" s="1241"/>
      <c r="AS47" s="1241"/>
      <c r="AT47" s="1241"/>
      <c r="AU47" s="1241"/>
      <c r="AV47" s="1241"/>
      <c r="AW47" s="1241"/>
      <c r="AX47" s="1241"/>
      <c r="AY47" s="1241"/>
      <c r="AZ47" s="1241"/>
      <c r="BA47" s="1241"/>
      <c r="BB47" s="1241"/>
      <c r="BC47" s="1241"/>
      <c r="BD47" s="1241"/>
      <c r="BE47" s="1241"/>
      <c r="BF47" s="1242"/>
      <c r="BG47" s="718"/>
      <c r="BH47" s="718"/>
      <c r="BJ47" s="1273"/>
      <c r="BK47" s="1274"/>
      <c r="BL47" s="1274"/>
      <c r="BM47" s="1274"/>
      <c r="BN47" s="1274"/>
      <c r="BO47" s="1274"/>
      <c r="BP47" s="1275"/>
    </row>
    <row r="48" spans="1:86" s="15" customFormat="1" ht="14.25" customHeight="1">
      <c r="A48" s="718"/>
      <c r="B48" s="718"/>
      <c r="C48" s="718"/>
      <c r="D48" s="1240"/>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1241"/>
      <c r="AK48" s="1241"/>
      <c r="AL48" s="1241"/>
      <c r="AM48" s="1241"/>
      <c r="AN48" s="1241"/>
      <c r="AO48" s="1241"/>
      <c r="AP48" s="1241"/>
      <c r="AQ48" s="1241"/>
      <c r="AR48" s="1241"/>
      <c r="AS48" s="1241"/>
      <c r="AT48" s="1241"/>
      <c r="AU48" s="1241"/>
      <c r="AV48" s="1241"/>
      <c r="AW48" s="1241"/>
      <c r="AX48" s="1241"/>
      <c r="AY48" s="1241"/>
      <c r="AZ48" s="1241"/>
      <c r="BA48" s="1241"/>
      <c r="BB48" s="1241"/>
      <c r="BC48" s="1241"/>
      <c r="BD48" s="1241"/>
      <c r="BE48" s="1241"/>
      <c r="BF48" s="1242"/>
      <c r="BG48" s="718"/>
      <c r="BH48" s="718"/>
      <c r="BJ48" s="1273"/>
      <c r="BK48" s="1274"/>
      <c r="BL48" s="1274"/>
      <c r="BM48" s="1274"/>
      <c r="BN48" s="1274"/>
      <c r="BO48" s="1274"/>
      <c r="BP48" s="1275"/>
    </row>
    <row r="49" spans="1:68" s="12" customFormat="1" ht="15" customHeight="1">
      <c r="A49" s="718"/>
      <c r="B49" s="718"/>
      <c r="C49" s="718"/>
      <c r="D49" s="1240"/>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1241"/>
      <c r="AK49" s="1241"/>
      <c r="AL49" s="1241"/>
      <c r="AM49" s="1241"/>
      <c r="AN49" s="1241"/>
      <c r="AO49" s="1241"/>
      <c r="AP49" s="1241"/>
      <c r="AQ49" s="1241"/>
      <c r="AR49" s="1241"/>
      <c r="AS49" s="1241"/>
      <c r="AT49" s="1241"/>
      <c r="AU49" s="1241"/>
      <c r="AV49" s="1241"/>
      <c r="AW49" s="1241"/>
      <c r="AX49" s="1241"/>
      <c r="AY49" s="1241"/>
      <c r="AZ49" s="1241"/>
      <c r="BA49" s="1241"/>
      <c r="BB49" s="1241"/>
      <c r="BC49" s="1241"/>
      <c r="BD49" s="1241"/>
      <c r="BE49" s="1241"/>
      <c r="BF49" s="1242"/>
      <c r="BG49" s="718"/>
      <c r="BH49" s="718"/>
      <c r="BJ49" s="1273"/>
      <c r="BK49" s="1274"/>
      <c r="BL49" s="1274"/>
      <c r="BM49" s="1274"/>
      <c r="BN49" s="1274"/>
      <c r="BO49" s="1274"/>
      <c r="BP49" s="1275"/>
    </row>
    <row r="50" spans="1:68" s="12" customFormat="1" ht="14.25" customHeight="1">
      <c r="A50" s="718"/>
      <c r="B50" s="718"/>
      <c r="C50" s="718"/>
      <c r="D50" s="1240"/>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1241"/>
      <c r="AK50" s="1241"/>
      <c r="AL50" s="1241"/>
      <c r="AM50" s="1241"/>
      <c r="AN50" s="1241"/>
      <c r="AO50" s="1241"/>
      <c r="AP50" s="1241"/>
      <c r="AQ50" s="1241"/>
      <c r="AR50" s="1241"/>
      <c r="AS50" s="1241"/>
      <c r="AT50" s="1241"/>
      <c r="AU50" s="1241"/>
      <c r="AV50" s="1241"/>
      <c r="AW50" s="1241"/>
      <c r="AX50" s="1241"/>
      <c r="AY50" s="1241"/>
      <c r="AZ50" s="1241"/>
      <c r="BA50" s="1241"/>
      <c r="BB50" s="1241"/>
      <c r="BC50" s="1241"/>
      <c r="BD50" s="1241"/>
      <c r="BE50" s="1241"/>
      <c r="BF50" s="1242"/>
      <c r="BG50" s="718"/>
      <c r="BH50" s="718"/>
      <c r="BJ50" s="1273"/>
      <c r="BK50" s="1274"/>
      <c r="BL50" s="1274"/>
      <c r="BM50" s="1274"/>
      <c r="BN50" s="1274"/>
      <c r="BO50" s="1274"/>
      <c r="BP50" s="1275"/>
    </row>
    <row r="51" spans="1:68" s="12" customFormat="1" ht="15" customHeight="1">
      <c r="A51" s="718"/>
      <c r="B51" s="718"/>
      <c r="C51" s="718"/>
      <c r="D51" s="1240"/>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1241"/>
      <c r="AK51" s="1241"/>
      <c r="AL51" s="1241"/>
      <c r="AM51" s="1241"/>
      <c r="AN51" s="1241"/>
      <c r="AO51" s="1241"/>
      <c r="AP51" s="1241"/>
      <c r="AQ51" s="1241"/>
      <c r="AR51" s="1241"/>
      <c r="AS51" s="1241"/>
      <c r="AT51" s="1241"/>
      <c r="AU51" s="1241"/>
      <c r="AV51" s="1241"/>
      <c r="AW51" s="1241"/>
      <c r="AX51" s="1241"/>
      <c r="AY51" s="1241"/>
      <c r="AZ51" s="1241"/>
      <c r="BA51" s="1241"/>
      <c r="BB51" s="1241"/>
      <c r="BC51" s="1241"/>
      <c r="BD51" s="1241"/>
      <c r="BE51" s="1241"/>
      <c r="BF51" s="1242"/>
      <c r="BG51" s="718"/>
      <c r="BH51" s="718"/>
      <c r="BJ51" s="1273"/>
      <c r="BK51" s="1274"/>
      <c r="BL51" s="1274"/>
      <c r="BM51" s="1274"/>
      <c r="BN51" s="1274"/>
      <c r="BO51" s="1274"/>
      <c r="BP51" s="1275"/>
    </row>
    <row r="52" spans="1:68" s="12" customFormat="1" ht="19.5" customHeight="1" thickBot="1">
      <c r="A52" s="718"/>
      <c r="B52" s="718"/>
      <c r="C52" s="718"/>
      <c r="D52" s="1240"/>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1241"/>
      <c r="AK52" s="1241"/>
      <c r="AL52" s="1241"/>
      <c r="AM52" s="1241"/>
      <c r="AN52" s="1241"/>
      <c r="AO52" s="1241"/>
      <c r="AP52" s="1241"/>
      <c r="AQ52" s="1241"/>
      <c r="AR52" s="1241"/>
      <c r="AS52" s="1241"/>
      <c r="AT52" s="1241"/>
      <c r="AU52" s="1241"/>
      <c r="AV52" s="1241"/>
      <c r="AW52" s="1241"/>
      <c r="AX52" s="1241"/>
      <c r="AY52" s="1241"/>
      <c r="AZ52" s="1241"/>
      <c r="BA52" s="1241"/>
      <c r="BB52" s="1241"/>
      <c r="BC52" s="1241"/>
      <c r="BD52" s="1241"/>
      <c r="BE52" s="1241"/>
      <c r="BF52" s="1242"/>
      <c r="BG52" s="718"/>
      <c r="BH52" s="718"/>
      <c r="BJ52" s="1276"/>
      <c r="BK52" s="1277"/>
      <c r="BL52" s="1277"/>
      <c r="BM52" s="1277"/>
      <c r="BN52" s="1277"/>
      <c r="BO52" s="1277"/>
      <c r="BP52" s="1278"/>
    </row>
    <row r="53" spans="1:68" s="15" customFormat="1" ht="10.5" customHeight="1" thickBot="1">
      <c r="A53" s="718"/>
      <c r="B53" s="718"/>
      <c r="C53" s="718"/>
      <c r="D53" s="1243"/>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244"/>
      <c r="AN53" s="1244"/>
      <c r="AO53" s="1244"/>
      <c r="AP53" s="1244"/>
      <c r="AQ53" s="1244"/>
      <c r="AR53" s="1244"/>
      <c r="AS53" s="1244"/>
      <c r="AT53" s="1244"/>
      <c r="AU53" s="1244"/>
      <c r="AV53" s="1244"/>
      <c r="AW53" s="1244"/>
      <c r="AX53" s="1244"/>
      <c r="AY53" s="1244"/>
      <c r="AZ53" s="1244"/>
      <c r="BA53" s="1244"/>
      <c r="BB53" s="1244"/>
      <c r="BC53" s="1244"/>
      <c r="BD53" s="1244"/>
      <c r="BE53" s="1244"/>
      <c r="BF53" s="1245"/>
      <c r="BG53" s="718"/>
      <c r="BH53" s="718"/>
    </row>
    <row r="54" spans="1:68" s="12" customFormat="1" ht="15" customHeight="1">
      <c r="A54" s="718"/>
      <c r="B54" s="718"/>
      <c r="C54" s="718"/>
      <c r="D54" s="718"/>
      <c r="E54" s="718"/>
      <c r="F54" s="718"/>
      <c r="G54" s="718"/>
      <c r="H54" s="718"/>
      <c r="I54" s="718"/>
      <c r="J54" s="718"/>
      <c r="K54" s="718"/>
      <c r="L54" s="718"/>
      <c r="M54" s="718"/>
      <c r="N54" s="718"/>
      <c r="O54" s="718"/>
      <c r="P54" s="718"/>
      <c r="Q54" s="718"/>
      <c r="R54" s="718"/>
      <c r="S54" s="718"/>
      <c r="T54" s="718"/>
      <c r="U54" s="718"/>
      <c r="V54" s="718"/>
      <c r="W54" s="718"/>
      <c r="X54" s="718"/>
      <c r="Y54" s="718"/>
      <c r="Z54" s="718"/>
      <c r="AA54" s="718"/>
      <c r="AB54" s="718"/>
      <c r="AC54" s="718"/>
      <c r="AD54" s="718"/>
      <c r="AE54" s="718"/>
      <c r="AF54" s="718"/>
      <c r="AG54" s="718"/>
      <c r="AH54" s="718"/>
      <c r="AI54" s="718"/>
      <c r="AJ54" s="718"/>
      <c r="AK54" s="718"/>
      <c r="AL54" s="718"/>
      <c r="AM54" s="718"/>
      <c r="AN54" s="718"/>
      <c r="AO54" s="718"/>
      <c r="AP54" s="718"/>
      <c r="AQ54" s="718"/>
      <c r="AR54" s="718"/>
      <c r="AS54" s="718"/>
      <c r="AT54" s="718"/>
      <c r="AU54" s="718"/>
      <c r="AV54" s="718"/>
      <c r="AW54" s="718"/>
      <c r="AX54" s="718"/>
      <c r="AY54" s="718"/>
      <c r="AZ54" s="718"/>
      <c r="BA54" s="718"/>
      <c r="BB54" s="718"/>
      <c r="BC54" s="718"/>
      <c r="BD54" s="718"/>
      <c r="BE54" s="718"/>
      <c r="BF54" s="718"/>
      <c r="BG54" s="718"/>
      <c r="BH54" s="718"/>
    </row>
    <row r="55" spans="1:68" s="12" customFormat="1" ht="15" customHeight="1">
      <c r="A55" s="718"/>
      <c r="B55" s="718"/>
      <c r="C55" s="718"/>
      <c r="D55" s="718"/>
      <c r="E55" s="718"/>
      <c r="F55" s="718"/>
      <c r="G55" s="718"/>
      <c r="H55" s="718"/>
      <c r="I55" s="718"/>
      <c r="J55" s="718"/>
      <c r="K55" s="718"/>
      <c r="L55" s="718"/>
      <c r="M55" s="718"/>
      <c r="N55" s="718"/>
      <c r="O55" s="718"/>
      <c r="P55" s="718"/>
      <c r="Q55" s="718"/>
      <c r="R55" s="718"/>
      <c r="S55" s="718"/>
      <c r="T55" s="718"/>
      <c r="U55" s="718"/>
      <c r="V55" s="718"/>
      <c r="W55" s="718"/>
      <c r="X55" s="718"/>
      <c r="Y55" s="718"/>
      <c r="Z55" s="718"/>
      <c r="AA55" s="718"/>
      <c r="AB55" s="718"/>
      <c r="AC55" s="718"/>
      <c r="AD55" s="718"/>
      <c r="AE55" s="718"/>
      <c r="AF55" s="718"/>
      <c r="AG55" s="718"/>
      <c r="AH55" s="718"/>
      <c r="AI55" s="718"/>
      <c r="AJ55" s="718"/>
      <c r="AK55" s="718"/>
      <c r="AL55" s="718"/>
      <c r="AM55" s="718"/>
      <c r="AN55" s="718"/>
      <c r="AO55" s="718"/>
      <c r="AP55" s="718"/>
      <c r="AQ55" s="718"/>
      <c r="AR55" s="718"/>
      <c r="AS55" s="718"/>
      <c r="AT55" s="718"/>
      <c r="AU55" s="718"/>
      <c r="AV55" s="718"/>
      <c r="AW55" s="718"/>
      <c r="AX55" s="718"/>
      <c r="AY55" s="718"/>
      <c r="AZ55" s="718"/>
      <c r="BA55" s="718"/>
      <c r="BB55" s="718"/>
      <c r="BC55" s="718"/>
      <c r="BD55" s="718"/>
      <c r="BE55" s="718"/>
      <c r="BF55" s="718"/>
      <c r="BG55" s="718"/>
      <c r="BH55" s="718"/>
    </row>
    <row r="56" spans="1:68" s="12" customFormat="1" ht="19.5" thickBot="1">
      <c r="A56" s="718"/>
      <c r="B56" s="718"/>
      <c r="C56" s="718"/>
      <c r="D56" s="718"/>
      <c r="E56" s="718" t="s">
        <v>1113</v>
      </c>
      <c r="F56" s="718"/>
      <c r="G56" s="718"/>
      <c r="H56" s="718"/>
      <c r="I56" s="718"/>
      <c r="J56" s="718"/>
      <c r="K56" s="718"/>
      <c r="L56" s="718"/>
      <c r="M56" s="718"/>
      <c r="N56" s="718"/>
      <c r="O56" s="718"/>
      <c r="P56" s="718"/>
      <c r="Q56" s="718"/>
      <c r="R56" s="718"/>
      <c r="S56" s="718"/>
      <c r="T56" s="718"/>
      <c r="U56" s="718"/>
      <c r="V56" s="718"/>
      <c r="W56" s="718"/>
      <c r="X56" s="718"/>
      <c r="Y56" s="718"/>
      <c r="Z56" s="718"/>
      <c r="AA56" s="718"/>
      <c r="AB56" s="718"/>
      <c r="AC56" s="718"/>
      <c r="AD56" s="718"/>
      <c r="AE56" s="718"/>
      <c r="AF56" s="718"/>
      <c r="AG56" s="718"/>
      <c r="AH56" s="718"/>
      <c r="AI56" s="718"/>
      <c r="AJ56" s="718"/>
      <c r="AK56" s="718"/>
      <c r="AL56" s="718"/>
      <c r="AM56" s="718"/>
      <c r="AN56" s="718"/>
      <c r="AO56" s="718"/>
      <c r="AP56" s="718"/>
      <c r="AQ56" s="718"/>
      <c r="AR56" s="718"/>
      <c r="AS56" s="718"/>
      <c r="AT56" s="718"/>
      <c r="AU56" s="718"/>
      <c r="AV56" s="718"/>
      <c r="AW56" s="718"/>
      <c r="AX56" s="718"/>
      <c r="AY56" s="718"/>
      <c r="AZ56" s="718"/>
      <c r="BA56" s="718"/>
      <c r="BB56" s="718"/>
      <c r="BC56" s="718"/>
      <c r="BD56" s="718"/>
      <c r="BE56" s="718"/>
      <c r="BF56" s="718"/>
      <c r="BG56" s="718"/>
      <c r="BH56" s="718"/>
    </row>
    <row r="57" spans="1:68" s="12" customFormat="1" ht="18.75">
      <c r="A57" s="718"/>
      <c r="B57" s="718"/>
      <c r="C57" s="718"/>
      <c r="D57" s="718"/>
      <c r="E57" s="1246" t="s">
        <v>1321</v>
      </c>
      <c r="F57" s="1247"/>
      <c r="G57" s="1247"/>
      <c r="H57" s="1247"/>
      <c r="I57" s="1247"/>
      <c r="J57" s="1247"/>
      <c r="K57" s="1247"/>
      <c r="L57" s="1247"/>
      <c r="M57" s="1247"/>
      <c r="N57" s="1247"/>
      <c r="O57" s="1247"/>
      <c r="P57" s="1247"/>
      <c r="Q57" s="1247"/>
      <c r="R57" s="1247"/>
      <c r="S57" s="1247"/>
      <c r="T57" s="1247"/>
      <c r="U57" s="1247"/>
      <c r="V57" s="1247"/>
      <c r="W57" s="1247"/>
      <c r="X57" s="1247"/>
      <c r="Y57" s="1247"/>
      <c r="Z57" s="1247"/>
      <c r="AA57" s="1247"/>
      <c r="AB57" s="1247"/>
      <c r="AC57" s="1247"/>
      <c r="AD57" s="1247"/>
      <c r="AE57" s="1247"/>
      <c r="AF57" s="1247"/>
      <c r="AG57" s="1247"/>
      <c r="AH57" s="1247"/>
      <c r="AI57" s="1247"/>
      <c r="AJ57" s="1248"/>
      <c r="AK57" s="718"/>
      <c r="AL57" s="718"/>
      <c r="AM57" s="718"/>
      <c r="AN57" s="718"/>
      <c r="AO57" s="718"/>
      <c r="AP57" s="718"/>
      <c r="AQ57" s="718"/>
      <c r="AR57" s="718"/>
      <c r="AS57" s="718"/>
      <c r="AT57" s="718"/>
      <c r="AU57" s="718"/>
      <c r="AV57" s="718"/>
      <c r="AW57" s="718"/>
      <c r="AX57" s="718"/>
      <c r="AY57" s="718"/>
      <c r="AZ57" s="718"/>
      <c r="BA57" s="718"/>
      <c r="BB57" s="718"/>
      <c r="BC57" s="718"/>
      <c r="BD57" s="718"/>
      <c r="BE57" s="718"/>
      <c r="BF57" s="718"/>
      <c r="BG57" s="718"/>
      <c r="BH57" s="718"/>
    </row>
    <row r="58" spans="1:68" s="12" customFormat="1" ht="18.75">
      <c r="A58" s="718"/>
      <c r="B58" s="718"/>
      <c r="C58" s="718"/>
      <c r="D58" s="718"/>
      <c r="E58" s="1249"/>
      <c r="F58" s="1250"/>
      <c r="G58" s="1250"/>
      <c r="H58" s="1250"/>
      <c r="I58" s="1250"/>
      <c r="J58" s="1250"/>
      <c r="K58" s="1250"/>
      <c r="L58" s="1250"/>
      <c r="M58" s="1250"/>
      <c r="N58" s="1250"/>
      <c r="O58" s="1250"/>
      <c r="P58" s="1250"/>
      <c r="Q58" s="1250"/>
      <c r="R58" s="1250"/>
      <c r="S58" s="1250"/>
      <c r="T58" s="1250"/>
      <c r="U58" s="1250"/>
      <c r="V58" s="1250"/>
      <c r="W58" s="1250"/>
      <c r="X58" s="1250"/>
      <c r="Y58" s="1250"/>
      <c r="Z58" s="1250"/>
      <c r="AA58" s="1250"/>
      <c r="AB58" s="1250"/>
      <c r="AC58" s="1250"/>
      <c r="AD58" s="1250"/>
      <c r="AE58" s="1250"/>
      <c r="AF58" s="1250"/>
      <c r="AG58" s="1250"/>
      <c r="AH58" s="1250"/>
      <c r="AI58" s="1250"/>
      <c r="AJ58" s="1251"/>
      <c r="AK58" s="718"/>
      <c r="AL58" s="718"/>
      <c r="AM58" s="718"/>
      <c r="AN58" s="718"/>
      <c r="AO58" s="718"/>
      <c r="AP58" s="718"/>
      <c r="AQ58" s="718"/>
      <c r="AR58" s="718"/>
      <c r="AS58" s="718"/>
      <c r="AT58" s="718"/>
      <c r="AU58" s="718"/>
      <c r="AV58" s="718"/>
      <c r="AW58" s="718"/>
      <c r="AX58" s="718"/>
      <c r="AY58" s="718"/>
      <c r="AZ58" s="718"/>
      <c r="BA58" s="718"/>
      <c r="BB58" s="718"/>
      <c r="BC58" s="718"/>
      <c r="BD58" s="718"/>
      <c r="BE58" s="718"/>
      <c r="BF58" s="718"/>
      <c r="BG58" s="718"/>
      <c r="BH58" s="718"/>
    </row>
    <row r="59" spans="1:68" s="15" customFormat="1" ht="14.25" customHeight="1" thickBot="1">
      <c r="A59" s="718"/>
      <c r="B59" s="718"/>
      <c r="C59" s="718"/>
      <c r="D59" s="718"/>
      <c r="E59" s="1252"/>
      <c r="F59" s="1253"/>
      <c r="G59" s="1253"/>
      <c r="H59" s="1253"/>
      <c r="I59" s="1253"/>
      <c r="J59" s="1253"/>
      <c r="K59" s="1253"/>
      <c r="L59" s="1253"/>
      <c r="M59" s="1253"/>
      <c r="N59" s="1253"/>
      <c r="O59" s="1253"/>
      <c r="P59" s="1253"/>
      <c r="Q59" s="1253"/>
      <c r="R59" s="1253"/>
      <c r="S59" s="1253"/>
      <c r="T59" s="1253"/>
      <c r="U59" s="1253"/>
      <c r="V59" s="1253"/>
      <c r="W59" s="1253"/>
      <c r="X59" s="1253"/>
      <c r="Y59" s="1253"/>
      <c r="Z59" s="1253"/>
      <c r="AA59" s="1253"/>
      <c r="AB59" s="1253"/>
      <c r="AC59" s="1253"/>
      <c r="AD59" s="1253"/>
      <c r="AE59" s="1253"/>
      <c r="AF59" s="1253"/>
      <c r="AG59" s="1253"/>
      <c r="AH59" s="1253"/>
      <c r="AI59" s="1253"/>
      <c r="AJ59" s="1254"/>
      <c r="AK59" s="718"/>
      <c r="AL59" s="718"/>
      <c r="AM59" s="718"/>
      <c r="AN59" s="718"/>
      <c r="AO59" s="718"/>
      <c r="AP59" s="718"/>
      <c r="AQ59" s="718"/>
      <c r="AR59" s="718"/>
      <c r="AS59" s="718"/>
      <c r="AT59" s="718"/>
      <c r="AU59" s="718"/>
      <c r="AV59" s="718"/>
      <c r="AW59" s="718"/>
      <c r="AX59" s="718"/>
      <c r="AY59" s="718"/>
      <c r="AZ59" s="718"/>
      <c r="BA59" s="718"/>
      <c r="BB59" s="718"/>
      <c r="BC59" s="718"/>
      <c r="BD59" s="718"/>
      <c r="BE59" s="718"/>
      <c r="BF59" s="718"/>
      <c r="BG59" s="718"/>
      <c r="BH59" s="718"/>
    </row>
    <row r="60" spans="1:68" s="15" customFormat="1" ht="15" customHeight="1">
      <c r="A60" s="718"/>
      <c r="B60" s="718"/>
      <c r="C60" s="718"/>
      <c r="D60" s="718"/>
      <c r="E60" s="718"/>
      <c r="F60" s="718"/>
      <c r="G60" s="718"/>
      <c r="H60" s="718"/>
      <c r="I60" s="718"/>
      <c r="J60" s="718"/>
      <c r="K60" s="718"/>
      <c r="L60" s="718"/>
      <c r="M60" s="718"/>
      <c r="N60" s="718"/>
      <c r="O60" s="718"/>
      <c r="P60" s="718"/>
      <c r="Q60" s="718"/>
      <c r="R60" s="718"/>
      <c r="S60" s="718"/>
      <c r="T60" s="718"/>
      <c r="U60" s="718"/>
      <c r="V60" s="718"/>
      <c r="W60" s="718"/>
      <c r="X60" s="718"/>
      <c r="Y60" s="718"/>
      <c r="Z60" s="718"/>
      <c r="AA60" s="718"/>
      <c r="AB60" s="718"/>
      <c r="AC60" s="718"/>
      <c r="AD60" s="718"/>
      <c r="AE60" s="718"/>
      <c r="AF60" s="718"/>
      <c r="AG60" s="718"/>
      <c r="AH60" s="718"/>
      <c r="AI60" s="718"/>
      <c r="AJ60" s="718"/>
      <c r="AK60" s="718"/>
      <c r="AL60" s="718"/>
      <c r="AM60" s="718"/>
      <c r="AN60" s="718"/>
      <c r="AO60" s="718"/>
      <c r="AP60" s="718"/>
      <c r="AQ60" s="718"/>
      <c r="AR60" s="718"/>
      <c r="AS60" s="718"/>
      <c r="AT60" s="718"/>
      <c r="AU60" s="718"/>
      <c r="AV60" s="718"/>
      <c r="AW60" s="718"/>
      <c r="AX60" s="718"/>
      <c r="AY60" s="718"/>
      <c r="AZ60" s="718"/>
      <c r="BA60" s="718"/>
      <c r="BB60" s="718"/>
      <c r="BC60" s="718"/>
      <c r="BD60" s="718"/>
      <c r="BE60" s="718"/>
      <c r="BF60" s="718"/>
      <c r="BG60" s="718"/>
      <c r="BH60" s="718"/>
    </row>
    <row r="61" spans="1:68" s="4" customFormat="1" ht="14.25" customHeight="1">
      <c r="A61" s="718"/>
      <c r="B61" s="718"/>
      <c r="C61" s="718"/>
      <c r="D61" s="718"/>
      <c r="E61" s="718"/>
      <c r="F61" s="718"/>
      <c r="G61" s="718"/>
      <c r="H61" s="718"/>
      <c r="I61" s="718"/>
      <c r="J61" s="718"/>
      <c r="K61" s="718"/>
      <c r="L61" s="718"/>
      <c r="M61" s="718"/>
      <c r="N61" s="718"/>
      <c r="O61" s="718"/>
      <c r="P61" s="718"/>
      <c r="Q61" s="718"/>
      <c r="R61" s="718"/>
      <c r="S61" s="718"/>
      <c r="T61" s="718"/>
      <c r="U61" s="718"/>
      <c r="V61" s="718"/>
      <c r="W61" s="718"/>
      <c r="X61" s="718"/>
      <c r="Y61" s="718"/>
      <c r="Z61" s="718"/>
      <c r="AA61" s="718"/>
      <c r="AB61" s="718"/>
      <c r="AC61" s="718"/>
      <c r="AD61" s="718"/>
      <c r="AE61" s="718"/>
      <c r="AF61" s="718"/>
      <c r="AG61" s="718"/>
      <c r="AH61" s="718"/>
      <c r="AI61" s="718"/>
      <c r="AJ61" s="718"/>
      <c r="AK61" s="718"/>
      <c r="AL61" s="718"/>
      <c r="AM61" s="718"/>
      <c r="AN61" s="718"/>
      <c r="AO61" s="718"/>
      <c r="AP61" s="718"/>
      <c r="AQ61" s="718"/>
      <c r="AR61" s="718"/>
      <c r="AS61" s="718"/>
      <c r="AT61" s="718"/>
      <c r="AU61" s="718"/>
      <c r="AV61" s="718"/>
      <c r="AW61" s="718"/>
      <c r="AX61" s="718"/>
      <c r="AY61" s="718"/>
      <c r="AZ61" s="718"/>
      <c r="BA61" s="718"/>
      <c r="BB61" s="718"/>
      <c r="BC61" s="718"/>
      <c r="BD61" s="718"/>
      <c r="BE61" s="718"/>
      <c r="BF61" s="718"/>
      <c r="BG61" s="718"/>
      <c r="BH61" s="718"/>
    </row>
    <row r="62" spans="1:68">
      <c r="A62" s="715"/>
      <c r="B62" s="715"/>
      <c r="C62" s="715"/>
      <c r="D62" s="715"/>
      <c r="E62" s="715"/>
      <c r="F62" s="715"/>
      <c r="G62" s="715"/>
      <c r="H62" s="715"/>
      <c r="I62" s="715"/>
      <c r="J62" s="715"/>
      <c r="K62" s="715"/>
      <c r="L62" s="715"/>
      <c r="M62" s="715"/>
      <c r="N62" s="715"/>
      <c r="O62" s="715"/>
      <c r="P62" s="715"/>
      <c r="Q62" s="715"/>
      <c r="R62" s="715"/>
      <c r="S62" s="715"/>
      <c r="T62" s="715"/>
      <c r="U62" s="715"/>
      <c r="V62" s="715"/>
      <c r="W62" s="715"/>
      <c r="X62" s="715"/>
      <c r="Y62" s="715"/>
      <c r="Z62" s="715"/>
      <c r="AA62" s="715"/>
      <c r="AB62" s="715"/>
      <c r="AC62" s="715"/>
      <c r="AD62" s="715"/>
      <c r="AE62" s="715"/>
      <c r="AF62" s="715"/>
      <c r="AG62" s="715"/>
      <c r="AH62" s="715"/>
      <c r="AI62" s="715"/>
      <c r="AJ62" s="715"/>
      <c r="AK62" s="715"/>
      <c r="AL62" s="715"/>
      <c r="AM62" s="715"/>
      <c r="AN62" s="715"/>
      <c r="AO62" s="715"/>
      <c r="AP62" s="715"/>
      <c r="AQ62" s="715"/>
      <c r="AR62" s="715"/>
      <c r="AS62" s="715"/>
      <c r="AT62" s="715"/>
      <c r="AU62" s="715"/>
      <c r="AV62" s="715"/>
      <c r="AW62" s="715"/>
      <c r="AX62" s="715"/>
      <c r="AY62" s="715"/>
      <c r="AZ62" s="715"/>
      <c r="BA62" s="715"/>
      <c r="BB62" s="715"/>
      <c r="BC62" s="715"/>
      <c r="BD62" s="715"/>
      <c r="BE62" s="715"/>
      <c r="BF62" s="715"/>
      <c r="BG62" s="715"/>
      <c r="BH62" s="715"/>
    </row>
    <row r="63" spans="1:68" ht="14.25" thickBot="1">
      <c r="A63" s="715"/>
      <c r="B63" s="715"/>
      <c r="C63" s="715"/>
      <c r="D63" s="715"/>
      <c r="E63" s="715"/>
      <c r="F63" s="715"/>
      <c r="G63" s="715"/>
      <c r="H63" s="715"/>
      <c r="I63" s="715"/>
      <c r="J63" s="715"/>
      <c r="K63" s="715"/>
      <c r="L63" s="715"/>
      <c r="M63" s="715"/>
      <c r="N63" s="715"/>
      <c r="O63" s="715"/>
      <c r="P63" s="715"/>
      <c r="Q63" s="715"/>
      <c r="R63" s="715"/>
      <c r="S63" s="715"/>
      <c r="T63" s="715"/>
      <c r="U63" s="715"/>
      <c r="V63" s="715"/>
      <c r="W63" s="715"/>
      <c r="X63" s="715"/>
      <c r="Y63" s="715"/>
      <c r="Z63" s="715"/>
      <c r="AA63" s="715"/>
      <c r="AB63" s="715"/>
      <c r="AC63" s="715"/>
      <c r="AD63" s="715"/>
      <c r="AE63" s="715"/>
      <c r="AF63" s="715"/>
      <c r="AG63" s="715"/>
      <c r="AH63" s="715"/>
      <c r="AI63" s="715"/>
      <c r="AJ63" s="715"/>
      <c r="AK63" s="715"/>
      <c r="AL63" s="715"/>
      <c r="AM63" s="715"/>
      <c r="AN63" s="715"/>
      <c r="AO63" s="715"/>
      <c r="AP63" s="715"/>
      <c r="AQ63" s="715"/>
      <c r="AR63" s="715"/>
      <c r="AS63" s="715"/>
      <c r="AT63" s="715"/>
      <c r="AU63" s="715"/>
      <c r="AV63" s="715"/>
      <c r="AW63" s="715"/>
      <c r="AX63" s="715"/>
      <c r="AY63" s="715"/>
      <c r="AZ63" s="715"/>
      <c r="BA63" s="715"/>
      <c r="BB63" s="715"/>
      <c r="BC63" s="715"/>
      <c r="BD63" s="715"/>
      <c r="BE63" s="715"/>
      <c r="BF63" s="715"/>
      <c r="BG63" s="715"/>
      <c r="BH63" s="716"/>
    </row>
    <row r="64" spans="1:68" s="1" customFormat="1" ht="24.75" thickBot="1">
      <c r="A64" s="1236" t="s">
        <v>1104</v>
      </c>
      <c r="B64" s="1236"/>
      <c r="C64" s="1236"/>
      <c r="D64" s="1236"/>
      <c r="E64" s="1236"/>
      <c r="F64" s="1236"/>
      <c r="G64" s="1236"/>
      <c r="H64" s="1236"/>
      <c r="I64" s="717"/>
      <c r="J64" s="717"/>
      <c r="K64" s="717"/>
      <c r="L64" s="717"/>
      <c r="M64" s="717"/>
      <c r="N64" s="717"/>
      <c r="O64" s="717"/>
      <c r="P64" s="717"/>
      <c r="Q64" s="717"/>
      <c r="R64" s="717"/>
      <c r="S64" s="717"/>
      <c r="T64" s="717"/>
      <c r="U64" s="717"/>
      <c r="V64" s="717"/>
      <c r="W64" s="717"/>
      <c r="X64" s="717"/>
      <c r="Y64" s="717"/>
      <c r="Z64" s="717"/>
      <c r="AA64" s="717"/>
      <c r="AB64" s="717"/>
      <c r="AC64" s="717"/>
      <c r="AD64" s="717"/>
      <c r="AE64" s="717"/>
      <c r="AF64" s="717"/>
      <c r="AG64" s="717"/>
      <c r="AH64" s="717"/>
      <c r="AI64" s="717"/>
      <c r="AJ64" s="717"/>
      <c r="AK64" s="717"/>
      <c r="AL64" s="1257" t="s">
        <v>1131</v>
      </c>
      <c r="AM64" s="1258"/>
      <c r="AN64" s="1258"/>
      <c r="AO64" s="1258"/>
      <c r="AP64" s="1258"/>
      <c r="AQ64" s="1259" t="str">
        <f>'01.入学願書'!AM11&amp;" "&amp;'01.入学願書'!AV11</f>
        <v>BUI VAN HAI</v>
      </c>
      <c r="AR64" s="1259"/>
      <c r="AS64" s="1259"/>
      <c r="AT64" s="1259"/>
      <c r="AU64" s="1259"/>
      <c r="AV64" s="1259"/>
      <c r="AW64" s="1259"/>
      <c r="AX64" s="1259"/>
      <c r="AY64" s="1259"/>
      <c r="AZ64" s="1259"/>
      <c r="BA64" s="1259"/>
      <c r="BB64" s="1259"/>
      <c r="BC64" s="1259"/>
      <c r="BD64" s="1259"/>
      <c r="BE64" s="1259"/>
      <c r="BF64" s="1259"/>
      <c r="BG64" s="1260"/>
      <c r="BH64" s="717"/>
    </row>
    <row r="65" spans="1:68" ht="24">
      <c r="A65" s="719"/>
      <c r="B65" s="719"/>
      <c r="C65" s="719"/>
      <c r="D65" s="719"/>
      <c r="E65" s="719"/>
      <c r="F65" s="719"/>
      <c r="G65" s="719"/>
      <c r="H65" s="719"/>
      <c r="I65" s="717"/>
      <c r="J65" s="717"/>
      <c r="K65" s="717"/>
      <c r="L65" s="717"/>
      <c r="M65" s="717"/>
      <c r="N65" s="717"/>
      <c r="O65" s="717"/>
      <c r="P65" s="717"/>
      <c r="Q65" s="717"/>
      <c r="R65" s="717"/>
      <c r="S65" s="717"/>
      <c r="T65" s="717"/>
      <c r="U65" s="717"/>
      <c r="V65" s="717"/>
      <c r="W65" s="717"/>
      <c r="X65" s="717"/>
      <c r="Y65" s="717"/>
      <c r="Z65" s="717"/>
      <c r="AA65" s="717"/>
      <c r="AB65" s="717"/>
      <c r="AC65" s="717"/>
      <c r="AD65" s="717"/>
      <c r="AE65" s="717"/>
      <c r="AF65" s="717"/>
      <c r="AG65" s="717"/>
      <c r="AH65" s="717"/>
      <c r="AI65" s="717"/>
      <c r="AJ65" s="717"/>
      <c r="AK65" s="717"/>
      <c r="AL65" s="717"/>
      <c r="AM65" s="717"/>
      <c r="AN65" s="717"/>
      <c r="AO65" s="717"/>
      <c r="AP65" s="717"/>
      <c r="AQ65" s="717"/>
      <c r="AR65" s="717"/>
      <c r="AS65" s="717"/>
      <c r="AT65" s="717"/>
      <c r="AU65" s="717"/>
      <c r="AV65" s="717"/>
      <c r="AW65" s="717"/>
      <c r="AX65" s="717"/>
      <c r="AY65" s="717"/>
      <c r="AZ65" s="717"/>
      <c r="BA65" s="717"/>
      <c r="BB65" s="717"/>
      <c r="BC65" s="717"/>
      <c r="BD65" s="717"/>
      <c r="BE65" s="717"/>
      <c r="BF65" s="717"/>
      <c r="BG65" s="717"/>
      <c r="BH65" s="717"/>
    </row>
    <row r="66" spans="1:68" ht="24">
      <c r="A66" s="719"/>
      <c r="B66" s="719"/>
      <c r="C66" s="722" t="s">
        <v>1114</v>
      </c>
      <c r="D66" s="719"/>
      <c r="E66" s="719"/>
      <c r="F66" s="719"/>
      <c r="G66" s="719"/>
      <c r="H66" s="719"/>
      <c r="I66" s="717"/>
      <c r="J66" s="717"/>
      <c r="K66" s="717"/>
      <c r="L66" s="717"/>
      <c r="M66" s="717"/>
      <c r="N66" s="717"/>
      <c r="O66" s="717"/>
      <c r="P66" s="717"/>
      <c r="Q66" s="717"/>
      <c r="R66" s="717"/>
      <c r="S66" s="717"/>
      <c r="T66" s="717"/>
      <c r="U66" s="717"/>
      <c r="V66" s="717"/>
      <c r="W66" s="717"/>
      <c r="X66" s="717"/>
      <c r="Y66" s="717"/>
      <c r="Z66" s="717"/>
      <c r="AA66" s="717"/>
      <c r="AB66" s="717"/>
      <c r="AC66" s="717"/>
      <c r="AD66" s="717"/>
      <c r="AE66" s="717"/>
      <c r="AF66" s="717"/>
      <c r="AG66" s="717"/>
      <c r="AH66" s="717"/>
      <c r="AI66" s="717"/>
      <c r="AJ66" s="717"/>
      <c r="AK66" s="717"/>
      <c r="AL66" s="717"/>
      <c r="AM66" s="717"/>
      <c r="AN66" s="717"/>
      <c r="AO66" s="717"/>
      <c r="AP66" s="717"/>
      <c r="AQ66" s="717"/>
      <c r="AR66" s="717"/>
      <c r="AS66" s="717"/>
      <c r="AT66" s="717"/>
      <c r="AU66" s="717"/>
      <c r="AV66" s="717"/>
      <c r="AW66" s="717"/>
      <c r="AX66" s="717"/>
      <c r="AY66" s="717"/>
      <c r="AZ66" s="717"/>
      <c r="BA66" s="717"/>
      <c r="BB66" s="717"/>
      <c r="BC66" s="717"/>
      <c r="BD66" s="717"/>
      <c r="BE66" s="717"/>
      <c r="BF66" s="717"/>
      <c r="BG66" s="717"/>
      <c r="BH66" s="717"/>
    </row>
    <row r="67" spans="1:68" ht="24">
      <c r="A67" s="719"/>
      <c r="B67" s="719"/>
      <c r="C67" s="722"/>
      <c r="D67" s="719"/>
      <c r="E67" s="719"/>
      <c r="F67" s="719"/>
      <c r="G67" s="719"/>
      <c r="H67" s="719"/>
      <c r="I67" s="717"/>
      <c r="J67" s="717"/>
      <c r="K67" s="717"/>
      <c r="L67" s="717"/>
      <c r="M67" s="717"/>
      <c r="N67" s="717"/>
      <c r="O67" s="717"/>
      <c r="P67" s="717"/>
      <c r="Q67" s="717"/>
      <c r="R67" s="717"/>
      <c r="S67" s="717"/>
      <c r="T67" s="717"/>
      <c r="U67" s="717"/>
      <c r="V67" s="717"/>
      <c r="W67" s="717"/>
      <c r="X67" s="717"/>
      <c r="Y67" s="717"/>
      <c r="Z67" s="717"/>
      <c r="AA67" s="717"/>
      <c r="AB67" s="717"/>
      <c r="AC67" s="717"/>
      <c r="AD67" s="717"/>
      <c r="AE67" s="717"/>
      <c r="AF67" s="717"/>
      <c r="AG67" s="717"/>
      <c r="AH67" s="717"/>
      <c r="AI67" s="717"/>
      <c r="AJ67" s="717"/>
      <c r="AK67" s="717"/>
      <c r="AL67" s="717"/>
      <c r="AM67" s="717"/>
      <c r="AN67" s="717"/>
      <c r="AO67" s="717"/>
      <c r="AP67" s="717"/>
      <c r="AQ67" s="717"/>
      <c r="AR67" s="717"/>
      <c r="AS67" s="717"/>
      <c r="AT67" s="717"/>
      <c r="AU67" s="717"/>
      <c r="AV67" s="717"/>
      <c r="AW67" s="717"/>
      <c r="AX67" s="717"/>
      <c r="AY67" s="717"/>
      <c r="AZ67" s="717"/>
      <c r="BA67" s="717"/>
      <c r="BB67" s="717"/>
      <c r="BC67" s="717"/>
      <c r="BD67" s="717"/>
      <c r="BE67" s="717"/>
      <c r="BF67" s="717"/>
      <c r="BG67" s="717"/>
      <c r="BH67" s="717"/>
    </row>
    <row r="68" spans="1:68" ht="18.75">
      <c r="A68" s="718"/>
      <c r="B68" s="718"/>
      <c r="C68" s="721"/>
      <c r="D68" s="721" t="s">
        <v>1115</v>
      </c>
      <c r="E68" s="721"/>
      <c r="F68" s="721"/>
      <c r="G68" s="721"/>
      <c r="H68" s="721"/>
      <c r="I68" s="718"/>
      <c r="J68" s="718"/>
      <c r="K68" s="718"/>
      <c r="L68" s="718"/>
      <c r="M68" s="718"/>
      <c r="N68" s="718"/>
      <c r="O68" s="718"/>
      <c r="P68" s="718"/>
      <c r="Q68" s="718"/>
      <c r="R68" s="718"/>
      <c r="S68" s="718"/>
      <c r="T68" s="718"/>
      <c r="U68" s="718"/>
      <c r="V68" s="718"/>
      <c r="W68" s="718"/>
      <c r="X68" s="718"/>
      <c r="Y68" s="718"/>
      <c r="Z68" s="718"/>
      <c r="AA68" s="718"/>
      <c r="AB68" s="718"/>
      <c r="AC68" s="718"/>
      <c r="AD68" s="718"/>
      <c r="AE68" s="718"/>
      <c r="AF68" s="718"/>
      <c r="AG68" s="718"/>
      <c r="AH68" s="718"/>
      <c r="AI68" s="718"/>
      <c r="AJ68" s="718"/>
      <c r="AK68" s="718"/>
      <c r="AL68" s="718"/>
      <c r="AM68" s="718"/>
      <c r="AN68" s="718"/>
      <c r="AO68" s="718"/>
      <c r="AP68" s="718"/>
      <c r="AQ68" s="718"/>
      <c r="AR68" s="718"/>
      <c r="AS68" s="718"/>
      <c r="AT68" s="718"/>
      <c r="AU68" s="718"/>
      <c r="AV68" s="718"/>
      <c r="AW68" s="718"/>
      <c r="AX68" s="718"/>
      <c r="AY68" s="718"/>
      <c r="AZ68" s="718"/>
      <c r="BA68" s="718"/>
      <c r="BB68" s="718"/>
      <c r="BC68" s="718"/>
      <c r="BD68" s="718"/>
      <c r="BE68" s="718"/>
      <c r="BF68" s="718"/>
      <c r="BG68" s="718"/>
      <c r="BH68" s="718"/>
    </row>
    <row r="69" spans="1:68" ht="19.5" thickBot="1">
      <c r="A69" s="718"/>
      <c r="B69" s="718"/>
      <c r="C69" s="721"/>
      <c r="D69" s="721"/>
      <c r="E69" s="721" t="s">
        <v>1116</v>
      </c>
      <c r="F69" s="721"/>
      <c r="G69" s="721"/>
      <c r="H69" s="721"/>
      <c r="I69" s="718"/>
      <c r="J69" s="718"/>
      <c r="K69" s="718"/>
      <c r="L69" s="718"/>
      <c r="M69" s="718"/>
      <c r="N69" s="718"/>
      <c r="O69" s="718"/>
      <c r="P69" s="718"/>
      <c r="Q69" s="718"/>
      <c r="R69" s="718"/>
      <c r="S69" s="718"/>
      <c r="T69" s="718"/>
      <c r="U69" s="718"/>
      <c r="V69" s="718"/>
      <c r="W69" s="718"/>
      <c r="X69" s="718"/>
      <c r="Y69" s="718"/>
      <c r="Z69" s="718"/>
      <c r="AA69" s="718"/>
      <c r="AB69" s="718"/>
      <c r="AC69" s="718"/>
      <c r="AD69" s="718"/>
      <c r="AE69" s="718"/>
      <c r="AF69" s="718"/>
      <c r="AG69" s="718"/>
      <c r="AH69" s="718"/>
      <c r="AI69" s="718"/>
      <c r="AJ69" s="718"/>
      <c r="AK69" s="718"/>
      <c r="AL69" s="718"/>
      <c r="AM69" s="718"/>
      <c r="AN69" s="718"/>
      <c r="AO69" s="718"/>
      <c r="AP69" s="718"/>
      <c r="AQ69" s="718"/>
      <c r="AR69" s="718"/>
      <c r="AS69" s="718"/>
      <c r="AT69" s="718"/>
      <c r="AU69" s="718"/>
      <c r="AV69" s="718"/>
      <c r="AW69" s="718"/>
      <c r="AX69" s="718"/>
      <c r="AY69" s="718"/>
      <c r="AZ69" s="718"/>
      <c r="BA69" s="718"/>
      <c r="BB69" s="718"/>
      <c r="BC69" s="718"/>
      <c r="BD69" s="718"/>
      <c r="BE69" s="718"/>
      <c r="BF69" s="718"/>
      <c r="BG69" s="718"/>
      <c r="BH69" s="718"/>
      <c r="BJ69" s="1" t="s">
        <v>1117</v>
      </c>
      <c r="BK69" s="12"/>
      <c r="BL69" s="12"/>
      <c r="BM69" s="12"/>
      <c r="BN69" s="12"/>
      <c r="BO69" s="12"/>
      <c r="BP69" s="12"/>
    </row>
    <row r="70" spans="1:68" ht="18.75">
      <c r="A70" s="718"/>
      <c r="B70" s="718"/>
      <c r="C70" s="718"/>
      <c r="D70" s="1261" t="s">
        <v>1322</v>
      </c>
      <c r="E70" s="1262"/>
      <c r="F70" s="1262"/>
      <c r="G70" s="1262"/>
      <c r="H70" s="1262"/>
      <c r="I70" s="1262"/>
      <c r="J70" s="1262"/>
      <c r="K70" s="1262"/>
      <c r="L70" s="1262"/>
      <c r="M70" s="1262"/>
      <c r="N70" s="1262"/>
      <c r="O70" s="1262"/>
      <c r="P70" s="1262"/>
      <c r="Q70" s="1262"/>
      <c r="R70" s="1262"/>
      <c r="S70" s="1262"/>
      <c r="T70" s="1262"/>
      <c r="U70" s="1262"/>
      <c r="V70" s="1262"/>
      <c r="W70" s="1262"/>
      <c r="X70" s="1262"/>
      <c r="Y70" s="1262"/>
      <c r="Z70" s="1262"/>
      <c r="AA70" s="1262"/>
      <c r="AB70" s="1262"/>
      <c r="AC70" s="1262"/>
      <c r="AD70" s="1262"/>
      <c r="AE70" s="1262"/>
      <c r="AF70" s="1262"/>
      <c r="AG70" s="1262"/>
      <c r="AH70" s="1262"/>
      <c r="AI70" s="1262"/>
      <c r="AJ70" s="1262"/>
      <c r="AK70" s="1262"/>
      <c r="AL70" s="1262"/>
      <c r="AM70" s="1262"/>
      <c r="AN70" s="1262"/>
      <c r="AO70" s="1262"/>
      <c r="AP70" s="1262"/>
      <c r="AQ70" s="1262"/>
      <c r="AR70" s="1262"/>
      <c r="AS70" s="1262"/>
      <c r="AT70" s="1262"/>
      <c r="AU70" s="1262"/>
      <c r="AV70" s="1262"/>
      <c r="AW70" s="1262"/>
      <c r="AX70" s="1262"/>
      <c r="AY70" s="1262"/>
      <c r="AZ70" s="1262"/>
      <c r="BA70" s="1262"/>
      <c r="BB70" s="1262"/>
      <c r="BC70" s="1262"/>
      <c r="BD70" s="1262"/>
      <c r="BE70" s="1262"/>
      <c r="BF70" s="1263"/>
      <c r="BG70" s="718"/>
      <c r="BH70" s="718"/>
      <c r="BJ70" s="1279" t="e">
        <f>[3]D70!B20</f>
        <v>#REF!</v>
      </c>
      <c r="BK70" s="1271"/>
      <c r="BL70" s="1271"/>
      <c r="BM70" s="1271"/>
      <c r="BN70" s="1271"/>
      <c r="BO70" s="1271"/>
      <c r="BP70" s="1272"/>
    </row>
    <row r="71" spans="1:68" ht="18.75">
      <c r="A71" s="718"/>
      <c r="B71" s="718"/>
      <c r="C71" s="718"/>
      <c r="D71" s="1264"/>
      <c r="E71" s="1265"/>
      <c r="F71" s="1265"/>
      <c r="G71" s="1265"/>
      <c r="H71" s="1265"/>
      <c r="I71" s="1265"/>
      <c r="J71" s="1265"/>
      <c r="K71" s="1265"/>
      <c r="L71" s="1265"/>
      <c r="M71" s="1265"/>
      <c r="N71" s="1265"/>
      <c r="O71" s="1265"/>
      <c r="P71" s="1265"/>
      <c r="Q71" s="1265"/>
      <c r="R71" s="1265"/>
      <c r="S71" s="1265"/>
      <c r="T71" s="1265"/>
      <c r="U71" s="1265"/>
      <c r="V71" s="1265"/>
      <c r="W71" s="1265"/>
      <c r="X71" s="1265"/>
      <c r="Y71" s="1265"/>
      <c r="Z71" s="1265"/>
      <c r="AA71" s="1265"/>
      <c r="AB71" s="1265"/>
      <c r="AC71" s="1265"/>
      <c r="AD71" s="1265"/>
      <c r="AE71" s="1265"/>
      <c r="AF71" s="1265"/>
      <c r="AG71" s="1265"/>
      <c r="AH71" s="1265"/>
      <c r="AI71" s="1265"/>
      <c r="AJ71" s="1265"/>
      <c r="AK71" s="1265"/>
      <c r="AL71" s="1265"/>
      <c r="AM71" s="1265"/>
      <c r="AN71" s="1265"/>
      <c r="AO71" s="1265"/>
      <c r="AP71" s="1265"/>
      <c r="AQ71" s="1265"/>
      <c r="AR71" s="1265"/>
      <c r="AS71" s="1265"/>
      <c r="AT71" s="1265"/>
      <c r="AU71" s="1265"/>
      <c r="AV71" s="1265"/>
      <c r="AW71" s="1265"/>
      <c r="AX71" s="1265"/>
      <c r="AY71" s="1265"/>
      <c r="AZ71" s="1265"/>
      <c r="BA71" s="1265"/>
      <c r="BB71" s="1265"/>
      <c r="BC71" s="1265"/>
      <c r="BD71" s="1265"/>
      <c r="BE71" s="1265"/>
      <c r="BF71" s="1266"/>
      <c r="BG71" s="718"/>
      <c r="BH71" s="718"/>
      <c r="BJ71" s="1273"/>
      <c r="BK71" s="1274"/>
      <c r="BL71" s="1274"/>
      <c r="BM71" s="1274"/>
      <c r="BN71" s="1274"/>
      <c r="BO71" s="1274"/>
      <c r="BP71" s="1275"/>
    </row>
    <row r="72" spans="1:68" ht="18.75">
      <c r="A72" s="718"/>
      <c r="B72" s="718"/>
      <c r="C72" s="718"/>
      <c r="D72" s="1264"/>
      <c r="E72" s="1265"/>
      <c r="F72" s="1265"/>
      <c r="G72" s="1265"/>
      <c r="H72" s="1265"/>
      <c r="I72" s="1265"/>
      <c r="J72" s="1265"/>
      <c r="K72" s="1265"/>
      <c r="L72" s="1265"/>
      <c r="M72" s="1265"/>
      <c r="N72" s="1265"/>
      <c r="O72" s="1265"/>
      <c r="P72" s="1265"/>
      <c r="Q72" s="1265"/>
      <c r="R72" s="1265"/>
      <c r="S72" s="1265"/>
      <c r="T72" s="1265"/>
      <c r="U72" s="1265"/>
      <c r="V72" s="1265"/>
      <c r="W72" s="1265"/>
      <c r="X72" s="1265"/>
      <c r="Y72" s="1265"/>
      <c r="Z72" s="1265"/>
      <c r="AA72" s="1265"/>
      <c r="AB72" s="1265"/>
      <c r="AC72" s="1265"/>
      <c r="AD72" s="1265"/>
      <c r="AE72" s="1265"/>
      <c r="AF72" s="1265"/>
      <c r="AG72" s="1265"/>
      <c r="AH72" s="1265"/>
      <c r="AI72" s="1265"/>
      <c r="AJ72" s="1265"/>
      <c r="AK72" s="1265"/>
      <c r="AL72" s="1265"/>
      <c r="AM72" s="1265"/>
      <c r="AN72" s="1265"/>
      <c r="AO72" s="1265"/>
      <c r="AP72" s="1265"/>
      <c r="AQ72" s="1265"/>
      <c r="AR72" s="1265"/>
      <c r="AS72" s="1265"/>
      <c r="AT72" s="1265"/>
      <c r="AU72" s="1265"/>
      <c r="AV72" s="1265"/>
      <c r="AW72" s="1265"/>
      <c r="AX72" s="1265"/>
      <c r="AY72" s="1265"/>
      <c r="AZ72" s="1265"/>
      <c r="BA72" s="1265"/>
      <c r="BB72" s="1265"/>
      <c r="BC72" s="1265"/>
      <c r="BD72" s="1265"/>
      <c r="BE72" s="1265"/>
      <c r="BF72" s="1266"/>
      <c r="BG72" s="718"/>
      <c r="BH72" s="718"/>
      <c r="BJ72" s="1273"/>
      <c r="BK72" s="1274"/>
      <c r="BL72" s="1274"/>
      <c r="BM72" s="1274"/>
      <c r="BN72" s="1274"/>
      <c r="BO72" s="1274"/>
      <c r="BP72" s="1275"/>
    </row>
    <row r="73" spans="1:68" ht="18.75">
      <c r="A73" s="718"/>
      <c r="B73" s="718"/>
      <c r="C73" s="718"/>
      <c r="D73" s="1264"/>
      <c r="E73" s="1265"/>
      <c r="F73" s="1265"/>
      <c r="G73" s="1265"/>
      <c r="H73" s="1265"/>
      <c r="I73" s="1265"/>
      <c r="J73" s="1265"/>
      <c r="K73" s="1265"/>
      <c r="L73" s="1265"/>
      <c r="M73" s="1265"/>
      <c r="N73" s="1265"/>
      <c r="O73" s="1265"/>
      <c r="P73" s="1265"/>
      <c r="Q73" s="1265"/>
      <c r="R73" s="1265"/>
      <c r="S73" s="1265"/>
      <c r="T73" s="1265"/>
      <c r="U73" s="1265"/>
      <c r="V73" s="1265"/>
      <c r="W73" s="1265"/>
      <c r="X73" s="1265"/>
      <c r="Y73" s="1265"/>
      <c r="Z73" s="1265"/>
      <c r="AA73" s="1265"/>
      <c r="AB73" s="1265"/>
      <c r="AC73" s="1265"/>
      <c r="AD73" s="1265"/>
      <c r="AE73" s="1265"/>
      <c r="AF73" s="1265"/>
      <c r="AG73" s="1265"/>
      <c r="AH73" s="1265"/>
      <c r="AI73" s="1265"/>
      <c r="AJ73" s="1265"/>
      <c r="AK73" s="1265"/>
      <c r="AL73" s="1265"/>
      <c r="AM73" s="1265"/>
      <c r="AN73" s="1265"/>
      <c r="AO73" s="1265"/>
      <c r="AP73" s="1265"/>
      <c r="AQ73" s="1265"/>
      <c r="AR73" s="1265"/>
      <c r="AS73" s="1265"/>
      <c r="AT73" s="1265"/>
      <c r="AU73" s="1265"/>
      <c r="AV73" s="1265"/>
      <c r="AW73" s="1265"/>
      <c r="AX73" s="1265"/>
      <c r="AY73" s="1265"/>
      <c r="AZ73" s="1265"/>
      <c r="BA73" s="1265"/>
      <c r="BB73" s="1265"/>
      <c r="BC73" s="1265"/>
      <c r="BD73" s="1265"/>
      <c r="BE73" s="1265"/>
      <c r="BF73" s="1266"/>
      <c r="BG73" s="718"/>
      <c r="BH73" s="718"/>
      <c r="BJ73" s="1273"/>
      <c r="BK73" s="1274"/>
      <c r="BL73" s="1274"/>
      <c r="BM73" s="1274"/>
      <c r="BN73" s="1274"/>
      <c r="BO73" s="1274"/>
      <c r="BP73" s="1275"/>
    </row>
    <row r="74" spans="1:68" ht="18.75">
      <c r="A74" s="718"/>
      <c r="B74" s="718"/>
      <c r="C74" s="718"/>
      <c r="D74" s="1264"/>
      <c r="E74" s="1265"/>
      <c r="F74" s="1265"/>
      <c r="G74" s="1265"/>
      <c r="H74" s="1265"/>
      <c r="I74" s="1265"/>
      <c r="J74" s="1265"/>
      <c r="K74" s="1265"/>
      <c r="L74" s="1265"/>
      <c r="M74" s="1265"/>
      <c r="N74" s="1265"/>
      <c r="O74" s="1265"/>
      <c r="P74" s="1265"/>
      <c r="Q74" s="1265"/>
      <c r="R74" s="1265"/>
      <c r="S74" s="1265"/>
      <c r="T74" s="1265"/>
      <c r="U74" s="1265"/>
      <c r="V74" s="1265"/>
      <c r="W74" s="1265"/>
      <c r="X74" s="1265"/>
      <c r="Y74" s="1265"/>
      <c r="Z74" s="1265"/>
      <c r="AA74" s="1265"/>
      <c r="AB74" s="1265"/>
      <c r="AC74" s="1265"/>
      <c r="AD74" s="1265"/>
      <c r="AE74" s="1265"/>
      <c r="AF74" s="1265"/>
      <c r="AG74" s="1265"/>
      <c r="AH74" s="1265"/>
      <c r="AI74" s="1265"/>
      <c r="AJ74" s="1265"/>
      <c r="AK74" s="1265"/>
      <c r="AL74" s="1265"/>
      <c r="AM74" s="1265"/>
      <c r="AN74" s="1265"/>
      <c r="AO74" s="1265"/>
      <c r="AP74" s="1265"/>
      <c r="AQ74" s="1265"/>
      <c r="AR74" s="1265"/>
      <c r="AS74" s="1265"/>
      <c r="AT74" s="1265"/>
      <c r="AU74" s="1265"/>
      <c r="AV74" s="1265"/>
      <c r="AW74" s="1265"/>
      <c r="AX74" s="1265"/>
      <c r="AY74" s="1265"/>
      <c r="AZ74" s="1265"/>
      <c r="BA74" s="1265"/>
      <c r="BB74" s="1265"/>
      <c r="BC74" s="1265"/>
      <c r="BD74" s="1265"/>
      <c r="BE74" s="1265"/>
      <c r="BF74" s="1266"/>
      <c r="BG74" s="718"/>
      <c r="BH74" s="718"/>
      <c r="BJ74" s="1273"/>
      <c r="BK74" s="1274"/>
      <c r="BL74" s="1274"/>
      <c r="BM74" s="1274"/>
      <c r="BN74" s="1274"/>
      <c r="BO74" s="1274"/>
      <c r="BP74" s="1275"/>
    </row>
    <row r="75" spans="1:68" ht="18.75">
      <c r="A75" s="718"/>
      <c r="B75" s="718"/>
      <c r="C75" s="718"/>
      <c r="D75" s="1264"/>
      <c r="E75" s="1265"/>
      <c r="F75" s="1265"/>
      <c r="G75" s="1265"/>
      <c r="H75" s="1265"/>
      <c r="I75" s="1265"/>
      <c r="J75" s="1265"/>
      <c r="K75" s="1265"/>
      <c r="L75" s="1265"/>
      <c r="M75" s="1265"/>
      <c r="N75" s="1265"/>
      <c r="O75" s="1265"/>
      <c r="P75" s="1265"/>
      <c r="Q75" s="1265"/>
      <c r="R75" s="1265"/>
      <c r="S75" s="1265"/>
      <c r="T75" s="1265"/>
      <c r="U75" s="1265"/>
      <c r="V75" s="1265"/>
      <c r="W75" s="1265"/>
      <c r="X75" s="1265"/>
      <c r="Y75" s="1265"/>
      <c r="Z75" s="1265"/>
      <c r="AA75" s="1265"/>
      <c r="AB75" s="1265"/>
      <c r="AC75" s="1265"/>
      <c r="AD75" s="1265"/>
      <c r="AE75" s="1265"/>
      <c r="AF75" s="1265"/>
      <c r="AG75" s="1265"/>
      <c r="AH75" s="1265"/>
      <c r="AI75" s="1265"/>
      <c r="AJ75" s="1265"/>
      <c r="AK75" s="1265"/>
      <c r="AL75" s="1265"/>
      <c r="AM75" s="1265"/>
      <c r="AN75" s="1265"/>
      <c r="AO75" s="1265"/>
      <c r="AP75" s="1265"/>
      <c r="AQ75" s="1265"/>
      <c r="AR75" s="1265"/>
      <c r="AS75" s="1265"/>
      <c r="AT75" s="1265"/>
      <c r="AU75" s="1265"/>
      <c r="AV75" s="1265"/>
      <c r="AW75" s="1265"/>
      <c r="AX75" s="1265"/>
      <c r="AY75" s="1265"/>
      <c r="AZ75" s="1265"/>
      <c r="BA75" s="1265"/>
      <c r="BB75" s="1265"/>
      <c r="BC75" s="1265"/>
      <c r="BD75" s="1265"/>
      <c r="BE75" s="1265"/>
      <c r="BF75" s="1266"/>
      <c r="BG75" s="718"/>
      <c r="BH75" s="718"/>
      <c r="BJ75" s="1273"/>
      <c r="BK75" s="1274"/>
      <c r="BL75" s="1274"/>
      <c r="BM75" s="1274"/>
      <c r="BN75" s="1274"/>
      <c r="BO75" s="1274"/>
      <c r="BP75" s="1275"/>
    </row>
    <row r="76" spans="1:68" ht="18.75">
      <c r="A76" s="718"/>
      <c r="B76" s="718"/>
      <c r="C76" s="718"/>
      <c r="D76" s="1264"/>
      <c r="E76" s="1265"/>
      <c r="F76" s="1265"/>
      <c r="G76" s="1265"/>
      <c r="H76" s="1265"/>
      <c r="I76" s="1265"/>
      <c r="J76" s="1265"/>
      <c r="K76" s="1265"/>
      <c r="L76" s="1265"/>
      <c r="M76" s="1265"/>
      <c r="N76" s="1265"/>
      <c r="O76" s="1265"/>
      <c r="P76" s="1265"/>
      <c r="Q76" s="1265"/>
      <c r="R76" s="1265"/>
      <c r="S76" s="1265"/>
      <c r="T76" s="1265"/>
      <c r="U76" s="1265"/>
      <c r="V76" s="1265"/>
      <c r="W76" s="1265"/>
      <c r="X76" s="1265"/>
      <c r="Y76" s="1265"/>
      <c r="Z76" s="1265"/>
      <c r="AA76" s="1265"/>
      <c r="AB76" s="1265"/>
      <c r="AC76" s="1265"/>
      <c r="AD76" s="1265"/>
      <c r="AE76" s="1265"/>
      <c r="AF76" s="1265"/>
      <c r="AG76" s="1265"/>
      <c r="AH76" s="1265"/>
      <c r="AI76" s="1265"/>
      <c r="AJ76" s="1265"/>
      <c r="AK76" s="1265"/>
      <c r="AL76" s="1265"/>
      <c r="AM76" s="1265"/>
      <c r="AN76" s="1265"/>
      <c r="AO76" s="1265"/>
      <c r="AP76" s="1265"/>
      <c r="AQ76" s="1265"/>
      <c r="AR76" s="1265"/>
      <c r="AS76" s="1265"/>
      <c r="AT76" s="1265"/>
      <c r="AU76" s="1265"/>
      <c r="AV76" s="1265"/>
      <c r="AW76" s="1265"/>
      <c r="AX76" s="1265"/>
      <c r="AY76" s="1265"/>
      <c r="AZ76" s="1265"/>
      <c r="BA76" s="1265"/>
      <c r="BB76" s="1265"/>
      <c r="BC76" s="1265"/>
      <c r="BD76" s="1265"/>
      <c r="BE76" s="1265"/>
      <c r="BF76" s="1266"/>
      <c r="BG76" s="718"/>
      <c r="BH76" s="718"/>
      <c r="BJ76" s="1273"/>
      <c r="BK76" s="1274"/>
      <c r="BL76" s="1274"/>
      <c r="BM76" s="1274"/>
      <c r="BN76" s="1274"/>
      <c r="BO76" s="1274"/>
      <c r="BP76" s="1275"/>
    </row>
    <row r="77" spans="1:68" ht="18.75">
      <c r="A77" s="718"/>
      <c r="B77" s="718"/>
      <c r="C77" s="718"/>
      <c r="D77" s="1264"/>
      <c r="E77" s="1265"/>
      <c r="F77" s="1265"/>
      <c r="G77" s="1265"/>
      <c r="H77" s="1265"/>
      <c r="I77" s="1265"/>
      <c r="J77" s="1265"/>
      <c r="K77" s="1265"/>
      <c r="L77" s="1265"/>
      <c r="M77" s="1265"/>
      <c r="N77" s="1265"/>
      <c r="O77" s="1265"/>
      <c r="P77" s="1265"/>
      <c r="Q77" s="1265"/>
      <c r="R77" s="1265"/>
      <c r="S77" s="1265"/>
      <c r="T77" s="1265"/>
      <c r="U77" s="1265"/>
      <c r="V77" s="1265"/>
      <c r="W77" s="1265"/>
      <c r="X77" s="1265"/>
      <c r="Y77" s="1265"/>
      <c r="Z77" s="1265"/>
      <c r="AA77" s="1265"/>
      <c r="AB77" s="1265"/>
      <c r="AC77" s="1265"/>
      <c r="AD77" s="1265"/>
      <c r="AE77" s="1265"/>
      <c r="AF77" s="1265"/>
      <c r="AG77" s="1265"/>
      <c r="AH77" s="1265"/>
      <c r="AI77" s="1265"/>
      <c r="AJ77" s="1265"/>
      <c r="AK77" s="1265"/>
      <c r="AL77" s="1265"/>
      <c r="AM77" s="1265"/>
      <c r="AN77" s="1265"/>
      <c r="AO77" s="1265"/>
      <c r="AP77" s="1265"/>
      <c r="AQ77" s="1265"/>
      <c r="AR77" s="1265"/>
      <c r="AS77" s="1265"/>
      <c r="AT77" s="1265"/>
      <c r="AU77" s="1265"/>
      <c r="AV77" s="1265"/>
      <c r="AW77" s="1265"/>
      <c r="AX77" s="1265"/>
      <c r="AY77" s="1265"/>
      <c r="AZ77" s="1265"/>
      <c r="BA77" s="1265"/>
      <c r="BB77" s="1265"/>
      <c r="BC77" s="1265"/>
      <c r="BD77" s="1265"/>
      <c r="BE77" s="1265"/>
      <c r="BF77" s="1266"/>
      <c r="BG77" s="718"/>
      <c r="BH77" s="718"/>
      <c r="BJ77" s="1273"/>
      <c r="BK77" s="1274"/>
      <c r="BL77" s="1274"/>
      <c r="BM77" s="1274"/>
      <c r="BN77" s="1274"/>
      <c r="BO77" s="1274"/>
      <c r="BP77" s="1275"/>
    </row>
    <row r="78" spans="1:68" ht="18.75">
      <c r="A78" s="718"/>
      <c r="B78" s="718"/>
      <c r="C78" s="718"/>
      <c r="D78" s="1264"/>
      <c r="E78" s="1265"/>
      <c r="F78" s="1265"/>
      <c r="G78" s="1265"/>
      <c r="H78" s="1265"/>
      <c r="I78" s="1265"/>
      <c r="J78" s="1265"/>
      <c r="K78" s="1265"/>
      <c r="L78" s="1265"/>
      <c r="M78" s="1265"/>
      <c r="N78" s="1265"/>
      <c r="O78" s="1265"/>
      <c r="P78" s="1265"/>
      <c r="Q78" s="1265"/>
      <c r="R78" s="1265"/>
      <c r="S78" s="1265"/>
      <c r="T78" s="1265"/>
      <c r="U78" s="1265"/>
      <c r="V78" s="1265"/>
      <c r="W78" s="1265"/>
      <c r="X78" s="1265"/>
      <c r="Y78" s="1265"/>
      <c r="Z78" s="1265"/>
      <c r="AA78" s="1265"/>
      <c r="AB78" s="1265"/>
      <c r="AC78" s="1265"/>
      <c r="AD78" s="1265"/>
      <c r="AE78" s="1265"/>
      <c r="AF78" s="1265"/>
      <c r="AG78" s="1265"/>
      <c r="AH78" s="1265"/>
      <c r="AI78" s="1265"/>
      <c r="AJ78" s="1265"/>
      <c r="AK78" s="1265"/>
      <c r="AL78" s="1265"/>
      <c r="AM78" s="1265"/>
      <c r="AN78" s="1265"/>
      <c r="AO78" s="1265"/>
      <c r="AP78" s="1265"/>
      <c r="AQ78" s="1265"/>
      <c r="AR78" s="1265"/>
      <c r="AS78" s="1265"/>
      <c r="AT78" s="1265"/>
      <c r="AU78" s="1265"/>
      <c r="AV78" s="1265"/>
      <c r="AW78" s="1265"/>
      <c r="AX78" s="1265"/>
      <c r="AY78" s="1265"/>
      <c r="AZ78" s="1265"/>
      <c r="BA78" s="1265"/>
      <c r="BB78" s="1265"/>
      <c r="BC78" s="1265"/>
      <c r="BD78" s="1265"/>
      <c r="BE78" s="1265"/>
      <c r="BF78" s="1266"/>
      <c r="BG78" s="718"/>
      <c r="BH78" s="718"/>
      <c r="BJ78" s="1273"/>
      <c r="BK78" s="1274"/>
      <c r="BL78" s="1274"/>
      <c r="BM78" s="1274"/>
      <c r="BN78" s="1274"/>
      <c r="BO78" s="1274"/>
      <c r="BP78" s="1275"/>
    </row>
    <row r="79" spans="1:68" ht="18.75">
      <c r="A79" s="718"/>
      <c r="B79" s="718"/>
      <c r="C79" s="718"/>
      <c r="D79" s="1264"/>
      <c r="E79" s="1265"/>
      <c r="F79" s="1265"/>
      <c r="G79" s="1265"/>
      <c r="H79" s="1265"/>
      <c r="I79" s="1265"/>
      <c r="J79" s="1265"/>
      <c r="K79" s="1265"/>
      <c r="L79" s="1265"/>
      <c r="M79" s="1265"/>
      <c r="N79" s="1265"/>
      <c r="O79" s="1265"/>
      <c r="P79" s="1265"/>
      <c r="Q79" s="1265"/>
      <c r="R79" s="1265"/>
      <c r="S79" s="1265"/>
      <c r="T79" s="1265"/>
      <c r="U79" s="1265"/>
      <c r="V79" s="1265"/>
      <c r="W79" s="1265"/>
      <c r="X79" s="1265"/>
      <c r="Y79" s="1265"/>
      <c r="Z79" s="1265"/>
      <c r="AA79" s="1265"/>
      <c r="AB79" s="1265"/>
      <c r="AC79" s="1265"/>
      <c r="AD79" s="1265"/>
      <c r="AE79" s="1265"/>
      <c r="AF79" s="1265"/>
      <c r="AG79" s="1265"/>
      <c r="AH79" s="1265"/>
      <c r="AI79" s="1265"/>
      <c r="AJ79" s="1265"/>
      <c r="AK79" s="1265"/>
      <c r="AL79" s="1265"/>
      <c r="AM79" s="1265"/>
      <c r="AN79" s="1265"/>
      <c r="AO79" s="1265"/>
      <c r="AP79" s="1265"/>
      <c r="AQ79" s="1265"/>
      <c r="AR79" s="1265"/>
      <c r="AS79" s="1265"/>
      <c r="AT79" s="1265"/>
      <c r="AU79" s="1265"/>
      <c r="AV79" s="1265"/>
      <c r="AW79" s="1265"/>
      <c r="AX79" s="1265"/>
      <c r="AY79" s="1265"/>
      <c r="AZ79" s="1265"/>
      <c r="BA79" s="1265"/>
      <c r="BB79" s="1265"/>
      <c r="BC79" s="1265"/>
      <c r="BD79" s="1265"/>
      <c r="BE79" s="1265"/>
      <c r="BF79" s="1266"/>
      <c r="BG79" s="718"/>
      <c r="BH79" s="718"/>
      <c r="BJ79" s="1273"/>
      <c r="BK79" s="1274"/>
      <c r="BL79" s="1274"/>
      <c r="BM79" s="1274"/>
      <c r="BN79" s="1274"/>
      <c r="BO79" s="1274"/>
      <c r="BP79" s="1275"/>
    </row>
    <row r="80" spans="1:68" ht="19.5" thickBot="1">
      <c r="A80" s="718"/>
      <c r="B80" s="718"/>
      <c r="C80" s="718"/>
      <c r="D80" s="1267"/>
      <c r="E80" s="1268"/>
      <c r="F80" s="1268"/>
      <c r="G80" s="1268"/>
      <c r="H80" s="1268"/>
      <c r="I80" s="1268"/>
      <c r="J80" s="1268"/>
      <c r="K80" s="1268"/>
      <c r="L80" s="1268"/>
      <c r="M80" s="1268"/>
      <c r="N80" s="1268"/>
      <c r="O80" s="1268"/>
      <c r="P80" s="1268"/>
      <c r="Q80" s="1268"/>
      <c r="R80" s="1268"/>
      <c r="S80" s="1268"/>
      <c r="T80" s="1268"/>
      <c r="U80" s="1268"/>
      <c r="V80" s="1268"/>
      <c r="W80" s="1268"/>
      <c r="X80" s="1268"/>
      <c r="Y80" s="1268"/>
      <c r="Z80" s="1268"/>
      <c r="AA80" s="1268"/>
      <c r="AB80" s="1268"/>
      <c r="AC80" s="1268"/>
      <c r="AD80" s="1268"/>
      <c r="AE80" s="1268"/>
      <c r="AF80" s="1268"/>
      <c r="AG80" s="1268"/>
      <c r="AH80" s="1268"/>
      <c r="AI80" s="1268"/>
      <c r="AJ80" s="1268"/>
      <c r="AK80" s="1268"/>
      <c r="AL80" s="1268"/>
      <c r="AM80" s="1268"/>
      <c r="AN80" s="1268"/>
      <c r="AO80" s="1268"/>
      <c r="AP80" s="1268"/>
      <c r="AQ80" s="1268"/>
      <c r="AR80" s="1268"/>
      <c r="AS80" s="1268"/>
      <c r="AT80" s="1268"/>
      <c r="AU80" s="1268"/>
      <c r="AV80" s="1268"/>
      <c r="AW80" s="1268"/>
      <c r="AX80" s="1268"/>
      <c r="AY80" s="1268"/>
      <c r="AZ80" s="1268"/>
      <c r="BA80" s="1268"/>
      <c r="BB80" s="1268"/>
      <c r="BC80" s="1268"/>
      <c r="BD80" s="1268"/>
      <c r="BE80" s="1268"/>
      <c r="BF80" s="1269"/>
      <c r="BG80" s="718"/>
      <c r="BH80" s="718"/>
      <c r="BJ80" s="1276"/>
      <c r="BK80" s="1277"/>
      <c r="BL80" s="1277"/>
      <c r="BM80" s="1277"/>
      <c r="BN80" s="1277"/>
      <c r="BO80" s="1277"/>
      <c r="BP80" s="1278"/>
    </row>
    <row r="81" spans="1:60" ht="18.75">
      <c r="A81" s="718"/>
      <c r="B81" s="718"/>
      <c r="C81" s="718"/>
      <c r="D81" s="718"/>
      <c r="E81" s="718"/>
      <c r="F81" s="718"/>
      <c r="G81" s="718"/>
      <c r="H81" s="718"/>
      <c r="I81" s="718"/>
      <c r="J81" s="718"/>
      <c r="K81" s="718"/>
      <c r="L81" s="718"/>
      <c r="M81" s="718"/>
      <c r="N81" s="718"/>
      <c r="O81" s="718"/>
      <c r="P81" s="718"/>
      <c r="Q81" s="718"/>
      <c r="R81" s="718"/>
      <c r="S81" s="718"/>
      <c r="T81" s="718"/>
      <c r="U81" s="718"/>
      <c r="V81" s="718"/>
      <c r="W81" s="718"/>
      <c r="X81" s="718"/>
      <c r="Y81" s="718"/>
      <c r="Z81" s="718"/>
      <c r="AA81" s="718"/>
      <c r="AB81" s="718"/>
      <c r="AC81" s="718"/>
      <c r="AD81" s="718"/>
      <c r="AE81" s="718"/>
      <c r="AF81" s="718"/>
      <c r="AG81" s="718"/>
      <c r="AH81" s="718"/>
      <c r="AI81" s="718"/>
      <c r="AJ81" s="718"/>
      <c r="AK81" s="718"/>
      <c r="AL81" s="718"/>
      <c r="AM81" s="718"/>
      <c r="AN81" s="718"/>
      <c r="AO81" s="718"/>
      <c r="AP81" s="718"/>
      <c r="AQ81" s="718"/>
      <c r="AR81" s="718"/>
      <c r="AS81" s="718"/>
      <c r="AT81" s="718"/>
      <c r="AU81" s="718"/>
      <c r="AV81" s="718"/>
      <c r="AW81" s="718"/>
      <c r="AX81" s="718"/>
      <c r="AY81" s="718"/>
      <c r="AZ81" s="718"/>
      <c r="BA81" s="718"/>
      <c r="BB81" s="718"/>
      <c r="BC81" s="718"/>
      <c r="BD81" s="718"/>
      <c r="BE81" s="718"/>
      <c r="BF81" s="718"/>
      <c r="BG81" s="718"/>
      <c r="BH81" s="718"/>
    </row>
    <row r="82" spans="1:60" ht="18.75">
      <c r="A82" s="718"/>
      <c r="B82" s="718"/>
      <c r="C82" s="718"/>
      <c r="D82" s="718"/>
      <c r="E82" s="718"/>
      <c r="F82" s="718"/>
      <c r="G82" s="718"/>
      <c r="H82" s="718"/>
      <c r="I82" s="718"/>
      <c r="J82" s="718"/>
      <c r="K82" s="718"/>
      <c r="L82" s="718"/>
      <c r="M82" s="718"/>
      <c r="N82" s="718"/>
      <c r="O82" s="718"/>
      <c r="P82" s="718"/>
      <c r="Q82" s="718"/>
      <c r="R82" s="718"/>
      <c r="S82" s="718"/>
      <c r="T82" s="718"/>
      <c r="U82" s="718"/>
      <c r="V82" s="718"/>
      <c r="W82" s="718"/>
      <c r="X82" s="718"/>
      <c r="Y82" s="718"/>
      <c r="Z82" s="718"/>
      <c r="AA82" s="718"/>
      <c r="AB82" s="718"/>
      <c r="AC82" s="718"/>
      <c r="AD82" s="718"/>
      <c r="AE82" s="718"/>
      <c r="AF82" s="718"/>
      <c r="AG82" s="718"/>
      <c r="AH82" s="718"/>
      <c r="AI82" s="718"/>
      <c r="AJ82" s="718"/>
      <c r="AK82" s="718"/>
      <c r="AL82" s="718"/>
      <c r="AM82" s="718"/>
      <c r="AN82" s="718"/>
      <c r="AO82" s="718"/>
      <c r="AP82" s="718"/>
      <c r="AQ82" s="718"/>
      <c r="AR82" s="718"/>
      <c r="AS82" s="718"/>
      <c r="AT82" s="718"/>
      <c r="AU82" s="718"/>
      <c r="AV82" s="718"/>
      <c r="AW82" s="718"/>
      <c r="AX82" s="718"/>
      <c r="AY82" s="718"/>
      <c r="AZ82" s="718"/>
      <c r="BA82" s="718"/>
      <c r="BB82" s="718"/>
      <c r="BC82" s="718"/>
      <c r="BD82" s="718"/>
      <c r="BE82" s="718"/>
      <c r="BF82" s="718"/>
      <c r="BG82" s="718"/>
      <c r="BH82" s="718"/>
    </row>
    <row r="83" spans="1:60" ht="19.5" thickBot="1">
      <c r="A83" s="718"/>
      <c r="B83" s="718"/>
      <c r="C83" s="718"/>
      <c r="D83" s="718"/>
      <c r="E83" s="718" t="s">
        <v>1113</v>
      </c>
      <c r="F83" s="718"/>
      <c r="G83" s="718"/>
      <c r="H83" s="718"/>
      <c r="I83" s="718"/>
      <c r="J83" s="718"/>
      <c r="K83" s="718"/>
      <c r="L83" s="718"/>
      <c r="M83" s="718"/>
      <c r="N83" s="718"/>
      <c r="O83" s="718"/>
      <c r="P83" s="718"/>
      <c r="Q83" s="718"/>
      <c r="R83" s="718"/>
      <c r="S83" s="718"/>
      <c r="T83" s="718"/>
      <c r="U83" s="718"/>
      <c r="V83" s="718"/>
      <c r="W83" s="718"/>
      <c r="X83" s="718"/>
      <c r="Y83" s="718"/>
      <c r="Z83" s="718"/>
      <c r="AA83" s="718"/>
      <c r="AB83" s="718"/>
      <c r="AC83" s="718"/>
      <c r="AD83" s="718"/>
      <c r="AE83" s="718"/>
      <c r="AF83" s="718"/>
      <c r="AG83" s="718"/>
      <c r="AH83" s="718"/>
      <c r="AI83" s="718"/>
      <c r="AJ83" s="718"/>
      <c r="AK83" s="718"/>
      <c r="AL83" s="718"/>
      <c r="AM83" s="718"/>
      <c r="AN83" s="718"/>
      <c r="AO83" s="718"/>
      <c r="AP83" s="718"/>
      <c r="AQ83" s="718"/>
      <c r="AR83" s="718"/>
      <c r="AS83" s="718"/>
      <c r="AT83" s="718"/>
      <c r="AU83" s="718"/>
      <c r="AV83" s="718"/>
      <c r="AW83" s="718"/>
      <c r="AX83" s="718"/>
      <c r="AY83" s="718"/>
      <c r="AZ83" s="718"/>
      <c r="BA83" s="718"/>
      <c r="BB83" s="718"/>
      <c r="BC83" s="718"/>
      <c r="BD83" s="718"/>
      <c r="BE83" s="718"/>
      <c r="BF83" s="718"/>
      <c r="BG83" s="718"/>
      <c r="BH83" s="718"/>
    </row>
    <row r="84" spans="1:60" ht="18.75">
      <c r="A84" s="718"/>
      <c r="B84" s="718"/>
      <c r="C84" s="718"/>
      <c r="D84" s="718"/>
      <c r="E84" s="1246"/>
      <c r="F84" s="1247"/>
      <c r="G84" s="1247"/>
      <c r="H84" s="1247"/>
      <c r="I84" s="1247"/>
      <c r="J84" s="1247"/>
      <c r="K84" s="1247"/>
      <c r="L84" s="1247"/>
      <c r="M84" s="1247"/>
      <c r="N84" s="1247"/>
      <c r="O84" s="1247"/>
      <c r="P84" s="1247"/>
      <c r="Q84" s="1247"/>
      <c r="R84" s="1247"/>
      <c r="S84" s="1247"/>
      <c r="T84" s="1247"/>
      <c r="U84" s="1247"/>
      <c r="V84" s="1247"/>
      <c r="W84" s="1247"/>
      <c r="X84" s="1247"/>
      <c r="Y84" s="1247"/>
      <c r="Z84" s="1247"/>
      <c r="AA84" s="1247"/>
      <c r="AB84" s="1247"/>
      <c r="AC84" s="1247"/>
      <c r="AD84" s="1247"/>
      <c r="AE84" s="1247"/>
      <c r="AF84" s="1247"/>
      <c r="AG84" s="1247"/>
      <c r="AH84" s="1247"/>
      <c r="AI84" s="1247"/>
      <c r="AJ84" s="1248"/>
      <c r="AK84" s="718"/>
      <c r="AL84" s="718"/>
      <c r="AM84" s="718"/>
      <c r="AN84" s="718"/>
      <c r="AO84" s="718"/>
      <c r="AP84" s="718"/>
      <c r="AQ84" s="718"/>
      <c r="AR84" s="718"/>
      <c r="AS84" s="718"/>
      <c r="AT84" s="718"/>
      <c r="AU84" s="718"/>
      <c r="AV84" s="718"/>
      <c r="AW84" s="718"/>
      <c r="AX84" s="718"/>
      <c r="AY84" s="718"/>
      <c r="AZ84" s="718"/>
      <c r="BA84" s="718"/>
      <c r="BB84" s="718"/>
      <c r="BC84" s="718"/>
      <c r="BD84" s="718"/>
      <c r="BE84" s="718"/>
      <c r="BF84" s="718"/>
      <c r="BG84" s="718"/>
      <c r="BH84" s="718"/>
    </row>
    <row r="85" spans="1:60" ht="18.75">
      <c r="A85" s="718"/>
      <c r="B85" s="718"/>
      <c r="C85" s="718"/>
      <c r="D85" s="718"/>
      <c r="E85" s="1249"/>
      <c r="F85" s="1250"/>
      <c r="G85" s="1250"/>
      <c r="H85" s="1250"/>
      <c r="I85" s="1250"/>
      <c r="J85" s="1250"/>
      <c r="K85" s="1250"/>
      <c r="L85" s="1250"/>
      <c r="M85" s="1250"/>
      <c r="N85" s="1250"/>
      <c r="O85" s="1250"/>
      <c r="P85" s="1250"/>
      <c r="Q85" s="1250"/>
      <c r="R85" s="1250"/>
      <c r="S85" s="1250"/>
      <c r="T85" s="1250"/>
      <c r="U85" s="1250"/>
      <c r="V85" s="1250"/>
      <c r="W85" s="1250"/>
      <c r="X85" s="1250"/>
      <c r="Y85" s="1250"/>
      <c r="Z85" s="1250"/>
      <c r="AA85" s="1250"/>
      <c r="AB85" s="1250"/>
      <c r="AC85" s="1250"/>
      <c r="AD85" s="1250"/>
      <c r="AE85" s="1250"/>
      <c r="AF85" s="1250"/>
      <c r="AG85" s="1250"/>
      <c r="AH85" s="1250"/>
      <c r="AI85" s="1250"/>
      <c r="AJ85" s="1251"/>
      <c r="AK85" s="718"/>
      <c r="AL85" s="718"/>
      <c r="AM85" s="718"/>
      <c r="AN85" s="718"/>
      <c r="AO85" s="718"/>
      <c r="AP85" s="718"/>
      <c r="AQ85" s="718"/>
      <c r="AR85" s="718"/>
      <c r="AS85" s="718"/>
      <c r="AT85" s="718"/>
      <c r="AU85" s="718"/>
      <c r="AV85" s="718"/>
      <c r="AW85" s="718"/>
      <c r="AX85" s="718"/>
      <c r="AY85" s="718"/>
      <c r="AZ85" s="718"/>
      <c r="BA85" s="718"/>
      <c r="BB85" s="718"/>
      <c r="BC85" s="718"/>
      <c r="BD85" s="718"/>
      <c r="BE85" s="718"/>
      <c r="BF85" s="718"/>
      <c r="BG85" s="718"/>
      <c r="BH85" s="718"/>
    </row>
    <row r="86" spans="1:60" ht="19.5" thickBot="1">
      <c r="A86" s="718"/>
      <c r="B86" s="718"/>
      <c r="C86" s="718"/>
      <c r="D86" s="718"/>
      <c r="E86" s="1252"/>
      <c r="F86" s="1253"/>
      <c r="G86" s="1253"/>
      <c r="H86" s="1253"/>
      <c r="I86" s="1253"/>
      <c r="J86" s="1253"/>
      <c r="K86" s="1253"/>
      <c r="L86" s="1253"/>
      <c r="M86" s="1253"/>
      <c r="N86" s="1253"/>
      <c r="O86" s="1253"/>
      <c r="P86" s="1253"/>
      <c r="Q86" s="1253"/>
      <c r="R86" s="1253"/>
      <c r="S86" s="1253"/>
      <c r="T86" s="1253"/>
      <c r="U86" s="1253"/>
      <c r="V86" s="1253"/>
      <c r="W86" s="1253"/>
      <c r="X86" s="1253"/>
      <c r="Y86" s="1253"/>
      <c r="Z86" s="1253"/>
      <c r="AA86" s="1253"/>
      <c r="AB86" s="1253"/>
      <c r="AC86" s="1253"/>
      <c r="AD86" s="1253"/>
      <c r="AE86" s="1253"/>
      <c r="AF86" s="1253"/>
      <c r="AG86" s="1253"/>
      <c r="AH86" s="1253"/>
      <c r="AI86" s="1253"/>
      <c r="AJ86" s="1254"/>
      <c r="AK86" s="718"/>
      <c r="AL86" s="718"/>
      <c r="AM86" s="718"/>
      <c r="AN86" s="718"/>
      <c r="AO86" s="718"/>
      <c r="AP86" s="718"/>
      <c r="AQ86" s="718"/>
      <c r="AR86" s="718"/>
      <c r="AS86" s="718"/>
      <c r="AT86" s="718"/>
      <c r="AU86" s="718"/>
      <c r="AV86" s="718"/>
      <c r="AW86" s="718"/>
      <c r="AX86" s="718"/>
      <c r="AY86" s="718"/>
      <c r="AZ86" s="718"/>
      <c r="BA86" s="718"/>
      <c r="BB86" s="718"/>
      <c r="BC86" s="718"/>
      <c r="BD86" s="718"/>
      <c r="BE86" s="718"/>
      <c r="BF86" s="718"/>
      <c r="BG86" s="718"/>
      <c r="BH86" s="718"/>
    </row>
    <row r="87" spans="1:60" ht="18.75">
      <c r="A87" s="718"/>
      <c r="B87" s="718"/>
      <c r="C87" s="718"/>
      <c r="D87" s="718"/>
      <c r="E87" s="718"/>
      <c r="F87" s="718"/>
      <c r="G87" s="718"/>
      <c r="H87" s="718"/>
      <c r="I87" s="718"/>
      <c r="J87" s="718"/>
      <c r="K87" s="718"/>
      <c r="L87" s="718"/>
      <c r="M87" s="718"/>
      <c r="N87" s="718"/>
      <c r="O87" s="718"/>
      <c r="P87" s="718"/>
      <c r="Q87" s="718"/>
      <c r="R87" s="718"/>
      <c r="S87" s="718"/>
      <c r="T87" s="718"/>
      <c r="U87" s="718"/>
      <c r="V87" s="718"/>
      <c r="W87" s="718"/>
      <c r="X87" s="718"/>
      <c r="Y87" s="718"/>
      <c r="Z87" s="718"/>
      <c r="AA87" s="718"/>
      <c r="AB87" s="718"/>
      <c r="AC87" s="718"/>
      <c r="AD87" s="718"/>
      <c r="AE87" s="718"/>
      <c r="AF87" s="718"/>
      <c r="AG87" s="718"/>
      <c r="AH87" s="718"/>
      <c r="AI87" s="718"/>
      <c r="AJ87" s="718"/>
      <c r="AK87" s="718"/>
      <c r="AL87" s="718"/>
      <c r="AM87" s="718"/>
      <c r="AN87" s="718"/>
      <c r="AO87" s="718"/>
      <c r="AP87" s="718"/>
      <c r="AQ87" s="718"/>
      <c r="AR87" s="718"/>
      <c r="AS87" s="718"/>
      <c r="AT87" s="718"/>
      <c r="AU87" s="718"/>
      <c r="AV87" s="718"/>
      <c r="AW87" s="718"/>
      <c r="AX87" s="718"/>
      <c r="AY87" s="718"/>
      <c r="AZ87" s="718"/>
      <c r="BA87" s="718"/>
      <c r="BB87" s="718"/>
      <c r="BC87" s="718"/>
      <c r="BD87" s="718"/>
      <c r="BE87" s="718"/>
      <c r="BF87" s="718"/>
      <c r="BG87" s="718"/>
      <c r="BH87" s="718"/>
    </row>
    <row r="88" spans="1:60" ht="18.75">
      <c r="A88" s="718"/>
      <c r="B88" s="718"/>
      <c r="C88" s="718"/>
      <c r="D88" s="718"/>
      <c r="E88" s="718"/>
      <c r="F88" s="718"/>
      <c r="G88" s="718"/>
      <c r="H88" s="718"/>
      <c r="I88" s="718"/>
      <c r="J88" s="718"/>
      <c r="K88" s="718"/>
      <c r="L88" s="718"/>
      <c r="M88" s="718"/>
      <c r="N88" s="718"/>
      <c r="O88" s="718"/>
      <c r="P88" s="718"/>
      <c r="Q88" s="718"/>
      <c r="R88" s="718"/>
      <c r="S88" s="718"/>
      <c r="T88" s="718"/>
      <c r="U88" s="718"/>
      <c r="V88" s="718"/>
      <c r="W88" s="718"/>
      <c r="X88" s="718"/>
      <c r="Y88" s="718"/>
      <c r="Z88" s="718"/>
      <c r="AA88" s="718"/>
      <c r="AB88" s="718"/>
      <c r="AC88" s="718"/>
      <c r="AD88" s="718"/>
      <c r="AE88" s="718"/>
      <c r="AF88" s="718"/>
      <c r="AG88" s="718"/>
      <c r="AH88" s="718"/>
      <c r="AI88" s="718"/>
      <c r="AJ88" s="718"/>
      <c r="AK88" s="718"/>
      <c r="AL88" s="718"/>
      <c r="AM88" s="718"/>
      <c r="AN88" s="718"/>
      <c r="AO88" s="718"/>
      <c r="AP88" s="718"/>
      <c r="AQ88" s="718"/>
      <c r="AR88" s="718"/>
      <c r="AS88" s="718"/>
      <c r="AT88" s="718"/>
      <c r="AU88" s="718"/>
      <c r="AV88" s="718"/>
      <c r="AW88" s="718"/>
      <c r="AX88" s="718"/>
      <c r="AY88" s="718"/>
      <c r="AZ88" s="718"/>
      <c r="BA88" s="718"/>
      <c r="BB88" s="718"/>
      <c r="BC88" s="718"/>
      <c r="BD88" s="718"/>
      <c r="BE88" s="718"/>
      <c r="BF88" s="718"/>
      <c r="BG88" s="718"/>
      <c r="BH88" s="718"/>
    </row>
    <row r="89" spans="1:60">
      <c r="A89" s="715"/>
      <c r="B89" s="715"/>
      <c r="C89" s="715"/>
      <c r="D89" s="715"/>
      <c r="E89" s="715"/>
      <c r="F89" s="715"/>
      <c r="G89" s="715"/>
      <c r="H89" s="715"/>
      <c r="I89" s="715"/>
      <c r="J89" s="715"/>
      <c r="K89" s="715"/>
      <c r="L89" s="715"/>
      <c r="M89" s="715"/>
      <c r="N89" s="715"/>
      <c r="O89" s="715"/>
      <c r="P89" s="715"/>
      <c r="Q89" s="715"/>
      <c r="R89" s="715"/>
      <c r="S89" s="715"/>
      <c r="T89" s="715"/>
      <c r="U89" s="715"/>
      <c r="V89" s="715"/>
      <c r="W89" s="715"/>
      <c r="X89" s="715"/>
      <c r="Y89" s="715"/>
      <c r="Z89" s="715"/>
      <c r="AA89" s="715"/>
      <c r="AB89" s="715"/>
      <c r="AC89" s="715"/>
      <c r="AD89" s="715"/>
      <c r="AE89" s="715"/>
      <c r="AF89" s="715"/>
      <c r="AG89" s="715"/>
      <c r="AH89" s="715"/>
      <c r="AI89" s="715"/>
      <c r="AJ89" s="715"/>
      <c r="AK89" s="715"/>
      <c r="AL89" s="715"/>
      <c r="AM89" s="715"/>
      <c r="AN89" s="715"/>
      <c r="AO89" s="715"/>
      <c r="AP89" s="715"/>
      <c r="AQ89" s="715"/>
      <c r="AR89" s="715"/>
      <c r="AS89" s="715"/>
      <c r="AT89" s="715"/>
      <c r="AU89" s="715"/>
      <c r="AV89" s="715"/>
      <c r="AW89" s="715"/>
      <c r="AX89" s="715"/>
      <c r="AY89" s="715"/>
      <c r="AZ89" s="715"/>
      <c r="BA89" s="715"/>
      <c r="BB89" s="715"/>
      <c r="BC89" s="715"/>
      <c r="BD89" s="715"/>
      <c r="BE89" s="715"/>
      <c r="BF89" s="715"/>
      <c r="BG89" s="715"/>
      <c r="BH89" s="715"/>
    </row>
    <row r="90" spans="1:60">
      <c r="A90" s="715"/>
      <c r="B90" s="715"/>
      <c r="C90" s="715"/>
      <c r="D90" s="715"/>
      <c r="E90" s="715"/>
      <c r="F90" s="715"/>
      <c r="G90" s="715"/>
      <c r="H90" s="715"/>
      <c r="I90" s="715"/>
      <c r="J90" s="715"/>
      <c r="K90" s="715"/>
      <c r="L90" s="715"/>
      <c r="M90" s="715"/>
      <c r="N90" s="715"/>
      <c r="O90" s="715"/>
      <c r="P90" s="715"/>
      <c r="Q90" s="715"/>
      <c r="R90" s="715"/>
      <c r="S90" s="715"/>
      <c r="T90" s="715"/>
      <c r="U90" s="715"/>
      <c r="V90" s="715"/>
      <c r="W90" s="715"/>
      <c r="X90" s="715"/>
      <c r="Y90" s="715"/>
      <c r="Z90" s="715"/>
      <c r="AA90" s="715"/>
      <c r="AB90" s="715"/>
      <c r="AC90" s="715"/>
      <c r="AD90" s="715"/>
      <c r="AE90" s="715"/>
      <c r="AF90" s="715"/>
      <c r="AG90" s="715"/>
      <c r="AH90" s="715"/>
      <c r="AI90" s="715"/>
      <c r="AJ90" s="715"/>
      <c r="AK90" s="715"/>
      <c r="AL90" s="715"/>
      <c r="AM90" s="715"/>
      <c r="AN90" s="715"/>
      <c r="AO90" s="715"/>
      <c r="AP90" s="715"/>
      <c r="AQ90" s="715"/>
      <c r="AR90" s="715"/>
      <c r="AS90" s="715"/>
      <c r="AT90" s="715"/>
      <c r="AU90" s="715"/>
      <c r="AV90" s="715"/>
      <c r="AW90" s="715"/>
      <c r="AX90" s="715"/>
      <c r="AY90" s="715"/>
      <c r="AZ90" s="715"/>
      <c r="BA90" s="715"/>
      <c r="BB90" s="715"/>
      <c r="BC90" s="715"/>
      <c r="BD90" s="715"/>
      <c r="BE90" s="715"/>
      <c r="BF90" s="715"/>
      <c r="BG90" s="715"/>
      <c r="BH90" s="715"/>
    </row>
    <row r="91" spans="1:60">
      <c r="A91" s="715"/>
      <c r="B91" s="715"/>
      <c r="C91" s="715"/>
      <c r="D91" s="715"/>
      <c r="E91" s="715"/>
      <c r="F91" s="715"/>
      <c r="G91" s="715"/>
      <c r="H91" s="715"/>
      <c r="I91" s="715"/>
      <c r="J91" s="715"/>
      <c r="K91" s="715"/>
      <c r="L91" s="715"/>
      <c r="M91" s="715"/>
      <c r="N91" s="715"/>
      <c r="O91" s="715"/>
      <c r="P91" s="715"/>
      <c r="Q91" s="715"/>
      <c r="R91" s="715"/>
      <c r="S91" s="715"/>
      <c r="T91" s="715"/>
      <c r="U91" s="715"/>
      <c r="V91" s="715"/>
      <c r="W91" s="715"/>
      <c r="X91" s="715"/>
      <c r="Y91" s="715"/>
      <c r="Z91" s="715"/>
      <c r="AA91" s="715"/>
      <c r="AB91" s="715"/>
      <c r="AC91" s="715"/>
      <c r="AD91" s="715"/>
      <c r="AE91" s="715"/>
      <c r="AF91" s="715"/>
      <c r="AG91" s="715"/>
      <c r="AH91" s="715"/>
      <c r="AI91" s="715"/>
      <c r="AJ91" s="715"/>
      <c r="AK91" s="715"/>
      <c r="AL91" s="715"/>
      <c r="AM91" s="715"/>
      <c r="AN91" s="715"/>
      <c r="AO91" s="715"/>
      <c r="AP91" s="715"/>
      <c r="AQ91" s="715"/>
      <c r="AR91" s="715"/>
      <c r="AS91" s="715"/>
      <c r="AT91" s="715"/>
      <c r="AU91" s="715"/>
      <c r="AV91" s="715"/>
      <c r="AW91" s="715"/>
      <c r="AX91" s="715"/>
      <c r="AY91" s="715"/>
      <c r="AZ91" s="715"/>
      <c r="BA91" s="715"/>
      <c r="BB91" s="715"/>
      <c r="BC91" s="715"/>
      <c r="BD91" s="715"/>
      <c r="BE91" s="715"/>
      <c r="BF91" s="715"/>
      <c r="BG91" s="715"/>
      <c r="BH91" s="715"/>
    </row>
    <row r="92" spans="1:60">
      <c r="A92" s="715"/>
      <c r="B92" s="715"/>
      <c r="C92" s="715"/>
      <c r="D92" s="715"/>
      <c r="E92" s="715"/>
      <c r="F92" s="715"/>
      <c r="G92" s="715"/>
      <c r="H92" s="715"/>
      <c r="I92" s="715"/>
      <c r="J92" s="715"/>
      <c r="K92" s="715"/>
      <c r="L92" s="715"/>
      <c r="M92" s="715"/>
      <c r="N92" s="715"/>
      <c r="O92" s="715"/>
      <c r="P92" s="715"/>
      <c r="Q92" s="715"/>
      <c r="R92" s="715"/>
      <c r="S92" s="715"/>
      <c r="T92" s="715"/>
      <c r="U92" s="715"/>
      <c r="V92" s="715"/>
      <c r="W92" s="715"/>
      <c r="X92" s="715"/>
      <c r="Y92" s="715"/>
      <c r="Z92" s="715"/>
      <c r="AA92" s="715"/>
      <c r="AB92" s="715"/>
      <c r="AC92" s="715"/>
      <c r="AD92" s="715"/>
      <c r="AE92" s="715"/>
      <c r="AF92" s="715"/>
      <c r="AG92" s="715"/>
      <c r="AH92" s="715"/>
      <c r="AI92" s="715"/>
      <c r="AJ92" s="715"/>
      <c r="AK92" s="715"/>
      <c r="AL92" s="715"/>
      <c r="AM92" s="715"/>
      <c r="AN92" s="715"/>
      <c r="AO92" s="715"/>
      <c r="AP92" s="715"/>
      <c r="AQ92" s="715"/>
      <c r="AR92" s="715"/>
      <c r="AS92" s="715"/>
      <c r="AT92" s="715"/>
      <c r="AU92" s="715"/>
      <c r="AV92" s="715"/>
      <c r="AW92" s="715"/>
      <c r="AX92" s="715"/>
      <c r="AY92" s="715"/>
      <c r="AZ92" s="715"/>
      <c r="BA92" s="715"/>
      <c r="BB92" s="715"/>
      <c r="BC92" s="715"/>
      <c r="BD92" s="715"/>
      <c r="BE92" s="715"/>
      <c r="BF92" s="715"/>
      <c r="BG92" s="715"/>
      <c r="BH92" s="715"/>
    </row>
    <row r="93" spans="1:60">
      <c r="A93" s="715"/>
      <c r="B93" s="715"/>
      <c r="C93" s="715"/>
      <c r="D93" s="715"/>
      <c r="E93" s="715"/>
      <c r="F93" s="715"/>
      <c r="G93" s="715"/>
      <c r="H93" s="715"/>
      <c r="I93" s="715"/>
      <c r="J93" s="715"/>
      <c r="K93" s="715"/>
      <c r="L93" s="715"/>
      <c r="M93" s="715"/>
      <c r="N93" s="715"/>
      <c r="O93" s="715"/>
      <c r="P93" s="715"/>
      <c r="Q93" s="715"/>
      <c r="R93" s="715"/>
      <c r="S93" s="715"/>
      <c r="T93" s="715"/>
      <c r="U93" s="715"/>
      <c r="V93" s="715"/>
      <c r="W93" s="715"/>
      <c r="X93" s="715"/>
      <c r="Y93" s="715"/>
      <c r="Z93" s="715"/>
      <c r="AA93" s="715"/>
      <c r="AB93" s="715"/>
      <c r="AC93" s="715"/>
      <c r="AD93" s="715"/>
      <c r="AE93" s="715"/>
      <c r="AF93" s="715"/>
      <c r="AG93" s="715"/>
      <c r="AH93" s="715"/>
      <c r="AI93" s="715"/>
      <c r="AJ93" s="715"/>
      <c r="AK93" s="715"/>
      <c r="AL93" s="715"/>
      <c r="AM93" s="715"/>
      <c r="AN93" s="715"/>
      <c r="AO93" s="715"/>
      <c r="AP93" s="715"/>
      <c r="AQ93" s="715"/>
      <c r="AR93" s="715"/>
      <c r="AS93" s="715"/>
      <c r="AT93" s="715"/>
      <c r="AU93" s="715"/>
      <c r="AV93" s="715"/>
      <c r="AW93" s="715"/>
      <c r="AX93" s="715"/>
      <c r="AY93" s="715"/>
      <c r="AZ93" s="715"/>
      <c r="BA93" s="715"/>
      <c r="BB93" s="715"/>
      <c r="BC93" s="715"/>
      <c r="BD93" s="715"/>
      <c r="BE93" s="715"/>
      <c r="BF93" s="715"/>
      <c r="BG93" s="715"/>
      <c r="BH93" s="715"/>
    </row>
    <row r="94" spans="1:60">
      <c r="A94" s="715"/>
      <c r="B94" s="715"/>
      <c r="C94" s="715"/>
      <c r="D94" s="715"/>
      <c r="E94" s="715"/>
      <c r="F94" s="715"/>
      <c r="G94" s="715"/>
      <c r="H94" s="715"/>
      <c r="I94" s="715"/>
      <c r="J94" s="715"/>
      <c r="K94" s="715"/>
      <c r="L94" s="715"/>
      <c r="M94" s="715"/>
      <c r="N94" s="715"/>
      <c r="O94" s="715"/>
      <c r="P94" s="715"/>
      <c r="Q94" s="715"/>
      <c r="R94" s="715"/>
      <c r="S94" s="715"/>
      <c r="T94" s="715"/>
      <c r="U94" s="715"/>
      <c r="V94" s="715"/>
      <c r="W94" s="715"/>
      <c r="X94" s="715"/>
      <c r="Y94" s="715"/>
      <c r="Z94" s="715"/>
      <c r="AA94" s="715"/>
      <c r="AB94" s="715"/>
      <c r="AC94" s="715"/>
      <c r="AD94" s="715"/>
      <c r="AE94" s="715"/>
      <c r="AF94" s="715"/>
      <c r="AG94" s="715"/>
      <c r="AH94" s="715"/>
      <c r="AI94" s="715"/>
      <c r="AJ94" s="715"/>
      <c r="AK94" s="715"/>
      <c r="AL94" s="715"/>
      <c r="AM94" s="715"/>
      <c r="AN94" s="715"/>
      <c r="AO94" s="715"/>
      <c r="AP94" s="715"/>
      <c r="AQ94" s="715"/>
      <c r="AR94" s="715"/>
      <c r="AS94" s="715"/>
      <c r="AT94" s="715"/>
      <c r="AU94" s="715"/>
      <c r="AV94" s="715"/>
      <c r="AW94" s="715"/>
      <c r="AX94" s="715"/>
      <c r="AY94" s="715"/>
      <c r="AZ94" s="715"/>
      <c r="BA94" s="715"/>
      <c r="BB94" s="715"/>
      <c r="BC94" s="715"/>
      <c r="BD94" s="715"/>
      <c r="BE94" s="715"/>
      <c r="BF94" s="715"/>
      <c r="BG94" s="715"/>
      <c r="BH94" s="715"/>
    </row>
    <row r="95" spans="1:60">
      <c r="A95" s="715"/>
      <c r="B95" s="715"/>
      <c r="C95" s="715"/>
      <c r="D95" s="715"/>
      <c r="E95" s="715"/>
      <c r="F95" s="715"/>
      <c r="G95" s="715"/>
      <c r="H95" s="715"/>
      <c r="I95" s="715"/>
      <c r="J95" s="715"/>
      <c r="K95" s="715"/>
      <c r="L95" s="715"/>
      <c r="M95" s="715"/>
      <c r="N95" s="715"/>
      <c r="O95" s="715"/>
      <c r="P95" s="715"/>
      <c r="Q95" s="715"/>
      <c r="R95" s="715"/>
      <c r="S95" s="715"/>
      <c r="T95" s="715"/>
      <c r="U95" s="715"/>
      <c r="V95" s="715"/>
      <c r="W95" s="715"/>
      <c r="X95" s="715"/>
      <c r="Y95" s="715"/>
      <c r="Z95" s="715"/>
      <c r="AA95" s="715"/>
      <c r="AB95" s="715"/>
      <c r="AC95" s="715"/>
      <c r="AD95" s="715"/>
      <c r="AE95" s="715"/>
      <c r="AF95" s="715"/>
      <c r="AG95" s="715"/>
      <c r="AH95" s="715"/>
      <c r="AI95" s="715"/>
      <c r="AJ95" s="715"/>
      <c r="AK95" s="715"/>
      <c r="AL95" s="715"/>
      <c r="AM95" s="715"/>
      <c r="AN95" s="715"/>
      <c r="AO95" s="715"/>
      <c r="AP95" s="715"/>
      <c r="AQ95" s="715"/>
      <c r="AR95" s="715"/>
      <c r="AS95" s="715"/>
      <c r="AT95" s="715"/>
      <c r="AU95" s="715"/>
      <c r="AV95" s="715"/>
      <c r="AW95" s="715"/>
      <c r="AX95" s="715"/>
      <c r="AY95" s="715"/>
      <c r="AZ95" s="715"/>
      <c r="BA95" s="715"/>
      <c r="BB95" s="715"/>
      <c r="BC95" s="715"/>
      <c r="BD95" s="715"/>
      <c r="BE95" s="715"/>
      <c r="BF95" s="715"/>
      <c r="BG95" s="715"/>
      <c r="BH95" s="715"/>
    </row>
    <row r="96" spans="1:60">
      <c r="A96" s="715"/>
      <c r="B96" s="715"/>
      <c r="C96" s="715"/>
      <c r="D96" s="715"/>
      <c r="E96" s="715"/>
      <c r="F96" s="715"/>
      <c r="G96" s="715"/>
      <c r="H96" s="715"/>
      <c r="I96" s="715"/>
      <c r="J96" s="715"/>
      <c r="K96" s="715"/>
      <c r="L96" s="715"/>
      <c r="M96" s="715"/>
      <c r="N96" s="715"/>
      <c r="O96" s="715"/>
      <c r="P96" s="715"/>
      <c r="Q96" s="715"/>
      <c r="R96" s="715"/>
      <c r="S96" s="715"/>
      <c r="T96" s="715"/>
      <c r="U96" s="715"/>
      <c r="V96" s="715"/>
      <c r="W96" s="715"/>
      <c r="X96" s="715"/>
      <c r="Y96" s="715"/>
      <c r="Z96" s="715"/>
      <c r="AA96" s="715"/>
      <c r="AB96" s="715"/>
      <c r="AC96" s="715"/>
      <c r="AD96" s="715"/>
      <c r="AE96" s="715"/>
      <c r="AF96" s="715"/>
      <c r="AG96" s="715"/>
      <c r="AH96" s="715"/>
      <c r="AI96" s="715"/>
      <c r="AJ96" s="715"/>
      <c r="AK96" s="715"/>
      <c r="AL96" s="715"/>
      <c r="AM96" s="715"/>
      <c r="AN96" s="715"/>
      <c r="AO96" s="715"/>
      <c r="AP96" s="715"/>
      <c r="AQ96" s="715"/>
      <c r="AR96" s="715"/>
      <c r="AS96" s="715"/>
      <c r="AT96" s="715"/>
      <c r="AU96" s="715"/>
      <c r="AV96" s="715"/>
      <c r="AW96" s="715"/>
      <c r="AX96" s="715"/>
      <c r="AY96" s="715"/>
      <c r="AZ96" s="715"/>
      <c r="BA96" s="715"/>
      <c r="BB96" s="715"/>
      <c r="BC96" s="715"/>
      <c r="BD96" s="715"/>
      <c r="BE96" s="715"/>
      <c r="BF96" s="715"/>
      <c r="BG96" s="715"/>
      <c r="BH96" s="715"/>
    </row>
    <row r="97" spans="1:60">
      <c r="A97" s="715"/>
      <c r="B97" s="715"/>
      <c r="C97" s="715"/>
      <c r="D97" s="715"/>
      <c r="E97" s="715"/>
      <c r="F97" s="715"/>
      <c r="G97" s="715"/>
      <c r="H97" s="715"/>
      <c r="I97" s="715"/>
      <c r="J97" s="715"/>
      <c r="K97" s="715"/>
      <c r="L97" s="715"/>
      <c r="M97" s="715"/>
      <c r="N97" s="715"/>
      <c r="O97" s="715"/>
      <c r="P97" s="715"/>
      <c r="Q97" s="715"/>
      <c r="R97" s="715"/>
      <c r="S97" s="715"/>
      <c r="T97" s="715"/>
      <c r="U97" s="715"/>
      <c r="V97" s="715"/>
      <c r="W97" s="715"/>
      <c r="X97" s="715"/>
      <c r="Y97" s="715"/>
      <c r="Z97" s="715"/>
      <c r="AA97" s="715"/>
      <c r="AB97" s="715"/>
      <c r="AC97" s="715"/>
      <c r="AD97" s="715"/>
      <c r="AE97" s="715"/>
      <c r="AF97" s="715"/>
      <c r="AG97" s="715"/>
      <c r="AH97" s="715"/>
      <c r="AI97" s="715"/>
      <c r="AJ97" s="715"/>
      <c r="AK97" s="715"/>
      <c r="AL97" s="715"/>
      <c r="AM97" s="715"/>
      <c r="AN97" s="715"/>
      <c r="AO97" s="715"/>
      <c r="AP97" s="715"/>
      <c r="AQ97" s="715"/>
      <c r="AR97" s="715"/>
      <c r="AS97" s="715"/>
      <c r="AT97" s="715"/>
      <c r="AU97" s="715"/>
      <c r="AV97" s="715"/>
      <c r="AW97" s="715"/>
      <c r="AX97" s="715"/>
      <c r="AY97" s="715"/>
      <c r="AZ97" s="715"/>
      <c r="BA97" s="715"/>
      <c r="BB97" s="715"/>
      <c r="BC97" s="715"/>
      <c r="BD97" s="715"/>
      <c r="BE97" s="715"/>
      <c r="BF97" s="715"/>
      <c r="BG97" s="715"/>
      <c r="BH97" s="715"/>
    </row>
    <row r="98" spans="1:60">
      <c r="A98" s="715"/>
      <c r="B98" s="715"/>
      <c r="C98" s="715"/>
      <c r="D98" s="715"/>
      <c r="E98" s="715"/>
      <c r="F98" s="715"/>
      <c r="G98" s="715"/>
      <c r="H98" s="715"/>
      <c r="I98" s="715"/>
      <c r="J98" s="715"/>
      <c r="K98" s="715"/>
      <c r="L98" s="715"/>
      <c r="M98" s="715"/>
      <c r="N98" s="715"/>
      <c r="O98" s="715"/>
      <c r="P98" s="715"/>
      <c r="Q98" s="715"/>
      <c r="R98" s="715"/>
      <c r="S98" s="715"/>
      <c r="T98" s="715"/>
      <c r="U98" s="715"/>
      <c r="V98" s="715"/>
      <c r="W98" s="715"/>
      <c r="X98" s="715"/>
      <c r="Y98" s="715"/>
      <c r="Z98" s="715"/>
      <c r="AA98" s="715"/>
      <c r="AB98" s="715"/>
      <c r="AC98" s="715"/>
      <c r="AD98" s="715"/>
      <c r="AE98" s="715"/>
      <c r="AF98" s="715"/>
      <c r="AG98" s="715"/>
      <c r="AH98" s="715"/>
      <c r="AI98" s="715"/>
      <c r="AJ98" s="715"/>
      <c r="AK98" s="715"/>
      <c r="AL98" s="715"/>
      <c r="AM98" s="715"/>
      <c r="AN98" s="715"/>
      <c r="AO98" s="715"/>
      <c r="AP98" s="715"/>
      <c r="AQ98" s="715"/>
      <c r="AR98" s="715"/>
      <c r="AS98" s="715"/>
      <c r="AT98" s="715"/>
      <c r="AU98" s="715"/>
      <c r="AV98" s="715"/>
      <c r="AW98" s="715"/>
      <c r="AX98" s="715"/>
      <c r="AY98" s="715"/>
      <c r="AZ98" s="715"/>
      <c r="BA98" s="715"/>
      <c r="BB98" s="715"/>
      <c r="BC98" s="715"/>
      <c r="BD98" s="715"/>
      <c r="BE98" s="715"/>
      <c r="BF98" s="715"/>
      <c r="BG98" s="715"/>
      <c r="BH98" s="715"/>
    </row>
    <row r="99" spans="1:60">
      <c r="A99" s="715"/>
      <c r="B99" s="715"/>
      <c r="C99" s="715"/>
      <c r="D99" s="715"/>
      <c r="E99" s="715"/>
      <c r="F99" s="715"/>
      <c r="G99" s="715"/>
      <c r="H99" s="715"/>
      <c r="I99" s="715"/>
      <c r="J99" s="715"/>
      <c r="K99" s="715"/>
      <c r="L99" s="715"/>
      <c r="M99" s="715"/>
      <c r="N99" s="715"/>
      <c r="O99" s="715"/>
      <c r="P99" s="715"/>
      <c r="Q99" s="715"/>
      <c r="R99" s="715"/>
      <c r="S99" s="715"/>
      <c r="T99" s="715"/>
      <c r="U99" s="715"/>
      <c r="V99" s="715"/>
      <c r="W99" s="715"/>
      <c r="X99" s="715"/>
      <c r="Y99" s="715"/>
      <c r="Z99" s="715"/>
      <c r="AA99" s="715"/>
      <c r="AB99" s="715"/>
      <c r="AC99" s="715"/>
      <c r="AD99" s="715"/>
      <c r="AE99" s="715"/>
      <c r="AF99" s="715"/>
      <c r="AG99" s="715"/>
      <c r="AH99" s="715"/>
      <c r="AI99" s="715"/>
      <c r="AJ99" s="715"/>
      <c r="AK99" s="715"/>
      <c r="AL99" s="715"/>
      <c r="AM99" s="715"/>
      <c r="AN99" s="715"/>
      <c r="AO99" s="715"/>
      <c r="AP99" s="715"/>
      <c r="AQ99" s="715"/>
      <c r="AR99" s="715"/>
      <c r="AS99" s="715"/>
      <c r="AT99" s="715"/>
      <c r="AU99" s="715"/>
      <c r="AV99" s="715"/>
      <c r="AW99" s="715"/>
      <c r="AX99" s="715"/>
      <c r="AY99" s="715"/>
      <c r="AZ99" s="715"/>
      <c r="BA99" s="715"/>
      <c r="BB99" s="715"/>
      <c r="BC99" s="715"/>
      <c r="BD99" s="715"/>
      <c r="BE99" s="715"/>
      <c r="BF99" s="715"/>
      <c r="BG99" s="715"/>
      <c r="BH99" s="715"/>
    </row>
    <row r="100" spans="1:60">
      <c r="A100" s="715"/>
      <c r="B100" s="715"/>
      <c r="C100" s="715"/>
      <c r="D100" s="715"/>
      <c r="E100" s="715"/>
      <c r="F100" s="715"/>
      <c r="G100" s="715"/>
      <c r="H100" s="715"/>
      <c r="I100" s="715"/>
      <c r="J100" s="715"/>
      <c r="K100" s="715"/>
      <c r="L100" s="715"/>
      <c r="M100" s="715"/>
      <c r="N100" s="715"/>
      <c r="O100" s="715"/>
      <c r="P100" s="715"/>
      <c r="Q100" s="715"/>
      <c r="R100" s="715"/>
      <c r="S100" s="715"/>
      <c r="T100" s="715"/>
      <c r="U100" s="715"/>
      <c r="V100" s="715"/>
      <c r="W100" s="715"/>
      <c r="X100" s="715"/>
      <c r="Y100" s="715"/>
      <c r="Z100" s="715"/>
      <c r="AA100" s="715"/>
      <c r="AB100" s="715"/>
      <c r="AC100" s="715"/>
      <c r="AD100" s="715"/>
      <c r="AE100" s="715"/>
      <c r="AF100" s="715"/>
      <c r="AG100" s="715"/>
      <c r="AH100" s="715"/>
      <c r="AI100" s="715"/>
      <c r="AJ100" s="715"/>
      <c r="AK100" s="715"/>
      <c r="AL100" s="715"/>
      <c r="AM100" s="715"/>
      <c r="AN100" s="715"/>
      <c r="AO100" s="715"/>
      <c r="AP100" s="715"/>
      <c r="AQ100" s="715"/>
      <c r="AR100" s="715"/>
      <c r="AS100" s="715"/>
      <c r="AT100" s="715"/>
      <c r="AU100" s="715"/>
      <c r="AV100" s="715"/>
      <c r="AW100" s="715"/>
      <c r="AX100" s="715"/>
      <c r="AY100" s="715"/>
      <c r="AZ100" s="715"/>
      <c r="BA100" s="715"/>
      <c r="BB100" s="715"/>
      <c r="BC100" s="715"/>
      <c r="BD100" s="715"/>
      <c r="BE100" s="715"/>
      <c r="BF100" s="715"/>
      <c r="BG100" s="715"/>
      <c r="BH100" s="715"/>
    </row>
    <row r="101" spans="1:60">
      <c r="A101" s="715"/>
      <c r="B101" s="715"/>
      <c r="C101" s="715"/>
      <c r="D101" s="715"/>
      <c r="E101" s="715"/>
      <c r="F101" s="715"/>
      <c r="G101" s="715"/>
      <c r="H101" s="715"/>
      <c r="I101" s="715"/>
      <c r="J101" s="715"/>
      <c r="K101" s="715"/>
      <c r="L101" s="715"/>
      <c r="M101" s="715"/>
      <c r="N101" s="715"/>
      <c r="O101" s="715"/>
      <c r="P101" s="715"/>
      <c r="Q101" s="715"/>
      <c r="R101" s="715"/>
      <c r="S101" s="715"/>
      <c r="T101" s="715"/>
      <c r="U101" s="715"/>
      <c r="V101" s="715"/>
      <c r="W101" s="715"/>
      <c r="X101" s="715"/>
      <c r="Y101" s="715"/>
      <c r="Z101" s="715"/>
      <c r="AA101" s="715"/>
      <c r="AB101" s="715"/>
      <c r="AC101" s="715"/>
      <c r="AD101" s="715"/>
      <c r="AE101" s="715"/>
      <c r="AF101" s="715"/>
      <c r="AG101" s="715"/>
      <c r="AH101" s="715"/>
      <c r="AI101" s="715"/>
      <c r="AJ101" s="715"/>
      <c r="AK101" s="715"/>
      <c r="AL101" s="715"/>
      <c r="AM101" s="715"/>
      <c r="AN101" s="715"/>
      <c r="AO101" s="715"/>
      <c r="AP101" s="715"/>
      <c r="AQ101" s="715"/>
      <c r="AR101" s="715"/>
      <c r="AS101" s="715"/>
      <c r="AT101" s="715"/>
      <c r="AU101" s="715"/>
      <c r="AV101" s="715"/>
      <c r="AW101" s="715"/>
      <c r="AX101" s="715"/>
      <c r="AY101" s="715"/>
      <c r="AZ101" s="715"/>
      <c r="BA101" s="715"/>
      <c r="BB101" s="715"/>
      <c r="BC101" s="715"/>
      <c r="BD101" s="715"/>
      <c r="BE101" s="715"/>
      <c r="BF101" s="715"/>
      <c r="BG101" s="715"/>
      <c r="BH101" s="715"/>
    </row>
    <row r="102" spans="1:60">
      <c r="A102" s="715"/>
      <c r="B102" s="715"/>
      <c r="C102" s="715"/>
      <c r="D102" s="715"/>
      <c r="E102" s="715"/>
      <c r="F102" s="715"/>
      <c r="G102" s="715"/>
      <c r="H102" s="715"/>
      <c r="I102" s="715"/>
      <c r="J102" s="715"/>
      <c r="K102" s="715"/>
      <c r="L102" s="715"/>
      <c r="M102" s="715"/>
      <c r="N102" s="715"/>
      <c r="O102" s="715"/>
      <c r="P102" s="715"/>
      <c r="Q102" s="715"/>
      <c r="R102" s="715"/>
      <c r="S102" s="715"/>
      <c r="T102" s="715"/>
      <c r="U102" s="715"/>
      <c r="V102" s="715"/>
      <c r="W102" s="715"/>
      <c r="X102" s="715"/>
      <c r="Y102" s="715"/>
      <c r="Z102" s="715"/>
      <c r="AA102" s="715"/>
      <c r="AB102" s="715"/>
      <c r="AC102" s="715"/>
      <c r="AD102" s="715"/>
      <c r="AE102" s="715"/>
      <c r="AF102" s="715"/>
      <c r="AG102" s="715"/>
      <c r="AH102" s="715"/>
      <c r="AI102" s="715"/>
      <c r="AJ102" s="715"/>
      <c r="AK102" s="715"/>
      <c r="AL102" s="715"/>
      <c r="AM102" s="715"/>
      <c r="AN102" s="715"/>
      <c r="AO102" s="715"/>
      <c r="AP102" s="715"/>
      <c r="AQ102" s="715"/>
      <c r="AR102" s="715"/>
      <c r="AS102" s="715"/>
      <c r="AT102" s="715"/>
      <c r="AU102" s="715"/>
      <c r="AV102" s="715"/>
      <c r="AW102" s="715"/>
      <c r="AX102" s="715"/>
      <c r="AY102" s="715"/>
      <c r="AZ102" s="715"/>
      <c r="BA102" s="715"/>
      <c r="BB102" s="715"/>
      <c r="BC102" s="715"/>
      <c r="BD102" s="715"/>
      <c r="BE102" s="715"/>
      <c r="BF102" s="715"/>
      <c r="BG102" s="715"/>
      <c r="BH102" s="715"/>
    </row>
    <row r="103" spans="1:60">
      <c r="A103" s="715"/>
      <c r="B103" s="715"/>
      <c r="C103" s="715"/>
      <c r="D103" s="715"/>
      <c r="E103" s="715"/>
      <c r="F103" s="715"/>
      <c r="G103" s="715"/>
      <c r="H103" s="715"/>
      <c r="I103" s="715"/>
      <c r="J103" s="715"/>
      <c r="K103" s="715"/>
      <c r="L103" s="715"/>
      <c r="M103" s="715"/>
      <c r="N103" s="715"/>
      <c r="O103" s="715"/>
      <c r="P103" s="715"/>
      <c r="Q103" s="715"/>
      <c r="R103" s="715"/>
      <c r="S103" s="715"/>
      <c r="T103" s="715"/>
      <c r="U103" s="715"/>
      <c r="V103" s="715"/>
      <c r="W103" s="715"/>
      <c r="X103" s="715"/>
      <c r="Y103" s="715"/>
      <c r="Z103" s="715"/>
      <c r="AA103" s="715"/>
      <c r="AB103" s="715"/>
      <c r="AC103" s="715"/>
      <c r="AD103" s="715"/>
      <c r="AE103" s="715"/>
      <c r="AF103" s="715"/>
      <c r="AG103" s="715"/>
      <c r="AH103" s="715"/>
      <c r="AI103" s="715"/>
      <c r="AJ103" s="715"/>
      <c r="AK103" s="715"/>
      <c r="AL103" s="715"/>
      <c r="AM103" s="715"/>
      <c r="AN103" s="715"/>
      <c r="AO103" s="715"/>
      <c r="AP103" s="715"/>
      <c r="AQ103" s="715"/>
      <c r="AR103" s="715"/>
      <c r="AS103" s="715"/>
      <c r="AT103" s="715"/>
      <c r="AU103" s="715"/>
      <c r="AV103" s="715"/>
      <c r="AW103" s="715"/>
      <c r="AX103" s="715"/>
      <c r="AY103" s="715"/>
      <c r="AZ103" s="715"/>
      <c r="BA103" s="715"/>
      <c r="BB103" s="715"/>
      <c r="BC103" s="715"/>
      <c r="BD103" s="715"/>
      <c r="BE103" s="715"/>
      <c r="BF103" s="715"/>
      <c r="BG103" s="715"/>
      <c r="BH103" s="715"/>
    </row>
    <row r="104" spans="1:60">
      <c r="A104" s="715"/>
      <c r="B104" s="715"/>
      <c r="C104" s="715"/>
      <c r="D104" s="715"/>
      <c r="E104" s="715"/>
      <c r="F104" s="715"/>
      <c r="G104" s="715"/>
      <c r="H104" s="715"/>
      <c r="I104" s="715"/>
      <c r="J104" s="715"/>
      <c r="K104" s="715"/>
      <c r="L104" s="715"/>
      <c r="M104" s="715"/>
      <c r="N104" s="715"/>
      <c r="O104" s="715"/>
      <c r="P104" s="715"/>
      <c r="Q104" s="715"/>
      <c r="R104" s="715"/>
      <c r="S104" s="715"/>
      <c r="T104" s="715"/>
      <c r="U104" s="715"/>
      <c r="V104" s="715"/>
      <c r="W104" s="715"/>
      <c r="X104" s="715"/>
      <c r="Y104" s="715"/>
      <c r="Z104" s="715"/>
      <c r="AA104" s="715"/>
      <c r="AB104" s="715"/>
      <c r="AC104" s="715"/>
      <c r="AD104" s="715"/>
      <c r="AE104" s="715"/>
      <c r="AF104" s="715"/>
      <c r="AG104" s="715"/>
      <c r="AH104" s="715"/>
      <c r="AI104" s="715"/>
      <c r="AJ104" s="715"/>
      <c r="AK104" s="715"/>
      <c r="AL104" s="715"/>
      <c r="AM104" s="715"/>
      <c r="AN104" s="715"/>
      <c r="AO104" s="715"/>
      <c r="AP104" s="715"/>
      <c r="AQ104" s="715"/>
      <c r="AR104" s="715"/>
      <c r="AS104" s="715"/>
      <c r="AT104" s="715"/>
      <c r="AU104" s="715"/>
      <c r="AV104" s="715"/>
      <c r="AW104" s="715"/>
      <c r="AX104" s="715"/>
      <c r="AY104" s="715"/>
      <c r="AZ104" s="715"/>
      <c r="BA104" s="715"/>
      <c r="BB104" s="715"/>
      <c r="BC104" s="715"/>
      <c r="BD104" s="715"/>
      <c r="BE104" s="715"/>
      <c r="BF104" s="715"/>
      <c r="BG104" s="715"/>
      <c r="BH104" s="715"/>
    </row>
    <row r="105" spans="1:60">
      <c r="A105" s="715"/>
      <c r="B105" s="715"/>
      <c r="C105" s="715"/>
      <c r="D105" s="715"/>
      <c r="E105" s="715"/>
      <c r="F105" s="715"/>
      <c r="G105" s="715"/>
      <c r="H105" s="715"/>
      <c r="I105" s="715"/>
      <c r="J105" s="715"/>
      <c r="K105" s="715"/>
      <c r="L105" s="715"/>
      <c r="M105" s="715"/>
      <c r="N105" s="715"/>
      <c r="O105" s="715"/>
      <c r="P105" s="715"/>
      <c r="Q105" s="715"/>
      <c r="R105" s="715"/>
      <c r="S105" s="715"/>
      <c r="T105" s="715"/>
      <c r="U105" s="715"/>
      <c r="V105" s="715"/>
      <c r="W105" s="715"/>
      <c r="X105" s="715"/>
      <c r="Y105" s="715"/>
      <c r="Z105" s="715"/>
      <c r="AA105" s="715"/>
      <c r="AB105" s="715"/>
      <c r="AC105" s="715"/>
      <c r="AD105" s="715"/>
      <c r="AE105" s="715"/>
      <c r="AF105" s="715"/>
      <c r="AG105" s="715"/>
      <c r="AH105" s="715"/>
      <c r="AI105" s="715"/>
      <c r="AJ105" s="715"/>
      <c r="AK105" s="715"/>
      <c r="AL105" s="715"/>
      <c r="AM105" s="715"/>
      <c r="AN105" s="715"/>
      <c r="AO105" s="715"/>
      <c r="AP105" s="715"/>
      <c r="AQ105" s="715"/>
      <c r="AR105" s="715"/>
      <c r="AS105" s="715"/>
      <c r="AT105" s="715"/>
      <c r="AU105" s="715"/>
      <c r="AV105" s="715"/>
      <c r="AW105" s="715"/>
      <c r="AX105" s="715"/>
      <c r="AY105" s="715"/>
      <c r="AZ105" s="715"/>
      <c r="BA105" s="715"/>
      <c r="BB105" s="715"/>
      <c r="BC105" s="715"/>
      <c r="BD105" s="715"/>
      <c r="BE105" s="715"/>
      <c r="BF105" s="715"/>
      <c r="BG105" s="715"/>
      <c r="BH105" s="715"/>
    </row>
    <row r="106" spans="1:60">
      <c r="A106" s="715"/>
      <c r="B106" s="715"/>
      <c r="C106" s="715"/>
      <c r="D106" s="715"/>
      <c r="E106" s="715"/>
      <c r="F106" s="715"/>
      <c r="G106" s="715"/>
      <c r="H106" s="715"/>
      <c r="I106" s="715"/>
      <c r="J106" s="715"/>
      <c r="K106" s="715"/>
      <c r="L106" s="715"/>
      <c r="M106" s="715"/>
      <c r="N106" s="715"/>
      <c r="O106" s="715"/>
      <c r="P106" s="715"/>
      <c r="Q106" s="715"/>
      <c r="R106" s="715"/>
      <c r="S106" s="715"/>
      <c r="T106" s="715"/>
      <c r="U106" s="715"/>
      <c r="V106" s="715"/>
      <c r="W106" s="715"/>
      <c r="X106" s="715"/>
      <c r="Y106" s="715"/>
      <c r="Z106" s="715"/>
      <c r="AA106" s="715"/>
      <c r="AB106" s="715"/>
      <c r="AC106" s="715"/>
      <c r="AD106" s="715"/>
      <c r="AE106" s="715"/>
      <c r="AF106" s="715"/>
      <c r="AG106" s="715"/>
      <c r="AH106" s="715"/>
      <c r="AI106" s="715"/>
      <c r="AJ106" s="715"/>
      <c r="AK106" s="715"/>
      <c r="AL106" s="715"/>
      <c r="AM106" s="715"/>
      <c r="AN106" s="715"/>
      <c r="AO106" s="715"/>
      <c r="AP106" s="715"/>
      <c r="AQ106" s="715"/>
      <c r="AR106" s="715"/>
      <c r="AS106" s="715"/>
      <c r="AT106" s="715"/>
      <c r="AU106" s="715"/>
      <c r="AV106" s="715"/>
      <c r="AW106" s="715"/>
      <c r="AX106" s="715"/>
      <c r="AY106" s="715"/>
      <c r="AZ106" s="715"/>
      <c r="BA106" s="715"/>
      <c r="BB106" s="715"/>
      <c r="BC106" s="715"/>
      <c r="BD106" s="715"/>
      <c r="BE106" s="715"/>
      <c r="BF106" s="715"/>
      <c r="BG106" s="715"/>
      <c r="BH106" s="715"/>
    </row>
    <row r="107" spans="1:60">
      <c r="A107" s="715"/>
      <c r="B107" s="715"/>
      <c r="C107" s="715"/>
      <c r="D107" s="715"/>
      <c r="E107" s="715"/>
      <c r="F107" s="715"/>
      <c r="G107" s="715"/>
      <c r="H107" s="715"/>
      <c r="I107" s="715"/>
      <c r="J107" s="715"/>
      <c r="K107" s="715"/>
      <c r="L107" s="715"/>
      <c r="M107" s="715"/>
      <c r="N107" s="715"/>
      <c r="O107" s="715"/>
      <c r="P107" s="715"/>
      <c r="Q107" s="715"/>
      <c r="R107" s="715"/>
      <c r="S107" s="715"/>
      <c r="T107" s="715"/>
      <c r="U107" s="715"/>
      <c r="V107" s="715"/>
      <c r="W107" s="715"/>
      <c r="X107" s="715"/>
      <c r="Y107" s="715"/>
      <c r="Z107" s="715"/>
      <c r="AA107" s="715"/>
      <c r="AB107" s="715"/>
      <c r="AC107" s="715"/>
      <c r="AD107" s="715"/>
      <c r="AE107" s="715"/>
      <c r="AF107" s="715"/>
      <c r="AG107" s="715"/>
      <c r="AH107" s="715"/>
      <c r="AI107" s="715"/>
      <c r="AJ107" s="715"/>
      <c r="AK107" s="715"/>
      <c r="AL107" s="715"/>
      <c r="AM107" s="715"/>
      <c r="AN107" s="715"/>
      <c r="AO107" s="715"/>
      <c r="AP107" s="715"/>
      <c r="AQ107" s="715"/>
      <c r="AR107" s="715"/>
      <c r="AS107" s="715"/>
      <c r="AT107" s="715"/>
      <c r="AU107" s="715"/>
      <c r="AV107" s="715"/>
      <c r="AW107" s="715"/>
      <c r="AX107" s="715"/>
      <c r="AY107" s="715"/>
      <c r="AZ107" s="715"/>
      <c r="BA107" s="715"/>
      <c r="BB107" s="715"/>
      <c r="BC107" s="715"/>
      <c r="BD107" s="715"/>
      <c r="BE107" s="715"/>
      <c r="BF107" s="715"/>
      <c r="BG107" s="715"/>
      <c r="BH107" s="715"/>
    </row>
    <row r="108" spans="1:60">
      <c r="A108" s="715"/>
      <c r="B108" s="715"/>
      <c r="C108" s="715"/>
      <c r="D108" s="715"/>
      <c r="E108" s="715"/>
      <c r="F108" s="715"/>
      <c r="G108" s="715"/>
      <c r="H108" s="715"/>
      <c r="I108" s="715"/>
      <c r="J108" s="715"/>
      <c r="K108" s="715"/>
      <c r="L108" s="715"/>
      <c r="M108" s="715"/>
      <c r="N108" s="715"/>
      <c r="O108" s="715"/>
      <c r="P108" s="715"/>
      <c r="Q108" s="715"/>
      <c r="R108" s="715"/>
      <c r="S108" s="715"/>
      <c r="T108" s="715"/>
      <c r="U108" s="715"/>
      <c r="V108" s="715"/>
      <c r="W108" s="715"/>
      <c r="X108" s="715"/>
      <c r="Y108" s="715"/>
      <c r="Z108" s="715"/>
      <c r="AA108" s="715"/>
      <c r="AB108" s="715"/>
      <c r="AC108" s="715"/>
      <c r="AD108" s="715"/>
      <c r="AE108" s="715"/>
      <c r="AF108" s="715"/>
      <c r="AG108" s="715"/>
      <c r="AH108" s="715"/>
      <c r="AI108" s="715"/>
      <c r="AJ108" s="715"/>
      <c r="AK108" s="715"/>
      <c r="AL108" s="715"/>
      <c r="AM108" s="715"/>
      <c r="AN108" s="715"/>
      <c r="AO108" s="715"/>
      <c r="AP108" s="715"/>
      <c r="AQ108" s="715"/>
      <c r="AR108" s="715"/>
      <c r="AS108" s="715"/>
      <c r="AT108" s="715"/>
      <c r="AU108" s="715"/>
      <c r="AV108" s="715"/>
      <c r="AW108" s="715"/>
      <c r="AX108" s="715"/>
      <c r="AY108" s="715"/>
      <c r="AZ108" s="715"/>
      <c r="BA108" s="715"/>
      <c r="BB108" s="715"/>
      <c r="BC108" s="715"/>
      <c r="BD108" s="715"/>
      <c r="BE108" s="715"/>
      <c r="BF108" s="715"/>
      <c r="BG108" s="715"/>
      <c r="BH108" s="715"/>
    </row>
    <row r="109" spans="1:60">
      <c r="A109" s="715"/>
      <c r="B109" s="715"/>
      <c r="C109" s="715"/>
      <c r="D109" s="715"/>
      <c r="E109" s="715"/>
      <c r="F109" s="715"/>
      <c r="G109" s="715"/>
      <c r="H109" s="715"/>
      <c r="I109" s="715"/>
      <c r="J109" s="715"/>
      <c r="K109" s="715"/>
      <c r="L109" s="715"/>
      <c r="M109" s="715"/>
      <c r="N109" s="715"/>
      <c r="O109" s="715"/>
      <c r="P109" s="715"/>
      <c r="Q109" s="715"/>
      <c r="R109" s="715"/>
      <c r="S109" s="715"/>
      <c r="T109" s="715"/>
      <c r="U109" s="715"/>
      <c r="V109" s="715"/>
      <c r="W109" s="715"/>
      <c r="X109" s="715"/>
      <c r="Y109" s="715"/>
      <c r="Z109" s="715"/>
      <c r="AA109" s="715"/>
      <c r="AB109" s="715"/>
      <c r="AC109" s="715"/>
      <c r="AD109" s="715"/>
      <c r="AE109" s="715"/>
      <c r="AF109" s="715"/>
      <c r="AG109" s="715"/>
      <c r="AH109" s="715"/>
      <c r="AI109" s="715"/>
      <c r="AJ109" s="715"/>
      <c r="AK109" s="715"/>
      <c r="AL109" s="715"/>
      <c r="AM109" s="715"/>
      <c r="AN109" s="715"/>
      <c r="AO109" s="715"/>
      <c r="AP109" s="715"/>
      <c r="AQ109" s="715"/>
      <c r="AR109" s="715"/>
      <c r="AS109" s="715"/>
      <c r="AT109" s="715"/>
      <c r="AU109" s="715"/>
      <c r="AV109" s="715"/>
      <c r="AW109" s="715"/>
      <c r="AX109" s="715"/>
      <c r="AY109" s="715"/>
      <c r="AZ109" s="715"/>
      <c r="BA109" s="715"/>
      <c r="BB109" s="715"/>
      <c r="BC109" s="715"/>
      <c r="BD109" s="715"/>
      <c r="BE109" s="715"/>
      <c r="BF109" s="715"/>
      <c r="BG109" s="715"/>
      <c r="BH109" s="715"/>
    </row>
    <row r="110" spans="1:60">
      <c r="A110" s="715"/>
      <c r="B110" s="715"/>
      <c r="C110" s="715"/>
      <c r="D110" s="715"/>
      <c r="E110" s="715"/>
      <c r="F110" s="715"/>
      <c r="G110" s="715"/>
      <c r="H110" s="715"/>
      <c r="I110" s="715"/>
      <c r="J110" s="715"/>
      <c r="K110" s="715"/>
      <c r="L110" s="715"/>
      <c r="M110" s="715"/>
      <c r="N110" s="715"/>
      <c r="O110" s="715"/>
      <c r="P110" s="715"/>
      <c r="Q110" s="715"/>
      <c r="R110" s="715"/>
      <c r="S110" s="715"/>
      <c r="T110" s="715"/>
      <c r="U110" s="715"/>
      <c r="V110" s="715"/>
      <c r="W110" s="715"/>
      <c r="X110" s="715"/>
      <c r="Y110" s="715"/>
      <c r="Z110" s="715"/>
      <c r="AA110" s="715"/>
      <c r="AB110" s="715"/>
      <c r="AC110" s="715"/>
      <c r="AD110" s="715"/>
      <c r="AE110" s="715"/>
      <c r="AF110" s="715"/>
      <c r="AG110" s="715"/>
      <c r="AH110" s="715"/>
      <c r="AI110" s="715"/>
      <c r="AJ110" s="715"/>
      <c r="AK110" s="715"/>
      <c r="AL110" s="715"/>
      <c r="AM110" s="715"/>
      <c r="AN110" s="715"/>
      <c r="AO110" s="715"/>
      <c r="AP110" s="715"/>
      <c r="AQ110" s="715"/>
      <c r="AR110" s="715"/>
      <c r="AS110" s="715"/>
      <c r="AT110" s="715"/>
      <c r="AU110" s="715"/>
      <c r="AV110" s="715"/>
      <c r="AW110" s="715"/>
      <c r="AX110" s="715"/>
      <c r="AY110" s="715"/>
      <c r="AZ110" s="715"/>
      <c r="BA110" s="715"/>
      <c r="BB110" s="715"/>
      <c r="BC110" s="715"/>
      <c r="BD110" s="715"/>
      <c r="BE110" s="715"/>
      <c r="BF110" s="715"/>
      <c r="BG110" s="715"/>
      <c r="BH110" s="715"/>
    </row>
    <row r="111" spans="1:60">
      <c r="A111" s="715"/>
      <c r="B111" s="715"/>
      <c r="C111" s="715"/>
      <c r="D111" s="715"/>
      <c r="E111" s="715"/>
      <c r="F111" s="715"/>
      <c r="G111" s="715"/>
      <c r="H111" s="715"/>
      <c r="I111" s="715"/>
      <c r="J111" s="715"/>
      <c r="K111" s="715"/>
      <c r="L111" s="715"/>
      <c r="M111" s="715"/>
      <c r="N111" s="715"/>
      <c r="O111" s="715"/>
      <c r="P111" s="715"/>
      <c r="Q111" s="715"/>
      <c r="R111" s="715"/>
      <c r="S111" s="715"/>
      <c r="T111" s="715"/>
      <c r="U111" s="715"/>
      <c r="V111" s="715"/>
      <c r="W111" s="715"/>
      <c r="X111" s="715"/>
      <c r="Y111" s="715"/>
      <c r="Z111" s="715"/>
      <c r="AA111" s="715"/>
      <c r="AB111" s="715"/>
      <c r="AC111" s="715"/>
      <c r="AD111" s="715"/>
      <c r="AE111" s="715"/>
      <c r="AF111" s="715"/>
      <c r="AG111" s="715"/>
      <c r="AH111" s="715"/>
      <c r="AI111" s="715"/>
      <c r="AJ111" s="715"/>
      <c r="AK111" s="715"/>
      <c r="AL111" s="715"/>
      <c r="AM111" s="715"/>
      <c r="AN111" s="715"/>
      <c r="AO111" s="715"/>
      <c r="AP111" s="715"/>
      <c r="AQ111" s="715"/>
      <c r="AR111" s="715"/>
      <c r="AS111" s="715"/>
      <c r="AT111" s="715"/>
      <c r="AU111" s="715"/>
      <c r="AV111" s="715"/>
      <c r="AW111" s="715"/>
      <c r="AX111" s="715"/>
      <c r="AY111" s="715"/>
      <c r="AZ111" s="715"/>
      <c r="BA111" s="715"/>
      <c r="BB111" s="715"/>
      <c r="BC111" s="715"/>
      <c r="BD111" s="715"/>
      <c r="BE111" s="715"/>
      <c r="BF111" s="715"/>
      <c r="BG111" s="715"/>
      <c r="BH111" s="715"/>
    </row>
    <row r="112" spans="1:60">
      <c r="A112" s="715"/>
      <c r="B112" s="715"/>
      <c r="C112" s="715"/>
      <c r="D112" s="715"/>
      <c r="E112" s="715"/>
      <c r="F112" s="715"/>
      <c r="G112" s="715"/>
      <c r="H112" s="715"/>
      <c r="I112" s="715"/>
      <c r="J112" s="715"/>
      <c r="K112" s="715"/>
      <c r="L112" s="715"/>
      <c r="M112" s="715"/>
      <c r="N112" s="715"/>
      <c r="O112" s="715"/>
      <c r="P112" s="715"/>
      <c r="Q112" s="715"/>
      <c r="R112" s="715"/>
      <c r="S112" s="715"/>
      <c r="T112" s="715"/>
      <c r="U112" s="715"/>
      <c r="V112" s="715"/>
      <c r="W112" s="715"/>
      <c r="X112" s="715"/>
      <c r="Y112" s="715"/>
      <c r="Z112" s="715"/>
      <c r="AA112" s="715"/>
      <c r="AB112" s="715"/>
      <c r="AC112" s="715"/>
      <c r="AD112" s="715"/>
      <c r="AE112" s="715"/>
      <c r="AF112" s="715"/>
      <c r="AG112" s="715"/>
      <c r="AH112" s="715"/>
      <c r="AI112" s="715"/>
      <c r="AJ112" s="715"/>
      <c r="AK112" s="715"/>
      <c r="AL112" s="715"/>
      <c r="AM112" s="715"/>
      <c r="AN112" s="715"/>
      <c r="AO112" s="715"/>
      <c r="AP112" s="715"/>
      <c r="AQ112" s="715"/>
      <c r="AR112" s="715"/>
      <c r="AS112" s="715"/>
      <c r="AT112" s="715"/>
      <c r="AU112" s="715"/>
      <c r="AV112" s="715"/>
      <c r="AW112" s="715"/>
      <c r="AX112" s="715"/>
      <c r="AY112" s="715"/>
      <c r="AZ112" s="715"/>
      <c r="BA112" s="715"/>
      <c r="BB112" s="715"/>
      <c r="BC112" s="715"/>
      <c r="BD112" s="715"/>
      <c r="BE112" s="715"/>
      <c r="BF112" s="715"/>
      <c r="BG112" s="715"/>
      <c r="BH112" s="715"/>
    </row>
    <row r="113" spans="1:60">
      <c r="A113" s="715"/>
      <c r="B113" s="715"/>
      <c r="C113" s="715"/>
      <c r="D113" s="715"/>
      <c r="E113" s="715"/>
      <c r="F113" s="715"/>
      <c r="G113" s="715"/>
      <c r="H113" s="715"/>
      <c r="I113" s="715"/>
      <c r="J113" s="715"/>
      <c r="K113" s="715"/>
      <c r="L113" s="715"/>
      <c r="M113" s="715"/>
      <c r="N113" s="715"/>
      <c r="O113" s="715"/>
      <c r="P113" s="715"/>
      <c r="Q113" s="715"/>
      <c r="R113" s="715"/>
      <c r="S113" s="715"/>
      <c r="T113" s="715"/>
      <c r="U113" s="715"/>
      <c r="V113" s="715"/>
      <c r="W113" s="715"/>
      <c r="X113" s="715"/>
      <c r="Y113" s="715"/>
      <c r="Z113" s="715"/>
      <c r="AA113" s="715"/>
      <c r="AB113" s="715"/>
      <c r="AC113" s="715"/>
      <c r="AD113" s="715"/>
      <c r="AE113" s="715"/>
      <c r="AF113" s="715"/>
      <c r="AG113" s="715"/>
      <c r="AH113" s="715"/>
      <c r="AI113" s="715"/>
      <c r="AJ113" s="715"/>
      <c r="AK113" s="715"/>
      <c r="AL113" s="715"/>
      <c r="AM113" s="715"/>
      <c r="AN113" s="715"/>
      <c r="AO113" s="715"/>
      <c r="AP113" s="715"/>
      <c r="AQ113" s="715"/>
      <c r="AR113" s="715"/>
      <c r="AS113" s="715"/>
      <c r="AT113" s="715"/>
      <c r="AU113" s="715"/>
      <c r="AV113" s="715"/>
      <c r="AW113" s="715"/>
      <c r="AX113" s="715"/>
      <c r="AY113" s="715"/>
      <c r="AZ113" s="715"/>
      <c r="BA113" s="715"/>
      <c r="BB113" s="715"/>
      <c r="BC113" s="715"/>
      <c r="BD113" s="715"/>
      <c r="BE113" s="715"/>
      <c r="BF113" s="715"/>
      <c r="BG113" s="715"/>
      <c r="BH113" s="715"/>
    </row>
    <row r="114" spans="1:60">
      <c r="A114" s="715"/>
      <c r="B114" s="715"/>
      <c r="C114" s="715"/>
      <c r="D114" s="715"/>
      <c r="E114" s="715"/>
      <c r="F114" s="715"/>
      <c r="G114" s="715"/>
      <c r="H114" s="715"/>
      <c r="I114" s="715"/>
      <c r="J114" s="715"/>
      <c r="K114" s="715"/>
      <c r="L114" s="715"/>
      <c r="M114" s="715"/>
      <c r="N114" s="715"/>
      <c r="O114" s="715"/>
      <c r="P114" s="715"/>
      <c r="Q114" s="715"/>
      <c r="R114" s="715"/>
      <c r="S114" s="715"/>
      <c r="T114" s="715"/>
      <c r="U114" s="715"/>
      <c r="V114" s="715"/>
      <c r="W114" s="715"/>
      <c r="X114" s="715"/>
      <c r="Y114" s="715"/>
      <c r="Z114" s="715"/>
      <c r="AA114" s="715"/>
      <c r="AB114" s="715"/>
      <c r="AC114" s="715"/>
      <c r="AD114" s="715"/>
      <c r="AE114" s="715"/>
      <c r="AF114" s="715"/>
      <c r="AG114" s="715"/>
      <c r="AH114" s="715"/>
      <c r="AI114" s="715"/>
      <c r="AJ114" s="715"/>
      <c r="AK114" s="715"/>
      <c r="AL114" s="715"/>
      <c r="AM114" s="715"/>
      <c r="AN114" s="715"/>
      <c r="AO114" s="715"/>
      <c r="AP114" s="715"/>
      <c r="AQ114" s="715"/>
      <c r="AR114" s="715"/>
      <c r="AS114" s="715"/>
      <c r="AT114" s="715"/>
      <c r="AU114" s="715"/>
      <c r="AV114" s="715"/>
      <c r="AW114" s="715"/>
      <c r="AX114" s="715"/>
      <c r="AY114" s="715"/>
      <c r="AZ114" s="715"/>
      <c r="BA114" s="715"/>
      <c r="BB114" s="715"/>
      <c r="BC114" s="715"/>
      <c r="BD114" s="715"/>
      <c r="BE114" s="715"/>
      <c r="BF114" s="715"/>
      <c r="BG114" s="715"/>
      <c r="BH114" s="715"/>
    </row>
    <row r="115" spans="1:60">
      <c r="A115" s="715"/>
      <c r="B115" s="715"/>
      <c r="C115" s="715"/>
      <c r="D115" s="715"/>
      <c r="E115" s="715"/>
      <c r="F115" s="715"/>
      <c r="G115" s="715"/>
      <c r="H115" s="715"/>
      <c r="I115" s="715"/>
      <c r="J115" s="715"/>
      <c r="K115" s="715"/>
      <c r="L115" s="715"/>
      <c r="M115" s="715"/>
      <c r="N115" s="715"/>
      <c r="O115" s="715"/>
      <c r="P115" s="715"/>
      <c r="Q115" s="715"/>
      <c r="R115" s="715"/>
      <c r="S115" s="715"/>
      <c r="T115" s="715"/>
      <c r="U115" s="715"/>
      <c r="V115" s="715"/>
      <c r="W115" s="715"/>
      <c r="X115" s="715"/>
      <c r="Y115" s="715"/>
      <c r="Z115" s="715"/>
      <c r="AA115" s="715"/>
      <c r="AB115" s="715"/>
      <c r="AC115" s="715"/>
      <c r="AD115" s="715"/>
      <c r="AE115" s="715"/>
      <c r="AF115" s="715"/>
      <c r="AG115" s="715"/>
      <c r="AH115" s="715"/>
      <c r="AI115" s="715"/>
      <c r="AJ115" s="715"/>
      <c r="AK115" s="715"/>
      <c r="AL115" s="715"/>
      <c r="AM115" s="715"/>
      <c r="AN115" s="715"/>
      <c r="AO115" s="715"/>
      <c r="AP115" s="715"/>
      <c r="AQ115" s="715"/>
      <c r="AR115" s="715"/>
      <c r="AS115" s="715"/>
      <c r="AT115" s="715"/>
      <c r="AU115" s="715"/>
      <c r="AV115" s="715"/>
      <c r="AW115" s="715"/>
      <c r="AX115" s="715"/>
      <c r="AY115" s="715"/>
      <c r="AZ115" s="715"/>
      <c r="BA115" s="715"/>
      <c r="BB115" s="715"/>
      <c r="BC115" s="715"/>
      <c r="BD115" s="715"/>
      <c r="BE115" s="715"/>
      <c r="BF115" s="715"/>
      <c r="BG115" s="715"/>
      <c r="BH115" s="715"/>
    </row>
    <row r="116" spans="1:60">
      <c r="A116" s="715"/>
      <c r="B116" s="715"/>
      <c r="C116" s="715"/>
      <c r="D116" s="715"/>
      <c r="E116" s="715"/>
      <c r="F116" s="715"/>
      <c r="G116" s="715"/>
      <c r="H116" s="715"/>
      <c r="I116" s="715"/>
      <c r="J116" s="715"/>
      <c r="K116" s="715"/>
      <c r="L116" s="715"/>
      <c r="M116" s="715"/>
      <c r="N116" s="715"/>
      <c r="O116" s="715"/>
      <c r="P116" s="715"/>
      <c r="Q116" s="715"/>
      <c r="R116" s="715"/>
      <c r="S116" s="715"/>
      <c r="T116" s="715"/>
      <c r="U116" s="715"/>
      <c r="V116" s="715"/>
      <c r="W116" s="715"/>
      <c r="X116" s="715"/>
      <c r="Y116" s="715"/>
      <c r="Z116" s="715"/>
      <c r="AA116" s="715"/>
      <c r="AB116" s="715"/>
      <c r="AC116" s="715"/>
      <c r="AD116" s="715"/>
      <c r="AE116" s="715"/>
      <c r="AF116" s="715"/>
      <c r="AG116" s="715"/>
      <c r="AH116" s="715"/>
      <c r="AI116" s="715"/>
      <c r="AJ116" s="715"/>
      <c r="AK116" s="715"/>
      <c r="AL116" s="715"/>
      <c r="AM116" s="715"/>
      <c r="AN116" s="715"/>
      <c r="AO116" s="715"/>
      <c r="AP116" s="715"/>
      <c r="AQ116" s="715"/>
      <c r="AR116" s="715"/>
      <c r="AS116" s="715"/>
      <c r="AT116" s="715"/>
      <c r="AU116" s="715"/>
      <c r="AV116" s="715"/>
      <c r="AW116" s="715"/>
      <c r="AX116" s="715"/>
      <c r="AY116" s="715"/>
      <c r="AZ116" s="715"/>
      <c r="BA116" s="715"/>
      <c r="BB116" s="715"/>
      <c r="BC116" s="715"/>
      <c r="BD116" s="715"/>
      <c r="BE116" s="715"/>
      <c r="BF116" s="715"/>
      <c r="BG116" s="715"/>
      <c r="BH116" s="715"/>
    </row>
    <row r="117" spans="1:60">
      <c r="A117" s="715"/>
      <c r="B117" s="715"/>
      <c r="C117" s="715"/>
      <c r="D117" s="715"/>
      <c r="E117" s="715"/>
      <c r="F117" s="715"/>
      <c r="G117" s="715"/>
      <c r="H117" s="715"/>
      <c r="I117" s="715"/>
      <c r="J117" s="715"/>
      <c r="K117" s="715"/>
      <c r="L117" s="715"/>
      <c r="M117" s="715"/>
      <c r="N117" s="715"/>
      <c r="O117" s="715"/>
      <c r="P117" s="715"/>
      <c r="Q117" s="715"/>
      <c r="R117" s="715"/>
      <c r="S117" s="715"/>
      <c r="T117" s="715"/>
      <c r="U117" s="715"/>
      <c r="V117" s="715"/>
      <c r="W117" s="715"/>
      <c r="X117" s="715"/>
      <c r="Y117" s="715"/>
      <c r="Z117" s="715"/>
      <c r="AA117" s="715"/>
      <c r="AB117" s="715"/>
      <c r="AC117" s="715"/>
      <c r="AD117" s="715"/>
      <c r="AE117" s="715"/>
      <c r="AF117" s="715"/>
      <c r="AG117" s="715"/>
      <c r="AH117" s="715"/>
      <c r="AI117" s="715"/>
      <c r="AJ117" s="715"/>
      <c r="AK117" s="715"/>
      <c r="AL117" s="715"/>
      <c r="AM117" s="715"/>
      <c r="AN117" s="715"/>
      <c r="AO117" s="715"/>
      <c r="AP117" s="715"/>
      <c r="AQ117" s="715"/>
      <c r="AR117" s="715"/>
      <c r="AS117" s="715"/>
      <c r="AT117" s="715"/>
      <c r="AU117" s="715"/>
      <c r="AV117" s="715"/>
      <c r="AW117" s="715"/>
      <c r="AX117" s="715"/>
      <c r="AY117" s="715"/>
      <c r="AZ117" s="715"/>
      <c r="BA117" s="715"/>
      <c r="BB117" s="715"/>
      <c r="BC117" s="715"/>
      <c r="BD117" s="715"/>
      <c r="BE117" s="715"/>
      <c r="BF117" s="715"/>
      <c r="BG117" s="715"/>
      <c r="BH117" s="715"/>
    </row>
    <row r="118" spans="1:60">
      <c r="A118" s="715"/>
      <c r="B118" s="715"/>
      <c r="C118" s="715"/>
      <c r="D118" s="715"/>
      <c r="E118" s="715"/>
      <c r="F118" s="715"/>
      <c r="G118" s="715"/>
      <c r="H118" s="715"/>
      <c r="I118" s="715"/>
      <c r="J118" s="715"/>
      <c r="K118" s="715"/>
      <c r="L118" s="715"/>
      <c r="M118" s="715"/>
      <c r="N118" s="715"/>
      <c r="O118" s="715"/>
      <c r="P118" s="715"/>
      <c r="Q118" s="715"/>
      <c r="R118" s="715"/>
      <c r="S118" s="715"/>
      <c r="T118" s="715"/>
      <c r="U118" s="715"/>
      <c r="V118" s="715"/>
      <c r="W118" s="715"/>
      <c r="X118" s="715"/>
      <c r="Y118" s="715"/>
      <c r="Z118" s="715"/>
      <c r="AA118" s="715"/>
      <c r="AB118" s="715"/>
      <c r="AC118" s="715"/>
      <c r="AD118" s="715"/>
      <c r="AE118" s="715"/>
      <c r="AF118" s="715"/>
      <c r="AG118" s="715"/>
      <c r="AH118" s="715"/>
      <c r="AI118" s="715"/>
      <c r="AJ118" s="715"/>
      <c r="AK118" s="715"/>
      <c r="AL118" s="715"/>
      <c r="AM118" s="715"/>
      <c r="AN118" s="715"/>
      <c r="AO118" s="715"/>
      <c r="AP118" s="715"/>
      <c r="AQ118" s="715"/>
      <c r="AR118" s="715"/>
      <c r="AS118" s="715"/>
      <c r="AT118" s="715"/>
      <c r="AU118" s="715"/>
      <c r="AV118" s="715"/>
      <c r="AW118" s="715"/>
      <c r="AX118" s="715"/>
      <c r="AY118" s="715"/>
      <c r="AZ118" s="715"/>
      <c r="BA118" s="715"/>
      <c r="BB118" s="715"/>
      <c r="BC118" s="715"/>
      <c r="BD118" s="715"/>
      <c r="BE118" s="715"/>
      <c r="BF118" s="715"/>
      <c r="BG118" s="715"/>
      <c r="BH118" s="715"/>
    </row>
    <row r="119" spans="1:60">
      <c r="A119" s="715"/>
      <c r="B119" s="715"/>
      <c r="C119" s="715"/>
      <c r="D119" s="715"/>
      <c r="E119" s="715"/>
      <c r="F119" s="715"/>
      <c r="G119" s="715"/>
      <c r="H119" s="715"/>
      <c r="I119" s="715"/>
      <c r="J119" s="715"/>
      <c r="K119" s="715"/>
      <c r="L119" s="715"/>
      <c r="M119" s="715"/>
      <c r="N119" s="715"/>
      <c r="O119" s="715"/>
      <c r="P119" s="715"/>
      <c r="Q119" s="715"/>
      <c r="R119" s="715"/>
      <c r="S119" s="715"/>
      <c r="T119" s="715"/>
      <c r="U119" s="715"/>
      <c r="V119" s="715"/>
      <c r="W119" s="715"/>
      <c r="X119" s="715"/>
      <c r="Y119" s="715"/>
      <c r="Z119" s="715"/>
      <c r="AA119" s="715"/>
      <c r="AB119" s="715"/>
      <c r="AC119" s="715"/>
      <c r="AD119" s="715"/>
      <c r="AE119" s="715"/>
      <c r="AF119" s="715"/>
      <c r="AG119" s="715"/>
      <c r="AH119" s="715"/>
      <c r="AI119" s="715"/>
      <c r="AJ119" s="715"/>
      <c r="AK119" s="715"/>
      <c r="AL119" s="715"/>
      <c r="AM119" s="715"/>
      <c r="AN119" s="715"/>
      <c r="AO119" s="715"/>
      <c r="AP119" s="715"/>
      <c r="AQ119" s="715"/>
      <c r="AR119" s="715"/>
      <c r="AS119" s="715"/>
      <c r="AT119" s="715"/>
      <c r="AU119" s="715"/>
      <c r="AV119" s="715"/>
      <c r="AW119" s="715"/>
      <c r="AX119" s="715"/>
      <c r="AY119" s="715"/>
      <c r="AZ119" s="715"/>
      <c r="BA119" s="715"/>
      <c r="BB119" s="715"/>
      <c r="BC119" s="715"/>
      <c r="BD119" s="715"/>
      <c r="BE119" s="715"/>
      <c r="BF119" s="715"/>
      <c r="BG119" s="715"/>
      <c r="BH119" s="715"/>
    </row>
    <row r="120" spans="1:60">
      <c r="A120" s="715"/>
      <c r="B120" s="715"/>
      <c r="C120" s="715"/>
      <c r="D120" s="715"/>
      <c r="E120" s="715"/>
      <c r="F120" s="715"/>
      <c r="G120" s="715"/>
      <c r="H120" s="715"/>
      <c r="I120" s="715"/>
      <c r="J120" s="715"/>
      <c r="K120" s="715"/>
      <c r="L120" s="715"/>
      <c r="M120" s="715"/>
      <c r="N120" s="715"/>
      <c r="O120" s="715"/>
      <c r="P120" s="715"/>
      <c r="Q120" s="715"/>
      <c r="R120" s="715"/>
      <c r="S120" s="715"/>
      <c r="T120" s="715"/>
      <c r="U120" s="715"/>
      <c r="V120" s="715"/>
      <c r="W120" s="715"/>
      <c r="X120" s="715"/>
      <c r="Y120" s="715"/>
      <c r="Z120" s="715"/>
      <c r="AA120" s="715"/>
      <c r="AB120" s="715"/>
      <c r="AC120" s="715"/>
      <c r="AD120" s="715"/>
      <c r="AE120" s="715"/>
      <c r="AF120" s="715"/>
      <c r="AG120" s="715"/>
      <c r="AH120" s="715"/>
      <c r="AI120" s="715"/>
      <c r="AJ120" s="715"/>
      <c r="AK120" s="715"/>
      <c r="AL120" s="715"/>
      <c r="AM120" s="715"/>
      <c r="AN120" s="715"/>
      <c r="AO120" s="715"/>
      <c r="AP120" s="715"/>
      <c r="AQ120" s="715"/>
      <c r="AR120" s="715"/>
      <c r="AS120" s="715"/>
      <c r="AT120" s="715"/>
      <c r="AU120" s="715"/>
      <c r="AV120" s="715"/>
      <c r="AW120" s="715"/>
      <c r="AX120" s="715"/>
      <c r="AY120" s="715"/>
      <c r="AZ120" s="715"/>
      <c r="BA120" s="715"/>
      <c r="BB120" s="715"/>
      <c r="BC120" s="715"/>
      <c r="BD120" s="715"/>
      <c r="BE120" s="715"/>
      <c r="BF120" s="715"/>
      <c r="BG120" s="715"/>
      <c r="BH120" s="715"/>
    </row>
    <row r="121" spans="1:60">
      <c r="A121" s="715"/>
      <c r="B121" s="715"/>
      <c r="C121" s="715"/>
      <c r="D121" s="715"/>
      <c r="E121" s="715"/>
      <c r="F121" s="715"/>
      <c r="G121" s="715"/>
      <c r="H121" s="715"/>
      <c r="I121" s="715"/>
      <c r="J121" s="715"/>
      <c r="K121" s="715"/>
      <c r="L121" s="715"/>
      <c r="M121" s="715"/>
      <c r="N121" s="715"/>
      <c r="O121" s="715"/>
      <c r="P121" s="715"/>
      <c r="Q121" s="715"/>
      <c r="R121" s="715"/>
      <c r="S121" s="715"/>
      <c r="T121" s="715"/>
      <c r="U121" s="715"/>
      <c r="V121" s="715"/>
      <c r="W121" s="715"/>
      <c r="X121" s="715"/>
      <c r="Y121" s="715"/>
      <c r="Z121" s="715"/>
      <c r="AA121" s="715"/>
      <c r="AB121" s="715"/>
      <c r="AC121" s="715"/>
      <c r="AD121" s="715"/>
      <c r="AE121" s="715"/>
      <c r="AF121" s="715"/>
      <c r="AG121" s="715"/>
      <c r="AH121" s="715"/>
      <c r="AI121" s="715"/>
      <c r="AJ121" s="715"/>
      <c r="AK121" s="715"/>
      <c r="AL121" s="715"/>
      <c r="AM121" s="715"/>
      <c r="AN121" s="715"/>
      <c r="AO121" s="715"/>
      <c r="AP121" s="715"/>
      <c r="AQ121" s="715"/>
      <c r="AR121" s="715"/>
      <c r="AS121" s="715"/>
      <c r="AT121" s="715"/>
      <c r="AU121" s="715"/>
      <c r="AV121" s="715"/>
      <c r="AW121" s="715"/>
      <c r="AX121" s="715"/>
      <c r="AY121" s="715"/>
      <c r="AZ121" s="715"/>
      <c r="BA121" s="715"/>
      <c r="BB121" s="715"/>
      <c r="BC121" s="715"/>
      <c r="BD121" s="715"/>
      <c r="BE121" s="715"/>
      <c r="BF121" s="715"/>
      <c r="BG121" s="715"/>
      <c r="BH121" s="715"/>
    </row>
    <row r="122" spans="1:60">
      <c r="A122" s="715"/>
      <c r="B122" s="715"/>
      <c r="C122" s="715"/>
      <c r="D122" s="715"/>
      <c r="E122" s="715"/>
      <c r="F122" s="715"/>
      <c r="G122" s="715"/>
      <c r="H122" s="715"/>
      <c r="I122" s="715"/>
      <c r="J122" s="715"/>
      <c r="K122" s="715"/>
      <c r="L122" s="715"/>
      <c r="M122" s="715"/>
      <c r="N122" s="715"/>
      <c r="O122" s="715"/>
      <c r="P122" s="715"/>
      <c r="Q122" s="715"/>
      <c r="R122" s="715"/>
      <c r="S122" s="715"/>
      <c r="T122" s="715"/>
      <c r="U122" s="715"/>
      <c r="V122" s="715"/>
      <c r="W122" s="715"/>
      <c r="X122" s="715"/>
      <c r="Y122" s="715"/>
      <c r="Z122" s="715"/>
      <c r="AA122" s="715"/>
      <c r="AB122" s="715"/>
      <c r="AC122" s="715"/>
      <c r="AD122" s="715"/>
      <c r="AE122" s="715"/>
      <c r="AF122" s="715"/>
      <c r="AG122" s="715"/>
      <c r="AH122" s="715"/>
      <c r="AI122" s="715"/>
      <c r="AJ122" s="715"/>
      <c r="AK122" s="715"/>
      <c r="AL122" s="715"/>
      <c r="AM122" s="715"/>
      <c r="AN122" s="715"/>
      <c r="AO122" s="715"/>
      <c r="AP122" s="715"/>
      <c r="AQ122" s="715"/>
      <c r="AR122" s="715"/>
      <c r="AS122" s="715"/>
      <c r="AT122" s="715"/>
      <c r="AU122" s="715"/>
      <c r="AV122" s="715"/>
      <c r="AW122" s="715"/>
      <c r="AX122" s="715"/>
      <c r="AY122" s="715"/>
      <c r="AZ122" s="715"/>
      <c r="BA122" s="715"/>
      <c r="BB122" s="715"/>
      <c r="BC122" s="715"/>
      <c r="BD122" s="715"/>
      <c r="BE122" s="715"/>
      <c r="BF122" s="715"/>
      <c r="BG122" s="715"/>
      <c r="BH122" s="715"/>
    </row>
    <row r="123" spans="1:60">
      <c r="A123" s="715"/>
      <c r="B123" s="715"/>
      <c r="C123" s="715"/>
      <c r="D123" s="715"/>
      <c r="E123" s="715"/>
      <c r="F123" s="715"/>
      <c r="G123" s="715"/>
      <c r="H123" s="715"/>
      <c r="I123" s="715"/>
      <c r="J123" s="715"/>
      <c r="K123" s="715"/>
      <c r="L123" s="715"/>
      <c r="M123" s="715"/>
      <c r="N123" s="715"/>
      <c r="O123" s="715"/>
      <c r="P123" s="715"/>
      <c r="Q123" s="715"/>
      <c r="R123" s="715"/>
      <c r="S123" s="715"/>
      <c r="T123" s="715"/>
      <c r="U123" s="715"/>
      <c r="V123" s="715"/>
      <c r="W123" s="715"/>
      <c r="X123" s="715"/>
      <c r="Y123" s="715"/>
      <c r="Z123" s="715"/>
      <c r="AA123" s="715"/>
      <c r="AB123" s="715"/>
      <c r="AC123" s="715"/>
      <c r="AD123" s="715"/>
      <c r="AE123" s="715"/>
      <c r="AF123" s="715"/>
      <c r="AG123" s="715"/>
      <c r="AH123" s="715"/>
      <c r="AI123" s="715"/>
      <c r="AJ123" s="715"/>
      <c r="AK123" s="715"/>
      <c r="AL123" s="715"/>
      <c r="AM123" s="715"/>
      <c r="AN123" s="715"/>
      <c r="AO123" s="715"/>
      <c r="AP123" s="715"/>
      <c r="AQ123" s="715"/>
      <c r="AR123" s="715"/>
      <c r="AS123" s="715"/>
      <c r="AT123" s="715"/>
      <c r="AU123" s="715"/>
      <c r="AV123" s="715"/>
      <c r="AW123" s="715"/>
      <c r="AX123" s="715"/>
      <c r="AY123" s="715"/>
      <c r="AZ123" s="715"/>
      <c r="BA123" s="715"/>
      <c r="BB123" s="715"/>
      <c r="BC123" s="715"/>
      <c r="BD123" s="715"/>
      <c r="BE123" s="715"/>
      <c r="BF123" s="715"/>
      <c r="BG123" s="715"/>
      <c r="BH123" s="715"/>
    </row>
    <row r="124" spans="1:60">
      <c r="A124" s="715"/>
      <c r="B124" s="715"/>
      <c r="C124" s="715"/>
      <c r="D124" s="715"/>
      <c r="E124" s="715"/>
      <c r="F124" s="715"/>
      <c r="G124" s="715"/>
      <c r="H124" s="715"/>
      <c r="I124" s="715"/>
      <c r="J124" s="715"/>
      <c r="K124" s="715"/>
      <c r="L124" s="715"/>
      <c r="M124" s="715"/>
      <c r="N124" s="715"/>
      <c r="O124" s="715"/>
      <c r="P124" s="715"/>
      <c r="Q124" s="715"/>
      <c r="R124" s="715"/>
      <c r="S124" s="715"/>
      <c r="T124" s="715"/>
      <c r="U124" s="715"/>
      <c r="V124" s="715"/>
      <c r="W124" s="715"/>
      <c r="X124" s="715"/>
      <c r="Y124" s="715"/>
      <c r="Z124" s="715"/>
      <c r="AA124" s="715"/>
      <c r="AB124" s="715"/>
      <c r="AC124" s="715"/>
      <c r="AD124" s="715"/>
      <c r="AE124" s="715"/>
      <c r="AF124" s="715"/>
      <c r="AG124" s="715"/>
      <c r="AH124" s="715"/>
      <c r="AI124" s="715"/>
      <c r="AJ124" s="715"/>
      <c r="AK124" s="715"/>
      <c r="AL124" s="715"/>
      <c r="AM124" s="715"/>
      <c r="AN124" s="715"/>
      <c r="AO124" s="715"/>
      <c r="AP124" s="715"/>
      <c r="AQ124" s="715"/>
      <c r="AR124" s="715"/>
      <c r="AS124" s="715"/>
      <c r="AT124" s="715"/>
      <c r="AU124" s="715"/>
      <c r="AV124" s="715"/>
      <c r="AW124" s="715"/>
      <c r="AX124" s="715"/>
      <c r="AY124" s="715"/>
      <c r="AZ124" s="715"/>
      <c r="BA124" s="715"/>
      <c r="BB124" s="715"/>
      <c r="BC124" s="715"/>
      <c r="BD124" s="715"/>
      <c r="BE124" s="715"/>
      <c r="BF124" s="715"/>
      <c r="BG124" s="715"/>
      <c r="BH124" s="715"/>
    </row>
    <row r="125" spans="1:60">
      <c r="A125" s="715"/>
      <c r="B125" s="715"/>
      <c r="C125" s="715"/>
      <c r="D125" s="715"/>
      <c r="E125" s="715"/>
      <c r="F125" s="715"/>
      <c r="G125" s="715"/>
      <c r="H125" s="715"/>
      <c r="I125" s="715"/>
      <c r="J125" s="715"/>
      <c r="K125" s="715"/>
      <c r="L125" s="715"/>
      <c r="M125" s="715"/>
      <c r="N125" s="715"/>
      <c r="O125" s="715"/>
      <c r="P125" s="715"/>
      <c r="Q125" s="715"/>
      <c r="R125" s="715"/>
      <c r="S125" s="715"/>
      <c r="T125" s="715"/>
      <c r="U125" s="715"/>
      <c r="V125" s="715"/>
      <c r="W125" s="715"/>
      <c r="X125" s="715"/>
      <c r="Y125" s="715"/>
      <c r="Z125" s="715"/>
      <c r="AA125" s="715"/>
      <c r="AB125" s="715"/>
      <c r="AC125" s="715"/>
      <c r="AD125" s="715"/>
      <c r="AE125" s="715"/>
      <c r="AF125" s="715"/>
      <c r="AG125" s="715"/>
      <c r="AH125" s="715"/>
      <c r="AI125" s="715"/>
      <c r="AJ125" s="715"/>
      <c r="AK125" s="715"/>
      <c r="AL125" s="715"/>
      <c r="AM125" s="715"/>
      <c r="AN125" s="715"/>
      <c r="AO125" s="715"/>
      <c r="AP125" s="715"/>
      <c r="AQ125" s="715"/>
      <c r="AR125" s="715"/>
      <c r="AS125" s="715"/>
      <c r="AT125" s="715"/>
      <c r="AU125" s="715"/>
      <c r="AV125" s="715"/>
      <c r="AW125" s="715"/>
      <c r="AX125" s="715"/>
      <c r="AY125" s="715"/>
      <c r="AZ125" s="715"/>
      <c r="BA125" s="715"/>
      <c r="BB125" s="715"/>
      <c r="BC125" s="715"/>
      <c r="BD125" s="715"/>
      <c r="BE125" s="715"/>
      <c r="BF125" s="715"/>
      <c r="BG125" s="715"/>
      <c r="BH125" s="715"/>
    </row>
    <row r="126" spans="1:60">
      <c r="A126" s="715"/>
      <c r="B126" s="715"/>
      <c r="C126" s="715"/>
      <c r="D126" s="715"/>
      <c r="E126" s="715"/>
      <c r="F126" s="715"/>
      <c r="G126" s="715"/>
      <c r="H126" s="715"/>
      <c r="I126" s="715"/>
      <c r="J126" s="715"/>
      <c r="K126" s="715"/>
      <c r="L126" s="715"/>
      <c r="M126" s="715"/>
      <c r="N126" s="715"/>
      <c r="O126" s="715"/>
      <c r="P126" s="715"/>
      <c r="Q126" s="715"/>
      <c r="R126" s="715"/>
      <c r="S126" s="715"/>
      <c r="T126" s="715"/>
      <c r="U126" s="715"/>
      <c r="V126" s="715"/>
      <c r="W126" s="715"/>
      <c r="X126" s="715"/>
      <c r="Y126" s="715"/>
      <c r="Z126" s="715"/>
      <c r="AA126" s="715"/>
      <c r="AB126" s="715"/>
      <c r="AC126" s="715"/>
      <c r="AD126" s="715"/>
      <c r="AE126" s="715"/>
      <c r="AF126" s="715"/>
      <c r="AG126" s="715"/>
      <c r="AH126" s="715"/>
      <c r="AI126" s="715"/>
      <c r="AJ126" s="715"/>
      <c r="AK126" s="715"/>
      <c r="AL126" s="715"/>
      <c r="AM126" s="715"/>
      <c r="AN126" s="715"/>
      <c r="AO126" s="715"/>
      <c r="AP126" s="715"/>
      <c r="AQ126" s="715"/>
      <c r="AR126" s="715"/>
      <c r="AS126" s="715"/>
      <c r="AT126" s="715"/>
      <c r="AU126" s="715"/>
      <c r="AV126" s="715"/>
      <c r="AW126" s="715"/>
      <c r="AX126" s="715"/>
      <c r="AY126" s="715"/>
      <c r="AZ126" s="715"/>
      <c r="BA126" s="715"/>
      <c r="BB126" s="715"/>
      <c r="BC126" s="715"/>
      <c r="BD126" s="715"/>
      <c r="BE126" s="715"/>
      <c r="BF126" s="715"/>
      <c r="BG126" s="715"/>
      <c r="BH126" s="715"/>
    </row>
    <row r="127" spans="1:60">
      <c r="A127" s="715"/>
      <c r="B127" s="715"/>
      <c r="C127" s="715"/>
      <c r="D127" s="715"/>
      <c r="E127" s="715"/>
      <c r="F127" s="715"/>
      <c r="G127" s="715"/>
      <c r="H127" s="715"/>
      <c r="I127" s="715"/>
      <c r="J127" s="715"/>
      <c r="K127" s="715"/>
      <c r="L127" s="715"/>
      <c r="M127" s="715"/>
      <c r="N127" s="715"/>
      <c r="O127" s="715"/>
      <c r="P127" s="715"/>
      <c r="Q127" s="715"/>
      <c r="R127" s="715"/>
      <c r="S127" s="715"/>
      <c r="T127" s="715"/>
      <c r="U127" s="715"/>
      <c r="V127" s="715"/>
      <c r="W127" s="715"/>
      <c r="X127" s="715"/>
      <c r="Y127" s="715"/>
      <c r="Z127" s="715"/>
      <c r="AA127" s="715"/>
      <c r="AB127" s="715"/>
      <c r="AC127" s="715"/>
      <c r="AD127" s="715"/>
      <c r="AE127" s="715"/>
      <c r="AF127" s="715"/>
      <c r="AG127" s="715"/>
      <c r="AH127" s="715"/>
      <c r="AI127" s="715"/>
      <c r="AJ127" s="715"/>
      <c r="AK127" s="715"/>
      <c r="AL127" s="715"/>
      <c r="AM127" s="715"/>
      <c r="AN127" s="715"/>
      <c r="AO127" s="715"/>
      <c r="AP127" s="715"/>
      <c r="AQ127" s="715"/>
      <c r="AR127" s="715"/>
      <c r="AS127" s="715"/>
      <c r="AT127" s="715"/>
      <c r="AU127" s="715"/>
      <c r="AV127" s="715"/>
      <c r="AW127" s="715"/>
      <c r="AX127" s="715"/>
      <c r="AY127" s="715"/>
      <c r="AZ127" s="715"/>
      <c r="BA127" s="715"/>
      <c r="BB127" s="715"/>
      <c r="BC127" s="715"/>
      <c r="BD127" s="715"/>
      <c r="BE127" s="715"/>
      <c r="BF127" s="715"/>
      <c r="BG127" s="715"/>
      <c r="BH127" s="715"/>
    </row>
    <row r="128" spans="1:60">
      <c r="A128" s="715"/>
      <c r="B128" s="715"/>
      <c r="C128" s="715"/>
      <c r="D128" s="715"/>
      <c r="E128" s="715"/>
      <c r="F128" s="715"/>
      <c r="G128" s="715"/>
      <c r="H128" s="715"/>
      <c r="I128" s="715"/>
      <c r="J128" s="715"/>
      <c r="K128" s="715"/>
      <c r="L128" s="715"/>
      <c r="M128" s="715"/>
      <c r="N128" s="715"/>
      <c r="O128" s="715"/>
      <c r="P128" s="715"/>
      <c r="Q128" s="715"/>
      <c r="R128" s="715"/>
      <c r="S128" s="715"/>
      <c r="T128" s="715"/>
      <c r="U128" s="715"/>
      <c r="V128" s="715"/>
      <c r="W128" s="715"/>
      <c r="X128" s="715"/>
      <c r="Y128" s="715"/>
      <c r="Z128" s="715"/>
      <c r="AA128" s="715"/>
      <c r="AB128" s="715"/>
      <c r="AC128" s="715"/>
      <c r="AD128" s="715"/>
      <c r="AE128" s="715"/>
      <c r="AF128" s="715"/>
      <c r="AG128" s="715"/>
      <c r="AH128" s="715"/>
      <c r="AI128" s="715"/>
      <c r="AJ128" s="715"/>
      <c r="AK128" s="715"/>
      <c r="AL128" s="715"/>
      <c r="AM128" s="715"/>
      <c r="AN128" s="715"/>
      <c r="AO128" s="715"/>
      <c r="AP128" s="715"/>
      <c r="AQ128" s="715"/>
      <c r="AR128" s="715"/>
      <c r="AS128" s="715"/>
      <c r="AT128" s="715"/>
      <c r="AU128" s="715"/>
      <c r="AV128" s="715"/>
      <c r="AW128" s="715"/>
      <c r="AX128" s="715"/>
      <c r="AY128" s="715"/>
      <c r="AZ128" s="715"/>
      <c r="BA128" s="715"/>
      <c r="BB128" s="715"/>
      <c r="BC128" s="715"/>
      <c r="BD128" s="715"/>
      <c r="BE128" s="715"/>
      <c r="BF128" s="715"/>
      <c r="BG128" s="715"/>
      <c r="BH128" s="715"/>
    </row>
    <row r="129" spans="1:60">
      <c r="A129" s="715"/>
      <c r="B129" s="715"/>
      <c r="C129" s="715"/>
      <c r="D129" s="715"/>
      <c r="E129" s="715"/>
      <c r="F129" s="715"/>
      <c r="G129" s="715"/>
      <c r="H129" s="715"/>
      <c r="I129" s="715"/>
      <c r="J129" s="715"/>
      <c r="K129" s="715"/>
      <c r="L129" s="715"/>
      <c r="M129" s="715"/>
      <c r="N129" s="715"/>
      <c r="O129" s="715"/>
      <c r="P129" s="715"/>
      <c r="Q129" s="715"/>
      <c r="R129" s="715"/>
      <c r="S129" s="715"/>
      <c r="T129" s="715"/>
      <c r="U129" s="715"/>
      <c r="V129" s="715"/>
      <c r="W129" s="715"/>
      <c r="X129" s="715"/>
      <c r="Y129" s="715"/>
      <c r="Z129" s="715"/>
      <c r="AA129" s="715"/>
      <c r="AB129" s="715"/>
      <c r="AC129" s="715"/>
      <c r="AD129" s="715"/>
      <c r="AE129" s="715"/>
      <c r="AF129" s="715"/>
      <c r="AG129" s="715"/>
      <c r="AH129" s="715"/>
      <c r="AI129" s="715"/>
      <c r="AJ129" s="715"/>
      <c r="AK129" s="715"/>
      <c r="AL129" s="715"/>
      <c r="AM129" s="715"/>
      <c r="AN129" s="715"/>
      <c r="AO129" s="715"/>
      <c r="AP129" s="715"/>
      <c r="AQ129" s="715"/>
      <c r="AR129" s="715"/>
      <c r="AS129" s="715"/>
      <c r="AT129" s="715"/>
      <c r="AU129" s="715"/>
      <c r="AV129" s="715"/>
      <c r="AW129" s="715"/>
      <c r="AX129" s="715"/>
      <c r="AY129" s="715"/>
      <c r="AZ129" s="715"/>
      <c r="BA129" s="715"/>
      <c r="BB129" s="715"/>
      <c r="BC129" s="715"/>
      <c r="BD129" s="715"/>
      <c r="BE129" s="715"/>
      <c r="BF129" s="715"/>
      <c r="BG129" s="715"/>
      <c r="BH129" s="715"/>
    </row>
    <row r="130" spans="1:60">
      <c r="A130" s="715"/>
      <c r="B130" s="715"/>
      <c r="C130" s="715"/>
      <c r="D130" s="715"/>
      <c r="E130" s="715"/>
      <c r="F130" s="715"/>
      <c r="G130" s="715"/>
      <c r="H130" s="715"/>
      <c r="I130" s="715"/>
      <c r="J130" s="715"/>
      <c r="K130" s="715"/>
      <c r="L130" s="715"/>
      <c r="M130" s="715"/>
      <c r="N130" s="715"/>
      <c r="O130" s="715"/>
      <c r="P130" s="715"/>
      <c r="Q130" s="715"/>
      <c r="R130" s="715"/>
      <c r="S130" s="715"/>
      <c r="T130" s="715"/>
      <c r="U130" s="715"/>
      <c r="V130" s="715"/>
      <c r="W130" s="715"/>
      <c r="X130" s="715"/>
      <c r="Y130" s="715"/>
      <c r="Z130" s="715"/>
      <c r="AA130" s="715"/>
      <c r="AB130" s="715"/>
      <c r="AC130" s="715"/>
      <c r="AD130" s="715"/>
      <c r="AE130" s="715"/>
      <c r="AF130" s="715"/>
      <c r="AG130" s="715"/>
      <c r="AH130" s="715"/>
      <c r="AI130" s="715"/>
      <c r="AJ130" s="715"/>
      <c r="AK130" s="715"/>
      <c r="AL130" s="715"/>
      <c r="AM130" s="715"/>
      <c r="AN130" s="715"/>
      <c r="AO130" s="715"/>
      <c r="AP130" s="715"/>
      <c r="AQ130" s="715"/>
      <c r="AR130" s="715"/>
      <c r="AS130" s="715"/>
      <c r="AT130" s="715"/>
      <c r="AU130" s="715"/>
      <c r="AV130" s="715"/>
      <c r="AW130" s="715"/>
      <c r="AX130" s="715"/>
      <c r="AY130" s="715"/>
      <c r="AZ130" s="715"/>
      <c r="BA130" s="715"/>
      <c r="BB130" s="715"/>
      <c r="BC130" s="715"/>
      <c r="BD130" s="715"/>
      <c r="BE130" s="715"/>
      <c r="BF130" s="715"/>
      <c r="BG130" s="715"/>
      <c r="BH130" s="715"/>
    </row>
    <row r="131" spans="1:60">
      <c r="A131" s="715"/>
      <c r="B131" s="715"/>
      <c r="C131" s="715"/>
      <c r="D131" s="715"/>
      <c r="E131" s="715"/>
      <c r="F131" s="715"/>
      <c r="G131" s="715"/>
      <c r="H131" s="715"/>
      <c r="I131" s="715"/>
      <c r="J131" s="715"/>
      <c r="K131" s="715"/>
      <c r="L131" s="715"/>
      <c r="M131" s="715"/>
      <c r="N131" s="715"/>
      <c r="O131" s="715"/>
      <c r="P131" s="715"/>
      <c r="Q131" s="715"/>
      <c r="R131" s="715"/>
      <c r="S131" s="715"/>
      <c r="T131" s="715"/>
      <c r="U131" s="715"/>
      <c r="V131" s="715"/>
      <c r="W131" s="715"/>
      <c r="X131" s="715"/>
      <c r="Y131" s="715"/>
      <c r="Z131" s="715"/>
      <c r="AA131" s="715"/>
      <c r="AB131" s="715"/>
      <c r="AC131" s="715"/>
      <c r="AD131" s="715"/>
      <c r="AE131" s="715"/>
      <c r="AF131" s="715"/>
      <c r="AG131" s="715"/>
      <c r="AH131" s="715"/>
      <c r="AI131" s="715"/>
      <c r="AJ131" s="715"/>
      <c r="AK131" s="715"/>
      <c r="AL131" s="715"/>
      <c r="AM131" s="715"/>
      <c r="AN131" s="715"/>
      <c r="AO131" s="715"/>
      <c r="AP131" s="715"/>
      <c r="AQ131" s="715"/>
      <c r="AR131" s="715"/>
      <c r="AS131" s="715"/>
      <c r="AT131" s="715"/>
      <c r="AU131" s="715"/>
      <c r="AV131" s="715"/>
      <c r="AW131" s="715"/>
      <c r="AX131" s="715"/>
      <c r="AY131" s="715"/>
      <c r="AZ131" s="715"/>
      <c r="BA131" s="715"/>
      <c r="BB131" s="715"/>
      <c r="BC131" s="715"/>
      <c r="BD131" s="715"/>
      <c r="BE131" s="715"/>
      <c r="BF131" s="715"/>
      <c r="BG131" s="715"/>
      <c r="BH131" s="715"/>
    </row>
    <row r="132" spans="1:60">
      <c r="A132" s="715"/>
      <c r="B132" s="715"/>
      <c r="C132" s="715"/>
      <c r="D132" s="715"/>
      <c r="E132" s="715"/>
      <c r="F132" s="715"/>
      <c r="G132" s="715"/>
      <c r="H132" s="715"/>
      <c r="I132" s="715"/>
      <c r="J132" s="715"/>
      <c r="K132" s="715"/>
      <c r="L132" s="715"/>
      <c r="M132" s="715"/>
      <c r="N132" s="715"/>
      <c r="O132" s="715"/>
      <c r="P132" s="715"/>
      <c r="Q132" s="715"/>
      <c r="R132" s="715"/>
      <c r="S132" s="715"/>
      <c r="T132" s="715"/>
      <c r="U132" s="715"/>
      <c r="V132" s="715"/>
      <c r="W132" s="715"/>
      <c r="X132" s="715"/>
      <c r="Y132" s="715"/>
      <c r="Z132" s="715"/>
      <c r="AA132" s="715"/>
      <c r="AB132" s="715"/>
      <c r="AC132" s="715"/>
      <c r="AD132" s="715"/>
      <c r="AE132" s="715"/>
      <c r="AF132" s="715"/>
      <c r="AG132" s="715"/>
      <c r="AH132" s="715"/>
      <c r="AI132" s="715"/>
      <c r="AJ132" s="715"/>
      <c r="AK132" s="715"/>
      <c r="AL132" s="715"/>
      <c r="AM132" s="715"/>
      <c r="AN132" s="715"/>
      <c r="AO132" s="715"/>
      <c r="AP132" s="715"/>
      <c r="AQ132" s="715"/>
      <c r="AR132" s="715"/>
      <c r="AS132" s="715"/>
      <c r="AT132" s="715"/>
      <c r="AU132" s="715"/>
      <c r="AV132" s="715"/>
      <c r="AW132" s="715"/>
      <c r="AX132" s="715"/>
      <c r="AY132" s="715"/>
      <c r="AZ132" s="715"/>
      <c r="BA132" s="715"/>
      <c r="BB132" s="715"/>
      <c r="BC132" s="715"/>
      <c r="BD132" s="715"/>
      <c r="BE132" s="715"/>
      <c r="BF132" s="715"/>
      <c r="BG132" s="715"/>
      <c r="BH132" s="715"/>
    </row>
    <row r="133" spans="1:60">
      <c r="A133" s="715"/>
      <c r="B133" s="715"/>
      <c r="C133" s="715"/>
      <c r="D133" s="715"/>
      <c r="E133" s="715"/>
      <c r="F133" s="715"/>
      <c r="G133" s="715"/>
      <c r="H133" s="715"/>
      <c r="I133" s="715"/>
      <c r="J133" s="715"/>
      <c r="K133" s="715"/>
      <c r="L133" s="715"/>
      <c r="M133" s="715"/>
      <c r="N133" s="715"/>
      <c r="O133" s="715"/>
      <c r="P133" s="715"/>
      <c r="Q133" s="715"/>
      <c r="R133" s="715"/>
      <c r="S133" s="715"/>
      <c r="T133" s="715"/>
      <c r="U133" s="715"/>
      <c r="V133" s="715"/>
      <c r="W133" s="715"/>
      <c r="X133" s="715"/>
      <c r="Y133" s="715"/>
      <c r="Z133" s="715"/>
      <c r="AA133" s="715"/>
      <c r="AB133" s="715"/>
      <c r="AC133" s="715"/>
      <c r="AD133" s="715"/>
      <c r="AE133" s="715"/>
      <c r="AF133" s="715"/>
      <c r="AG133" s="715"/>
      <c r="AH133" s="715"/>
      <c r="AI133" s="715"/>
      <c r="AJ133" s="715"/>
      <c r="AK133" s="715"/>
      <c r="AL133" s="715"/>
      <c r="AM133" s="715"/>
      <c r="AN133" s="715"/>
      <c r="AO133" s="715"/>
      <c r="AP133" s="715"/>
      <c r="AQ133" s="715"/>
      <c r="AR133" s="715"/>
      <c r="AS133" s="715"/>
      <c r="AT133" s="715"/>
      <c r="AU133" s="715"/>
      <c r="AV133" s="715"/>
      <c r="AW133" s="715"/>
      <c r="AX133" s="715"/>
      <c r="AY133" s="715"/>
      <c r="AZ133" s="715"/>
      <c r="BA133" s="715"/>
      <c r="BB133" s="715"/>
      <c r="BC133" s="715"/>
      <c r="BD133" s="715"/>
      <c r="BE133" s="715"/>
      <c r="BF133" s="715"/>
      <c r="BG133" s="715"/>
      <c r="BH133" s="715"/>
    </row>
    <row r="134" spans="1:60">
      <c r="A134" s="715"/>
      <c r="B134" s="715"/>
      <c r="C134" s="715"/>
      <c r="D134" s="715"/>
      <c r="E134" s="715"/>
      <c r="F134" s="715"/>
      <c r="G134" s="715"/>
      <c r="H134" s="715"/>
      <c r="I134" s="715"/>
      <c r="J134" s="715"/>
      <c r="K134" s="715"/>
      <c r="L134" s="715"/>
      <c r="M134" s="715"/>
      <c r="N134" s="715"/>
      <c r="O134" s="715"/>
      <c r="P134" s="715"/>
      <c r="Q134" s="715"/>
      <c r="R134" s="715"/>
      <c r="S134" s="715"/>
      <c r="T134" s="715"/>
      <c r="U134" s="715"/>
      <c r="V134" s="715"/>
      <c r="W134" s="715"/>
      <c r="X134" s="715"/>
      <c r="Y134" s="715"/>
      <c r="Z134" s="715"/>
      <c r="AA134" s="715"/>
      <c r="AB134" s="715"/>
      <c r="AC134" s="715"/>
      <c r="AD134" s="715"/>
      <c r="AE134" s="715"/>
      <c r="AF134" s="715"/>
      <c r="AG134" s="715"/>
      <c r="AH134" s="715"/>
      <c r="AI134" s="715"/>
      <c r="AJ134" s="715"/>
      <c r="AK134" s="715"/>
      <c r="AL134" s="715"/>
      <c r="AM134" s="715"/>
      <c r="AN134" s="715"/>
      <c r="AO134" s="715"/>
      <c r="AP134" s="715"/>
      <c r="AQ134" s="715"/>
      <c r="AR134" s="715"/>
      <c r="AS134" s="715"/>
      <c r="AT134" s="715"/>
      <c r="AU134" s="715"/>
      <c r="AV134" s="715"/>
      <c r="AW134" s="715"/>
      <c r="AX134" s="715"/>
      <c r="AY134" s="715"/>
      <c r="AZ134" s="715"/>
      <c r="BA134" s="715"/>
      <c r="BB134" s="715"/>
      <c r="BC134" s="715"/>
      <c r="BD134" s="715"/>
      <c r="BE134" s="715"/>
      <c r="BF134" s="715"/>
      <c r="BG134" s="715"/>
      <c r="BH134" s="715"/>
    </row>
    <row r="135" spans="1:60">
      <c r="A135" s="715"/>
      <c r="B135" s="715"/>
      <c r="C135" s="715"/>
      <c r="D135" s="715"/>
      <c r="E135" s="715"/>
      <c r="F135" s="715"/>
      <c r="G135" s="715"/>
      <c r="H135" s="715"/>
      <c r="I135" s="715"/>
      <c r="J135" s="715"/>
      <c r="K135" s="715"/>
      <c r="L135" s="715"/>
      <c r="M135" s="715"/>
      <c r="N135" s="715"/>
      <c r="O135" s="715"/>
      <c r="P135" s="715"/>
      <c r="Q135" s="715"/>
      <c r="R135" s="715"/>
      <c r="S135" s="715"/>
      <c r="T135" s="715"/>
      <c r="U135" s="715"/>
      <c r="V135" s="715"/>
      <c r="W135" s="715"/>
      <c r="X135" s="715"/>
      <c r="Y135" s="715"/>
      <c r="Z135" s="715"/>
      <c r="AA135" s="715"/>
      <c r="AB135" s="715"/>
      <c r="AC135" s="715"/>
      <c r="AD135" s="715"/>
      <c r="AE135" s="715"/>
      <c r="AF135" s="715"/>
      <c r="AG135" s="715"/>
      <c r="AH135" s="715"/>
      <c r="AI135" s="715"/>
      <c r="AJ135" s="715"/>
      <c r="AK135" s="715"/>
      <c r="AL135" s="715"/>
      <c r="AM135" s="715"/>
      <c r="AN135" s="715"/>
      <c r="AO135" s="715"/>
      <c r="AP135" s="715"/>
      <c r="AQ135" s="715"/>
      <c r="AR135" s="715"/>
      <c r="AS135" s="715"/>
      <c r="AT135" s="715"/>
      <c r="AU135" s="715"/>
      <c r="AV135" s="715"/>
      <c r="AW135" s="715"/>
      <c r="AX135" s="715"/>
      <c r="AY135" s="715"/>
      <c r="AZ135" s="715"/>
      <c r="BA135" s="715"/>
      <c r="BB135" s="715"/>
      <c r="BC135" s="715"/>
      <c r="BD135" s="715"/>
      <c r="BE135" s="715"/>
      <c r="BF135" s="715"/>
      <c r="BG135" s="715"/>
      <c r="BH135" s="715"/>
    </row>
    <row r="136" spans="1:60">
      <c r="A136" s="715"/>
      <c r="B136" s="715"/>
      <c r="C136" s="715"/>
      <c r="D136" s="715"/>
      <c r="E136" s="715"/>
      <c r="F136" s="715"/>
      <c r="G136" s="715"/>
      <c r="H136" s="715"/>
      <c r="I136" s="715"/>
      <c r="J136" s="715"/>
      <c r="K136" s="715"/>
      <c r="L136" s="715"/>
      <c r="M136" s="715"/>
      <c r="N136" s="715"/>
      <c r="O136" s="715"/>
      <c r="P136" s="715"/>
      <c r="Q136" s="715"/>
      <c r="R136" s="715"/>
      <c r="S136" s="715"/>
      <c r="T136" s="715"/>
      <c r="U136" s="715"/>
      <c r="V136" s="715"/>
      <c r="W136" s="715"/>
      <c r="X136" s="715"/>
      <c r="Y136" s="715"/>
      <c r="Z136" s="715"/>
      <c r="AA136" s="715"/>
      <c r="AB136" s="715"/>
      <c r="AC136" s="715"/>
      <c r="AD136" s="715"/>
      <c r="AE136" s="715"/>
      <c r="AF136" s="715"/>
      <c r="AG136" s="715"/>
      <c r="AH136" s="715"/>
      <c r="AI136" s="715"/>
      <c r="AJ136" s="715"/>
      <c r="AK136" s="715"/>
      <c r="AL136" s="715"/>
      <c r="AM136" s="715"/>
      <c r="AN136" s="715"/>
      <c r="AO136" s="715"/>
      <c r="AP136" s="715"/>
      <c r="AQ136" s="715"/>
      <c r="AR136" s="715"/>
      <c r="AS136" s="715"/>
      <c r="AT136" s="715"/>
      <c r="AU136" s="715"/>
      <c r="AV136" s="715"/>
      <c r="AW136" s="715"/>
      <c r="AX136" s="715"/>
      <c r="AY136" s="715"/>
      <c r="AZ136" s="715"/>
      <c r="BA136" s="715"/>
      <c r="BB136" s="715"/>
      <c r="BC136" s="715"/>
      <c r="BD136" s="715"/>
      <c r="BE136" s="715"/>
      <c r="BF136" s="715"/>
      <c r="BG136" s="715"/>
      <c r="BH136" s="715"/>
    </row>
    <row r="137" spans="1:60">
      <c r="A137" s="715"/>
      <c r="B137" s="715"/>
      <c r="C137" s="715"/>
      <c r="D137" s="715"/>
      <c r="E137" s="715"/>
      <c r="F137" s="715"/>
      <c r="G137" s="715"/>
      <c r="H137" s="715"/>
      <c r="I137" s="715"/>
      <c r="J137" s="715"/>
      <c r="K137" s="715"/>
      <c r="L137" s="715"/>
      <c r="M137" s="715"/>
      <c r="N137" s="715"/>
      <c r="O137" s="715"/>
      <c r="P137" s="715"/>
      <c r="Q137" s="715"/>
      <c r="R137" s="715"/>
      <c r="S137" s="715"/>
      <c r="T137" s="715"/>
      <c r="U137" s="715"/>
      <c r="V137" s="715"/>
      <c r="W137" s="715"/>
      <c r="X137" s="715"/>
      <c r="Y137" s="715"/>
      <c r="Z137" s="715"/>
      <c r="AA137" s="715"/>
      <c r="AB137" s="715"/>
      <c r="AC137" s="715"/>
      <c r="AD137" s="715"/>
      <c r="AE137" s="715"/>
      <c r="AF137" s="715"/>
      <c r="AG137" s="715"/>
      <c r="AH137" s="715"/>
      <c r="AI137" s="715"/>
      <c r="AJ137" s="715"/>
      <c r="AK137" s="715"/>
      <c r="AL137" s="715"/>
      <c r="AM137" s="715"/>
      <c r="AN137" s="715"/>
      <c r="AO137" s="715"/>
      <c r="AP137" s="715"/>
      <c r="AQ137" s="715"/>
      <c r="AR137" s="715"/>
      <c r="AS137" s="715"/>
      <c r="AT137" s="715"/>
      <c r="AU137" s="715"/>
      <c r="AV137" s="715"/>
      <c r="AW137" s="715"/>
      <c r="AX137" s="715"/>
      <c r="AY137" s="715"/>
      <c r="AZ137" s="715"/>
      <c r="BA137" s="715"/>
      <c r="BB137" s="715"/>
      <c r="BC137" s="715"/>
      <c r="BD137" s="715"/>
      <c r="BE137" s="715"/>
      <c r="BF137" s="715"/>
      <c r="BG137" s="715"/>
      <c r="BH137" s="715"/>
    </row>
    <row r="138" spans="1:60">
      <c r="A138" s="715"/>
      <c r="B138" s="715"/>
      <c r="C138" s="715"/>
      <c r="D138" s="715"/>
      <c r="E138" s="715"/>
      <c r="F138" s="715"/>
      <c r="G138" s="715"/>
      <c r="H138" s="715"/>
      <c r="I138" s="715"/>
      <c r="J138" s="715"/>
      <c r="K138" s="715"/>
      <c r="L138" s="715"/>
      <c r="M138" s="715"/>
      <c r="N138" s="715"/>
      <c r="O138" s="715"/>
      <c r="P138" s="715"/>
      <c r="Q138" s="715"/>
      <c r="R138" s="715"/>
      <c r="S138" s="715"/>
      <c r="T138" s="715"/>
      <c r="U138" s="715"/>
      <c r="V138" s="715"/>
      <c r="W138" s="715"/>
      <c r="X138" s="715"/>
      <c r="Y138" s="715"/>
      <c r="Z138" s="715"/>
      <c r="AA138" s="715"/>
      <c r="AB138" s="715"/>
      <c r="AC138" s="715"/>
      <c r="AD138" s="715"/>
      <c r="AE138" s="715"/>
      <c r="AF138" s="715"/>
      <c r="AG138" s="715"/>
      <c r="AH138" s="715"/>
      <c r="AI138" s="715"/>
      <c r="AJ138" s="715"/>
      <c r="AK138" s="715"/>
      <c r="AL138" s="715"/>
      <c r="AM138" s="715"/>
      <c r="AN138" s="715"/>
      <c r="AO138" s="715"/>
      <c r="AP138" s="715"/>
      <c r="AQ138" s="715"/>
      <c r="AR138" s="715"/>
      <c r="AS138" s="715"/>
      <c r="AT138" s="715"/>
      <c r="AU138" s="715"/>
      <c r="AV138" s="715"/>
      <c r="AW138" s="715"/>
      <c r="AX138" s="715"/>
      <c r="AY138" s="715"/>
      <c r="AZ138" s="715"/>
      <c r="BA138" s="715"/>
      <c r="BB138" s="715"/>
      <c r="BC138" s="715"/>
      <c r="BD138" s="715"/>
      <c r="BE138" s="715"/>
      <c r="BF138" s="715"/>
      <c r="BG138" s="715"/>
      <c r="BH138" s="715"/>
    </row>
    <row r="139" spans="1:60">
      <c r="A139" s="715"/>
      <c r="B139" s="715"/>
      <c r="C139" s="715"/>
      <c r="D139" s="715"/>
      <c r="E139" s="715"/>
      <c r="F139" s="715"/>
      <c r="G139" s="715"/>
      <c r="H139" s="715"/>
      <c r="I139" s="715"/>
      <c r="J139" s="715"/>
      <c r="K139" s="715"/>
      <c r="L139" s="715"/>
      <c r="M139" s="715"/>
      <c r="N139" s="715"/>
      <c r="O139" s="715"/>
      <c r="P139" s="715"/>
      <c r="Q139" s="715"/>
      <c r="R139" s="715"/>
      <c r="S139" s="715"/>
      <c r="T139" s="715"/>
      <c r="U139" s="715"/>
      <c r="V139" s="715"/>
      <c r="W139" s="715"/>
      <c r="X139" s="715"/>
      <c r="Y139" s="715"/>
      <c r="Z139" s="715"/>
      <c r="AA139" s="715"/>
      <c r="AB139" s="715"/>
      <c r="AC139" s="715"/>
      <c r="AD139" s="715"/>
      <c r="AE139" s="715"/>
      <c r="AF139" s="715"/>
      <c r="AG139" s="715"/>
      <c r="AH139" s="715"/>
      <c r="AI139" s="715"/>
      <c r="AJ139" s="715"/>
      <c r="AK139" s="715"/>
      <c r="AL139" s="715"/>
      <c r="AM139" s="715"/>
      <c r="AN139" s="715"/>
      <c r="AO139" s="715"/>
      <c r="AP139" s="715"/>
      <c r="AQ139" s="715"/>
      <c r="AR139" s="715"/>
      <c r="AS139" s="715"/>
      <c r="AT139" s="715"/>
      <c r="AU139" s="715"/>
      <c r="AV139" s="715"/>
      <c r="AW139" s="715"/>
      <c r="AX139" s="715"/>
      <c r="AY139" s="715"/>
      <c r="AZ139" s="715"/>
      <c r="BA139" s="715"/>
      <c r="BB139" s="715"/>
      <c r="BC139" s="715"/>
      <c r="BD139" s="715"/>
      <c r="BE139" s="715"/>
      <c r="BF139" s="715"/>
      <c r="BG139" s="715"/>
      <c r="BH139" s="715"/>
    </row>
    <row r="140" spans="1:60">
      <c r="A140" s="715"/>
      <c r="B140" s="715"/>
      <c r="C140" s="715"/>
      <c r="D140" s="715"/>
      <c r="E140" s="715"/>
      <c r="F140" s="715"/>
      <c r="G140" s="715"/>
      <c r="H140" s="715"/>
      <c r="I140" s="715"/>
      <c r="J140" s="715"/>
      <c r="K140" s="715"/>
      <c r="L140" s="715"/>
      <c r="M140" s="715"/>
      <c r="N140" s="715"/>
      <c r="O140" s="715"/>
      <c r="P140" s="715"/>
      <c r="Q140" s="715"/>
      <c r="R140" s="715"/>
      <c r="S140" s="715"/>
      <c r="T140" s="715"/>
      <c r="U140" s="715"/>
      <c r="V140" s="715"/>
      <c r="W140" s="715"/>
      <c r="X140" s="715"/>
      <c r="Y140" s="715"/>
      <c r="Z140" s="715"/>
      <c r="AA140" s="715"/>
      <c r="AB140" s="715"/>
      <c r="AC140" s="715"/>
      <c r="AD140" s="715"/>
      <c r="AE140" s="715"/>
      <c r="AF140" s="715"/>
      <c r="AG140" s="715"/>
      <c r="AH140" s="715"/>
      <c r="AI140" s="715"/>
      <c r="AJ140" s="715"/>
      <c r="AK140" s="715"/>
      <c r="AL140" s="715"/>
      <c r="AM140" s="715"/>
      <c r="AN140" s="715"/>
      <c r="AO140" s="715"/>
      <c r="AP140" s="715"/>
      <c r="AQ140" s="715"/>
      <c r="AR140" s="715"/>
      <c r="AS140" s="715"/>
      <c r="AT140" s="715"/>
      <c r="AU140" s="715"/>
      <c r="AV140" s="715"/>
      <c r="AW140" s="715"/>
      <c r="AX140" s="715"/>
      <c r="AY140" s="715"/>
      <c r="AZ140" s="715"/>
      <c r="BA140" s="715"/>
      <c r="BB140" s="715"/>
      <c r="BC140" s="715"/>
      <c r="BD140" s="715"/>
      <c r="BE140" s="715"/>
      <c r="BF140" s="715"/>
      <c r="BG140" s="715"/>
      <c r="BH140" s="715"/>
    </row>
    <row r="141" spans="1:60">
      <c r="A141" s="715"/>
      <c r="B141" s="715"/>
      <c r="C141" s="715"/>
      <c r="D141" s="715"/>
      <c r="E141" s="715"/>
      <c r="F141" s="715"/>
      <c r="G141" s="715"/>
      <c r="H141" s="715"/>
      <c r="I141" s="715"/>
      <c r="J141" s="715"/>
      <c r="K141" s="715"/>
      <c r="L141" s="715"/>
      <c r="M141" s="715"/>
      <c r="N141" s="715"/>
      <c r="O141" s="715"/>
      <c r="P141" s="715"/>
      <c r="Q141" s="715"/>
      <c r="R141" s="715"/>
      <c r="S141" s="715"/>
      <c r="T141" s="715"/>
      <c r="U141" s="715"/>
      <c r="V141" s="715"/>
      <c r="W141" s="715"/>
      <c r="X141" s="715"/>
      <c r="Y141" s="715"/>
      <c r="Z141" s="715"/>
      <c r="AA141" s="715"/>
      <c r="AB141" s="715"/>
      <c r="AC141" s="715"/>
      <c r="AD141" s="715"/>
      <c r="AE141" s="715"/>
      <c r="AF141" s="715"/>
      <c r="AG141" s="715"/>
      <c r="AH141" s="715"/>
      <c r="AI141" s="715"/>
      <c r="AJ141" s="715"/>
      <c r="AK141" s="715"/>
      <c r="AL141" s="715"/>
      <c r="AM141" s="715"/>
      <c r="AN141" s="715"/>
      <c r="AO141" s="715"/>
      <c r="AP141" s="715"/>
      <c r="AQ141" s="715"/>
      <c r="AR141" s="715"/>
      <c r="AS141" s="715"/>
      <c r="AT141" s="715"/>
      <c r="AU141" s="715"/>
      <c r="AV141" s="715"/>
      <c r="AW141" s="715"/>
      <c r="AX141" s="715"/>
      <c r="AY141" s="715"/>
      <c r="AZ141" s="715"/>
      <c r="BA141" s="715"/>
      <c r="BB141" s="715"/>
      <c r="BC141" s="715"/>
      <c r="BD141" s="715"/>
      <c r="BE141" s="715"/>
      <c r="BF141" s="715"/>
      <c r="BG141" s="715"/>
      <c r="BH141" s="715"/>
    </row>
    <row r="142" spans="1:60">
      <c r="A142" s="715"/>
      <c r="B142" s="715"/>
      <c r="C142" s="715"/>
      <c r="D142" s="715"/>
      <c r="E142" s="715"/>
      <c r="F142" s="715"/>
      <c r="G142" s="715"/>
      <c r="H142" s="715"/>
      <c r="I142" s="715"/>
      <c r="J142" s="715"/>
      <c r="K142" s="715"/>
      <c r="L142" s="715"/>
      <c r="M142" s="715"/>
      <c r="N142" s="715"/>
      <c r="O142" s="715"/>
      <c r="P142" s="715"/>
      <c r="Q142" s="715"/>
      <c r="R142" s="715"/>
      <c r="S142" s="715"/>
      <c r="T142" s="715"/>
      <c r="U142" s="715"/>
      <c r="V142" s="715"/>
      <c r="W142" s="715"/>
      <c r="X142" s="715"/>
      <c r="Y142" s="715"/>
      <c r="Z142" s="715"/>
      <c r="AA142" s="715"/>
      <c r="AB142" s="715"/>
      <c r="AC142" s="715"/>
      <c r="AD142" s="715"/>
      <c r="AE142" s="715"/>
      <c r="AF142" s="715"/>
      <c r="AG142" s="715"/>
      <c r="AH142" s="715"/>
      <c r="AI142" s="715"/>
      <c r="AJ142" s="715"/>
      <c r="AK142" s="715"/>
      <c r="AL142" s="715"/>
      <c r="AM142" s="715"/>
      <c r="AN142" s="715"/>
      <c r="AO142" s="715"/>
      <c r="AP142" s="715"/>
      <c r="AQ142" s="715"/>
      <c r="AR142" s="715"/>
      <c r="AS142" s="715"/>
      <c r="AT142" s="715"/>
      <c r="AU142" s="715"/>
      <c r="AV142" s="715"/>
      <c r="AW142" s="715"/>
      <c r="AX142" s="715"/>
      <c r="AY142" s="715"/>
      <c r="AZ142" s="715"/>
      <c r="BA142" s="715"/>
      <c r="BB142" s="715"/>
      <c r="BC142" s="715"/>
      <c r="BD142" s="715"/>
      <c r="BE142" s="715"/>
      <c r="BF142" s="715"/>
      <c r="BG142" s="715"/>
      <c r="BH142" s="715"/>
    </row>
    <row r="143" spans="1:60">
      <c r="A143" s="715"/>
      <c r="B143" s="715"/>
      <c r="C143" s="715"/>
      <c r="D143" s="715"/>
      <c r="E143" s="715"/>
      <c r="F143" s="715"/>
      <c r="G143" s="715"/>
      <c r="H143" s="715"/>
      <c r="I143" s="715"/>
      <c r="J143" s="715"/>
      <c r="K143" s="715"/>
      <c r="L143" s="715"/>
      <c r="M143" s="715"/>
      <c r="N143" s="715"/>
      <c r="O143" s="715"/>
      <c r="P143" s="715"/>
      <c r="Q143" s="715"/>
      <c r="R143" s="715"/>
      <c r="S143" s="715"/>
      <c r="T143" s="715"/>
      <c r="U143" s="715"/>
      <c r="V143" s="715"/>
      <c r="W143" s="715"/>
      <c r="X143" s="715"/>
      <c r="Y143" s="715"/>
      <c r="Z143" s="715"/>
      <c r="AA143" s="715"/>
      <c r="AB143" s="715"/>
      <c r="AC143" s="715"/>
      <c r="AD143" s="715"/>
      <c r="AE143" s="715"/>
      <c r="AF143" s="715"/>
      <c r="AG143" s="715"/>
      <c r="AH143" s="715"/>
      <c r="AI143" s="715"/>
      <c r="AJ143" s="715"/>
      <c r="AK143" s="715"/>
      <c r="AL143" s="715"/>
      <c r="AM143" s="715"/>
      <c r="AN143" s="715"/>
      <c r="AO143" s="715"/>
      <c r="AP143" s="715"/>
      <c r="AQ143" s="715"/>
      <c r="AR143" s="715"/>
      <c r="AS143" s="715"/>
      <c r="AT143" s="715"/>
      <c r="AU143" s="715"/>
      <c r="AV143" s="715"/>
      <c r="AW143" s="715"/>
      <c r="AX143" s="715"/>
      <c r="AY143" s="715"/>
      <c r="AZ143" s="715"/>
      <c r="BA143" s="715"/>
      <c r="BB143" s="715"/>
      <c r="BC143" s="715"/>
      <c r="BD143" s="715"/>
      <c r="BE143" s="715"/>
      <c r="BF143" s="715"/>
      <c r="BG143" s="715"/>
      <c r="BH143" s="715"/>
    </row>
    <row r="144" spans="1:60">
      <c r="A144" s="715"/>
      <c r="B144" s="715"/>
      <c r="C144" s="715"/>
      <c r="D144" s="715"/>
      <c r="E144" s="715"/>
      <c r="F144" s="715"/>
      <c r="G144" s="715"/>
      <c r="H144" s="715"/>
      <c r="I144" s="715"/>
      <c r="J144" s="715"/>
      <c r="K144" s="715"/>
      <c r="L144" s="715"/>
      <c r="M144" s="715"/>
      <c r="N144" s="715"/>
      <c r="O144" s="715"/>
      <c r="P144" s="715"/>
      <c r="Q144" s="715"/>
      <c r="R144" s="715"/>
      <c r="S144" s="715"/>
      <c r="T144" s="715"/>
      <c r="U144" s="715"/>
      <c r="V144" s="715"/>
      <c r="W144" s="715"/>
      <c r="X144" s="715"/>
      <c r="Y144" s="715"/>
      <c r="Z144" s="715"/>
      <c r="AA144" s="715"/>
      <c r="AB144" s="715"/>
      <c r="AC144" s="715"/>
      <c r="AD144" s="715"/>
      <c r="AE144" s="715"/>
      <c r="AF144" s="715"/>
      <c r="AG144" s="715"/>
      <c r="AH144" s="715"/>
      <c r="AI144" s="715"/>
      <c r="AJ144" s="715"/>
      <c r="AK144" s="715"/>
      <c r="AL144" s="715"/>
      <c r="AM144" s="715"/>
      <c r="AN144" s="715"/>
      <c r="AO144" s="715"/>
      <c r="AP144" s="715"/>
      <c r="AQ144" s="715"/>
      <c r="AR144" s="715"/>
      <c r="AS144" s="715"/>
      <c r="AT144" s="715"/>
      <c r="AU144" s="715"/>
      <c r="AV144" s="715"/>
      <c r="AW144" s="715"/>
      <c r="AX144" s="715"/>
      <c r="AY144" s="715"/>
      <c r="AZ144" s="715"/>
      <c r="BA144" s="715"/>
      <c r="BB144" s="715"/>
      <c r="BC144" s="715"/>
      <c r="BD144" s="715"/>
      <c r="BE144" s="715"/>
      <c r="BF144" s="715"/>
      <c r="BG144" s="715"/>
      <c r="BH144" s="715"/>
    </row>
    <row r="145" spans="1:60">
      <c r="A145" s="715"/>
      <c r="B145" s="715"/>
      <c r="C145" s="715"/>
      <c r="D145" s="715"/>
      <c r="E145" s="715"/>
      <c r="F145" s="715"/>
      <c r="G145" s="715"/>
      <c r="H145" s="715"/>
      <c r="I145" s="715"/>
      <c r="J145" s="715"/>
      <c r="K145" s="715"/>
      <c r="L145" s="715"/>
      <c r="M145" s="715"/>
      <c r="N145" s="715"/>
      <c r="O145" s="715"/>
      <c r="P145" s="715"/>
      <c r="Q145" s="715"/>
      <c r="R145" s="715"/>
      <c r="S145" s="715"/>
      <c r="T145" s="715"/>
      <c r="U145" s="715"/>
      <c r="V145" s="715"/>
      <c r="W145" s="715"/>
      <c r="X145" s="715"/>
      <c r="Y145" s="715"/>
      <c r="Z145" s="715"/>
      <c r="AA145" s="715"/>
      <c r="AB145" s="715"/>
      <c r="AC145" s="715"/>
      <c r="AD145" s="715"/>
      <c r="AE145" s="715"/>
      <c r="AF145" s="715"/>
      <c r="AG145" s="715"/>
      <c r="AH145" s="715"/>
      <c r="AI145" s="715"/>
      <c r="AJ145" s="715"/>
      <c r="AK145" s="715"/>
      <c r="AL145" s="715"/>
      <c r="AM145" s="715"/>
      <c r="AN145" s="715"/>
      <c r="AO145" s="715"/>
      <c r="AP145" s="715"/>
      <c r="AQ145" s="715"/>
      <c r="AR145" s="715"/>
      <c r="AS145" s="715"/>
      <c r="AT145" s="715"/>
      <c r="AU145" s="715"/>
      <c r="AV145" s="715"/>
      <c r="AW145" s="715"/>
      <c r="AX145" s="715"/>
      <c r="AY145" s="715"/>
      <c r="AZ145" s="715"/>
      <c r="BA145" s="715"/>
      <c r="BB145" s="715"/>
      <c r="BC145" s="715"/>
      <c r="BD145" s="715"/>
      <c r="BE145" s="715"/>
      <c r="BF145" s="715"/>
      <c r="BG145" s="715"/>
      <c r="BH145" s="715"/>
    </row>
    <row r="146" spans="1:60">
      <c r="A146" s="715"/>
      <c r="B146" s="715"/>
      <c r="C146" s="715"/>
      <c r="D146" s="715"/>
      <c r="E146" s="715"/>
      <c r="F146" s="715"/>
      <c r="G146" s="715"/>
      <c r="H146" s="715"/>
      <c r="I146" s="715"/>
      <c r="J146" s="715"/>
      <c r="K146" s="715"/>
      <c r="L146" s="715"/>
      <c r="M146" s="715"/>
      <c r="N146" s="715"/>
      <c r="O146" s="715"/>
      <c r="P146" s="715"/>
      <c r="Q146" s="715"/>
      <c r="R146" s="715"/>
      <c r="S146" s="715"/>
      <c r="T146" s="715"/>
      <c r="U146" s="715"/>
      <c r="V146" s="715"/>
      <c r="W146" s="715"/>
      <c r="X146" s="715"/>
      <c r="Y146" s="715"/>
      <c r="Z146" s="715"/>
      <c r="AA146" s="715"/>
      <c r="AB146" s="715"/>
      <c r="AC146" s="715"/>
      <c r="AD146" s="715"/>
      <c r="AE146" s="715"/>
      <c r="AF146" s="715"/>
      <c r="AG146" s="715"/>
      <c r="AH146" s="715"/>
      <c r="AI146" s="715"/>
      <c r="AJ146" s="715"/>
      <c r="AK146" s="715"/>
      <c r="AL146" s="715"/>
      <c r="AM146" s="715"/>
      <c r="AN146" s="715"/>
      <c r="AO146" s="715"/>
      <c r="AP146" s="715"/>
      <c r="AQ146" s="715"/>
      <c r="AR146" s="715"/>
      <c r="AS146" s="715"/>
      <c r="AT146" s="715"/>
      <c r="AU146" s="715"/>
      <c r="AV146" s="715"/>
      <c r="AW146" s="715"/>
      <c r="AX146" s="715"/>
      <c r="AY146" s="715"/>
      <c r="AZ146" s="715"/>
      <c r="BA146" s="715"/>
      <c r="BB146" s="715"/>
      <c r="BC146" s="715"/>
      <c r="BD146" s="715"/>
      <c r="BE146" s="715"/>
      <c r="BF146" s="715"/>
      <c r="BG146" s="715"/>
      <c r="BH146" s="715"/>
    </row>
    <row r="147" spans="1:60">
      <c r="A147" s="715"/>
      <c r="B147" s="715"/>
      <c r="C147" s="715"/>
      <c r="D147" s="715"/>
      <c r="E147" s="715"/>
      <c r="F147" s="715"/>
      <c r="G147" s="715"/>
      <c r="H147" s="715"/>
      <c r="I147" s="715"/>
      <c r="J147" s="715"/>
      <c r="K147" s="715"/>
      <c r="L147" s="715"/>
      <c r="M147" s="715"/>
      <c r="N147" s="715"/>
      <c r="O147" s="715"/>
      <c r="P147" s="715"/>
      <c r="Q147" s="715"/>
      <c r="R147" s="715"/>
      <c r="S147" s="715"/>
      <c r="T147" s="715"/>
      <c r="U147" s="715"/>
      <c r="V147" s="715"/>
      <c r="W147" s="715"/>
      <c r="X147" s="715"/>
      <c r="Y147" s="715"/>
      <c r="Z147" s="715"/>
      <c r="AA147" s="715"/>
      <c r="AB147" s="715"/>
      <c r="AC147" s="715"/>
      <c r="AD147" s="715"/>
      <c r="AE147" s="715"/>
      <c r="AF147" s="715"/>
      <c r="AG147" s="715"/>
      <c r="AH147" s="715"/>
      <c r="AI147" s="715"/>
      <c r="AJ147" s="715"/>
      <c r="AK147" s="715"/>
      <c r="AL147" s="715"/>
      <c r="AM147" s="715"/>
      <c r="AN147" s="715"/>
      <c r="AO147" s="715"/>
      <c r="AP147" s="715"/>
      <c r="AQ147" s="715"/>
      <c r="AR147" s="715"/>
      <c r="AS147" s="715"/>
      <c r="AT147" s="715"/>
      <c r="AU147" s="715"/>
      <c r="AV147" s="715"/>
      <c r="AW147" s="715"/>
      <c r="AX147" s="715"/>
      <c r="AY147" s="715"/>
      <c r="AZ147" s="715"/>
      <c r="BA147" s="715"/>
      <c r="BB147" s="715"/>
      <c r="BC147" s="715"/>
      <c r="BD147" s="715"/>
      <c r="BE147" s="715"/>
      <c r="BF147" s="715"/>
      <c r="BG147" s="715"/>
      <c r="BH147" s="715"/>
    </row>
    <row r="148" spans="1:60">
      <c r="A148" s="715"/>
      <c r="B148" s="715"/>
      <c r="C148" s="715"/>
      <c r="D148" s="715"/>
      <c r="E148" s="715"/>
      <c r="F148" s="715"/>
      <c r="G148" s="715"/>
      <c r="H148" s="715"/>
      <c r="I148" s="715"/>
      <c r="J148" s="715"/>
      <c r="K148" s="715"/>
      <c r="L148" s="715"/>
      <c r="M148" s="715"/>
      <c r="N148" s="715"/>
      <c r="O148" s="715"/>
      <c r="P148" s="715"/>
      <c r="Q148" s="715"/>
      <c r="R148" s="715"/>
      <c r="S148" s="715"/>
      <c r="T148" s="715"/>
      <c r="U148" s="715"/>
      <c r="V148" s="715"/>
      <c r="W148" s="715"/>
      <c r="X148" s="715"/>
      <c r="Y148" s="715"/>
      <c r="Z148" s="715"/>
      <c r="AA148" s="715"/>
      <c r="AB148" s="715"/>
      <c r="AC148" s="715"/>
      <c r="AD148" s="715"/>
      <c r="AE148" s="715"/>
      <c r="AF148" s="715"/>
      <c r="AG148" s="715"/>
      <c r="AH148" s="715"/>
      <c r="AI148" s="715"/>
      <c r="AJ148" s="715"/>
      <c r="AK148" s="715"/>
      <c r="AL148" s="715"/>
      <c r="AM148" s="715"/>
      <c r="AN148" s="715"/>
      <c r="AO148" s="715"/>
      <c r="AP148" s="715"/>
      <c r="AQ148" s="715"/>
      <c r="AR148" s="715"/>
      <c r="AS148" s="715"/>
      <c r="AT148" s="715"/>
      <c r="AU148" s="715"/>
      <c r="AV148" s="715"/>
      <c r="AW148" s="715"/>
      <c r="AX148" s="715"/>
      <c r="AY148" s="715"/>
      <c r="AZ148" s="715"/>
      <c r="BA148" s="715"/>
      <c r="BB148" s="715"/>
      <c r="BC148" s="715"/>
      <c r="BD148" s="715"/>
      <c r="BE148" s="715"/>
      <c r="BF148" s="715"/>
      <c r="BG148" s="715"/>
      <c r="BH148" s="715"/>
    </row>
    <row r="149" spans="1:60">
      <c r="A149" s="715"/>
      <c r="B149" s="715"/>
      <c r="C149" s="715"/>
      <c r="D149" s="715"/>
      <c r="E149" s="715"/>
      <c r="F149" s="715"/>
      <c r="G149" s="715"/>
      <c r="H149" s="715"/>
      <c r="I149" s="715"/>
      <c r="J149" s="715"/>
      <c r="K149" s="715"/>
      <c r="L149" s="715"/>
      <c r="M149" s="715"/>
      <c r="N149" s="715"/>
      <c r="O149" s="715"/>
      <c r="P149" s="715"/>
      <c r="Q149" s="715"/>
      <c r="R149" s="715"/>
      <c r="S149" s="715"/>
      <c r="T149" s="715"/>
      <c r="U149" s="715"/>
      <c r="V149" s="715"/>
      <c r="W149" s="715"/>
      <c r="X149" s="715"/>
      <c r="Y149" s="715"/>
      <c r="Z149" s="715"/>
      <c r="AA149" s="715"/>
      <c r="AB149" s="715"/>
      <c r="AC149" s="715"/>
      <c r="AD149" s="715"/>
      <c r="AE149" s="715"/>
      <c r="AF149" s="715"/>
      <c r="AG149" s="715"/>
      <c r="AH149" s="715"/>
      <c r="AI149" s="715"/>
      <c r="AJ149" s="715"/>
      <c r="AK149" s="715"/>
      <c r="AL149" s="715"/>
      <c r="AM149" s="715"/>
      <c r="AN149" s="715"/>
      <c r="AO149" s="715"/>
      <c r="AP149" s="715"/>
      <c r="AQ149" s="715"/>
      <c r="AR149" s="715"/>
      <c r="AS149" s="715"/>
      <c r="AT149" s="715"/>
      <c r="AU149" s="715"/>
      <c r="AV149" s="715"/>
      <c r="AW149" s="715"/>
      <c r="AX149" s="715"/>
      <c r="AY149" s="715"/>
      <c r="AZ149" s="715"/>
      <c r="BA149" s="715"/>
      <c r="BB149" s="715"/>
      <c r="BC149" s="715"/>
      <c r="BD149" s="715"/>
      <c r="BE149" s="715"/>
      <c r="BF149" s="715"/>
      <c r="BG149" s="715"/>
      <c r="BH149" s="715"/>
    </row>
    <row r="150" spans="1:60">
      <c r="A150" s="715"/>
      <c r="B150" s="715"/>
      <c r="C150" s="715"/>
      <c r="D150" s="715"/>
      <c r="E150" s="715"/>
      <c r="F150" s="715"/>
      <c r="G150" s="715"/>
      <c r="H150" s="715"/>
      <c r="I150" s="715"/>
      <c r="J150" s="715"/>
      <c r="K150" s="715"/>
      <c r="L150" s="715"/>
      <c r="M150" s="715"/>
      <c r="N150" s="715"/>
      <c r="O150" s="715"/>
      <c r="P150" s="715"/>
      <c r="Q150" s="715"/>
      <c r="R150" s="715"/>
      <c r="S150" s="715"/>
      <c r="T150" s="715"/>
      <c r="U150" s="715"/>
      <c r="V150" s="715"/>
      <c r="W150" s="715"/>
      <c r="X150" s="715"/>
      <c r="Y150" s="715"/>
      <c r="Z150" s="715"/>
      <c r="AA150" s="715"/>
      <c r="AB150" s="715"/>
      <c r="AC150" s="715"/>
      <c r="AD150" s="715"/>
      <c r="AE150" s="715"/>
      <c r="AF150" s="715"/>
      <c r="AG150" s="715"/>
      <c r="AH150" s="715"/>
      <c r="AI150" s="715"/>
      <c r="AJ150" s="715"/>
      <c r="AK150" s="715"/>
      <c r="AL150" s="715"/>
      <c r="AM150" s="715"/>
      <c r="AN150" s="715"/>
      <c r="AO150" s="715"/>
      <c r="AP150" s="715"/>
      <c r="AQ150" s="715"/>
      <c r="AR150" s="715"/>
      <c r="AS150" s="715"/>
      <c r="AT150" s="715"/>
      <c r="AU150" s="715"/>
      <c r="AV150" s="715"/>
      <c r="AW150" s="715"/>
      <c r="AX150" s="715"/>
      <c r="AY150" s="715"/>
      <c r="AZ150" s="715"/>
      <c r="BA150" s="715"/>
      <c r="BB150" s="715"/>
      <c r="BC150" s="715"/>
      <c r="BD150" s="715"/>
      <c r="BE150" s="715"/>
      <c r="BF150" s="715"/>
      <c r="BG150" s="715"/>
      <c r="BH150" s="715"/>
    </row>
    <row r="151" spans="1:60">
      <c r="A151" s="715"/>
      <c r="B151" s="715"/>
      <c r="C151" s="715"/>
      <c r="D151" s="715"/>
      <c r="E151" s="715"/>
      <c r="F151" s="715"/>
      <c r="G151" s="715"/>
      <c r="H151" s="715"/>
      <c r="I151" s="715"/>
      <c r="J151" s="715"/>
      <c r="K151" s="715"/>
      <c r="L151" s="715"/>
      <c r="M151" s="715"/>
      <c r="N151" s="715"/>
      <c r="O151" s="715"/>
      <c r="P151" s="715"/>
      <c r="Q151" s="715"/>
      <c r="R151" s="715"/>
      <c r="S151" s="715"/>
      <c r="T151" s="715"/>
      <c r="U151" s="715"/>
      <c r="V151" s="715"/>
      <c r="W151" s="715"/>
      <c r="X151" s="715"/>
      <c r="Y151" s="715"/>
      <c r="Z151" s="715"/>
      <c r="AA151" s="715"/>
      <c r="AB151" s="715"/>
      <c r="AC151" s="715"/>
      <c r="AD151" s="715"/>
      <c r="AE151" s="715"/>
      <c r="AF151" s="715"/>
      <c r="AG151" s="715"/>
      <c r="AH151" s="715"/>
      <c r="AI151" s="715"/>
      <c r="AJ151" s="715"/>
      <c r="AK151" s="715"/>
      <c r="AL151" s="715"/>
      <c r="AM151" s="715"/>
      <c r="AN151" s="715"/>
      <c r="AO151" s="715"/>
      <c r="AP151" s="715"/>
      <c r="AQ151" s="715"/>
      <c r="AR151" s="715"/>
      <c r="AS151" s="715"/>
      <c r="AT151" s="715"/>
      <c r="AU151" s="715"/>
      <c r="AV151" s="715"/>
      <c r="AW151" s="715"/>
      <c r="AX151" s="715"/>
      <c r="AY151" s="715"/>
      <c r="AZ151" s="715"/>
      <c r="BA151" s="715"/>
      <c r="BB151" s="715"/>
      <c r="BC151" s="715"/>
      <c r="BD151" s="715"/>
      <c r="BE151" s="715"/>
      <c r="BF151" s="715"/>
      <c r="BG151" s="715"/>
      <c r="BH151" s="715"/>
    </row>
    <row r="152" spans="1:60">
      <c r="A152" s="715"/>
      <c r="B152" s="715"/>
      <c r="C152" s="715"/>
      <c r="D152" s="715"/>
      <c r="E152" s="715"/>
      <c r="F152" s="715"/>
      <c r="G152" s="715"/>
      <c r="H152" s="715"/>
      <c r="I152" s="715"/>
      <c r="J152" s="715"/>
      <c r="K152" s="715"/>
      <c r="L152" s="715"/>
      <c r="M152" s="715"/>
      <c r="N152" s="715"/>
      <c r="O152" s="715"/>
      <c r="P152" s="715"/>
      <c r="Q152" s="715"/>
      <c r="R152" s="715"/>
      <c r="S152" s="715"/>
      <c r="T152" s="715"/>
      <c r="U152" s="715"/>
      <c r="V152" s="715"/>
      <c r="W152" s="715"/>
      <c r="X152" s="715"/>
      <c r="Y152" s="715"/>
      <c r="Z152" s="715"/>
      <c r="AA152" s="715"/>
      <c r="AB152" s="715"/>
      <c r="AC152" s="715"/>
      <c r="AD152" s="715"/>
      <c r="AE152" s="715"/>
      <c r="AF152" s="715"/>
      <c r="AG152" s="715"/>
      <c r="AH152" s="715"/>
      <c r="AI152" s="715"/>
      <c r="AJ152" s="715"/>
      <c r="AK152" s="715"/>
      <c r="AL152" s="715"/>
      <c r="AM152" s="715"/>
      <c r="AN152" s="715"/>
      <c r="AO152" s="715"/>
      <c r="AP152" s="715"/>
      <c r="AQ152" s="715"/>
      <c r="AR152" s="715"/>
      <c r="AS152" s="715"/>
      <c r="AT152" s="715"/>
      <c r="AU152" s="715"/>
      <c r="AV152" s="715"/>
      <c r="AW152" s="715"/>
      <c r="AX152" s="715"/>
      <c r="AY152" s="715"/>
      <c r="AZ152" s="715"/>
      <c r="BA152" s="715"/>
      <c r="BB152" s="715"/>
      <c r="BC152" s="715"/>
      <c r="BD152" s="715"/>
      <c r="BE152" s="715"/>
      <c r="BF152" s="715"/>
      <c r="BG152" s="715"/>
      <c r="BH152" s="715"/>
    </row>
    <row r="153" spans="1:60">
      <c r="A153" s="715"/>
      <c r="B153" s="715"/>
      <c r="C153" s="715"/>
      <c r="D153" s="715"/>
      <c r="E153" s="715"/>
      <c r="F153" s="715"/>
      <c r="G153" s="715"/>
      <c r="H153" s="715"/>
      <c r="I153" s="715"/>
      <c r="J153" s="715"/>
      <c r="K153" s="715"/>
      <c r="L153" s="715"/>
      <c r="M153" s="715"/>
      <c r="N153" s="715"/>
      <c r="O153" s="715"/>
      <c r="P153" s="715"/>
      <c r="Q153" s="715"/>
      <c r="R153" s="715"/>
      <c r="S153" s="715"/>
      <c r="T153" s="715"/>
      <c r="U153" s="715"/>
      <c r="V153" s="715"/>
      <c r="W153" s="715"/>
      <c r="X153" s="715"/>
      <c r="Y153" s="715"/>
      <c r="Z153" s="715"/>
      <c r="AA153" s="715"/>
      <c r="AB153" s="715"/>
      <c r="AC153" s="715"/>
      <c r="AD153" s="715"/>
      <c r="AE153" s="715"/>
      <c r="AF153" s="715"/>
      <c r="AG153" s="715"/>
      <c r="AH153" s="715"/>
      <c r="AI153" s="715"/>
      <c r="AJ153" s="715"/>
      <c r="AK153" s="715"/>
      <c r="AL153" s="715"/>
      <c r="AM153" s="715"/>
      <c r="AN153" s="715"/>
      <c r="AO153" s="715"/>
      <c r="AP153" s="715"/>
      <c r="AQ153" s="715"/>
      <c r="AR153" s="715"/>
      <c r="AS153" s="715"/>
      <c r="AT153" s="715"/>
      <c r="AU153" s="715"/>
      <c r="AV153" s="715"/>
      <c r="AW153" s="715"/>
      <c r="AX153" s="715"/>
      <c r="AY153" s="715"/>
      <c r="AZ153" s="715"/>
      <c r="BA153" s="715"/>
      <c r="BB153" s="715"/>
      <c r="BC153" s="715"/>
      <c r="BD153" s="715"/>
      <c r="BE153" s="715"/>
      <c r="BF153" s="715"/>
      <c r="BG153" s="715"/>
      <c r="BH153" s="715"/>
    </row>
    <row r="154" spans="1:60">
      <c r="A154" s="715"/>
      <c r="B154" s="715"/>
      <c r="C154" s="715"/>
      <c r="D154" s="715"/>
      <c r="E154" s="715"/>
      <c r="F154" s="715"/>
      <c r="G154" s="715"/>
      <c r="H154" s="715"/>
      <c r="I154" s="715"/>
      <c r="J154" s="715"/>
      <c r="K154" s="715"/>
      <c r="L154" s="715"/>
      <c r="M154" s="715"/>
      <c r="N154" s="715"/>
      <c r="O154" s="715"/>
      <c r="P154" s="715"/>
      <c r="Q154" s="715"/>
      <c r="R154" s="715"/>
      <c r="S154" s="715"/>
      <c r="T154" s="715"/>
      <c r="U154" s="715"/>
      <c r="V154" s="715"/>
      <c r="W154" s="715"/>
      <c r="X154" s="715"/>
      <c r="Y154" s="715"/>
      <c r="Z154" s="715"/>
      <c r="AA154" s="715"/>
      <c r="AB154" s="715"/>
      <c r="AC154" s="715"/>
      <c r="AD154" s="715"/>
      <c r="AE154" s="715"/>
      <c r="AF154" s="715"/>
      <c r="AG154" s="715"/>
      <c r="AH154" s="715"/>
      <c r="AI154" s="715"/>
      <c r="AJ154" s="715"/>
      <c r="AK154" s="715"/>
      <c r="AL154" s="715"/>
      <c r="AM154" s="715"/>
      <c r="AN154" s="715"/>
      <c r="AO154" s="715"/>
      <c r="AP154" s="715"/>
      <c r="AQ154" s="715"/>
      <c r="AR154" s="715"/>
      <c r="AS154" s="715"/>
      <c r="AT154" s="715"/>
      <c r="AU154" s="715"/>
      <c r="AV154" s="715"/>
      <c r="AW154" s="715"/>
      <c r="AX154" s="715"/>
      <c r="AY154" s="715"/>
      <c r="AZ154" s="715"/>
      <c r="BA154" s="715"/>
      <c r="BB154" s="715"/>
      <c r="BC154" s="715"/>
      <c r="BD154" s="715"/>
      <c r="BE154" s="715"/>
      <c r="BF154" s="715"/>
      <c r="BG154" s="715"/>
      <c r="BH154" s="715"/>
    </row>
    <row r="155" spans="1:60">
      <c r="A155" s="715"/>
      <c r="B155" s="715"/>
      <c r="C155" s="715"/>
      <c r="D155" s="715"/>
      <c r="E155" s="715"/>
      <c r="F155" s="715"/>
      <c r="G155" s="715"/>
      <c r="H155" s="715"/>
      <c r="I155" s="715"/>
      <c r="J155" s="715"/>
      <c r="K155" s="715"/>
      <c r="L155" s="715"/>
      <c r="M155" s="715"/>
      <c r="N155" s="715"/>
      <c r="O155" s="715"/>
      <c r="P155" s="715"/>
      <c r="Q155" s="715"/>
      <c r="R155" s="715"/>
      <c r="S155" s="715"/>
      <c r="T155" s="715"/>
      <c r="U155" s="715"/>
      <c r="V155" s="715"/>
      <c r="W155" s="715"/>
      <c r="X155" s="715"/>
      <c r="Y155" s="715"/>
      <c r="Z155" s="715"/>
      <c r="AA155" s="715"/>
      <c r="AB155" s="715"/>
      <c r="AC155" s="715"/>
      <c r="AD155" s="715"/>
      <c r="AE155" s="715"/>
      <c r="AF155" s="715"/>
      <c r="AG155" s="715"/>
      <c r="AH155" s="715"/>
      <c r="AI155" s="715"/>
      <c r="AJ155" s="715"/>
      <c r="AK155" s="715"/>
      <c r="AL155" s="715"/>
      <c r="AM155" s="715"/>
      <c r="AN155" s="715"/>
      <c r="AO155" s="715"/>
      <c r="AP155" s="715"/>
      <c r="AQ155" s="715"/>
      <c r="AR155" s="715"/>
      <c r="AS155" s="715"/>
      <c r="AT155" s="715"/>
      <c r="AU155" s="715"/>
      <c r="AV155" s="715"/>
      <c r="AW155" s="715"/>
      <c r="AX155" s="715"/>
      <c r="AY155" s="715"/>
      <c r="AZ155" s="715"/>
      <c r="BA155" s="715"/>
      <c r="BB155" s="715"/>
      <c r="BC155" s="715"/>
      <c r="BD155" s="715"/>
      <c r="BE155" s="715"/>
      <c r="BF155" s="715"/>
      <c r="BG155" s="715"/>
      <c r="BH155" s="715"/>
    </row>
    <row r="156" spans="1:60">
      <c r="A156" s="715"/>
      <c r="B156" s="715"/>
      <c r="C156" s="715"/>
      <c r="D156" s="715"/>
      <c r="E156" s="715"/>
      <c r="F156" s="715"/>
      <c r="G156" s="715"/>
      <c r="H156" s="715"/>
      <c r="I156" s="715"/>
      <c r="J156" s="715"/>
      <c r="K156" s="715"/>
      <c r="L156" s="715"/>
      <c r="M156" s="715"/>
      <c r="N156" s="715"/>
      <c r="O156" s="715"/>
      <c r="P156" s="715"/>
      <c r="Q156" s="715"/>
      <c r="R156" s="715"/>
      <c r="S156" s="715"/>
      <c r="T156" s="715"/>
      <c r="U156" s="715"/>
      <c r="V156" s="715"/>
      <c r="W156" s="715"/>
      <c r="X156" s="715"/>
      <c r="Y156" s="715"/>
      <c r="Z156" s="715"/>
      <c r="AA156" s="715"/>
      <c r="AB156" s="715"/>
      <c r="AC156" s="715"/>
      <c r="AD156" s="715"/>
      <c r="AE156" s="715"/>
      <c r="AF156" s="715"/>
      <c r="AG156" s="715"/>
      <c r="AH156" s="715"/>
      <c r="AI156" s="715"/>
      <c r="AJ156" s="715"/>
      <c r="AK156" s="715"/>
      <c r="AL156" s="715"/>
      <c r="AM156" s="715"/>
      <c r="AN156" s="715"/>
      <c r="AO156" s="715"/>
      <c r="AP156" s="715"/>
      <c r="AQ156" s="715"/>
      <c r="AR156" s="715"/>
      <c r="AS156" s="715"/>
      <c r="AT156" s="715"/>
      <c r="AU156" s="715"/>
      <c r="AV156" s="715"/>
      <c r="AW156" s="715"/>
      <c r="AX156" s="715"/>
      <c r="AY156" s="715"/>
      <c r="AZ156" s="715"/>
      <c r="BA156" s="715"/>
      <c r="BB156" s="715"/>
      <c r="BC156" s="715"/>
      <c r="BD156" s="715"/>
      <c r="BE156" s="715"/>
      <c r="BF156" s="715"/>
      <c r="BG156" s="715"/>
      <c r="BH156" s="715"/>
    </row>
    <row r="157" spans="1:60">
      <c r="A157" s="715"/>
      <c r="B157" s="715"/>
      <c r="C157" s="715"/>
      <c r="D157" s="715"/>
      <c r="E157" s="715"/>
      <c r="F157" s="715"/>
      <c r="G157" s="715"/>
      <c r="H157" s="715"/>
      <c r="I157" s="715"/>
      <c r="J157" s="715"/>
      <c r="K157" s="715"/>
      <c r="L157" s="715"/>
      <c r="M157" s="715"/>
      <c r="N157" s="715"/>
      <c r="O157" s="715"/>
      <c r="P157" s="715"/>
      <c r="Q157" s="715"/>
      <c r="R157" s="715"/>
      <c r="S157" s="715"/>
      <c r="T157" s="715"/>
      <c r="U157" s="715"/>
      <c r="V157" s="715"/>
      <c r="W157" s="715"/>
      <c r="X157" s="715"/>
      <c r="Y157" s="715"/>
      <c r="Z157" s="715"/>
      <c r="AA157" s="715"/>
      <c r="AB157" s="715"/>
      <c r="AC157" s="715"/>
      <c r="AD157" s="715"/>
      <c r="AE157" s="715"/>
      <c r="AF157" s="715"/>
      <c r="AG157" s="715"/>
      <c r="AH157" s="715"/>
      <c r="AI157" s="715"/>
      <c r="AJ157" s="715"/>
      <c r="AK157" s="715"/>
      <c r="AL157" s="715"/>
      <c r="AM157" s="715"/>
      <c r="AN157" s="715"/>
      <c r="AO157" s="715"/>
      <c r="AP157" s="715"/>
      <c r="AQ157" s="715"/>
      <c r="AR157" s="715"/>
      <c r="AS157" s="715"/>
      <c r="AT157" s="715"/>
      <c r="AU157" s="715"/>
      <c r="AV157" s="715"/>
      <c r="AW157" s="715"/>
      <c r="AX157" s="715"/>
      <c r="AY157" s="715"/>
      <c r="AZ157" s="715"/>
      <c r="BA157" s="715"/>
      <c r="BB157" s="715"/>
      <c r="BC157" s="715"/>
      <c r="BD157" s="715"/>
      <c r="BE157" s="715"/>
      <c r="BF157" s="715"/>
      <c r="BG157" s="715"/>
      <c r="BH157" s="715"/>
    </row>
  </sheetData>
  <mergeCells count="18">
    <mergeCell ref="D70:BF80"/>
    <mergeCell ref="E84:AJ86"/>
    <mergeCell ref="BJ20:BP32"/>
    <mergeCell ref="BJ40:BP52"/>
    <mergeCell ref="BJ70:BP80"/>
    <mergeCell ref="A2:H2"/>
    <mergeCell ref="D20:BF32"/>
    <mergeCell ref="D40:BF53"/>
    <mergeCell ref="E57:AJ59"/>
    <mergeCell ref="A64:H64"/>
    <mergeCell ref="T11:AL11"/>
    <mergeCell ref="AR14:AR15"/>
    <mergeCell ref="AS14:AY15"/>
    <mergeCell ref="AZ14:AZ15"/>
    <mergeCell ref="AL2:AP2"/>
    <mergeCell ref="AQ2:BG2"/>
    <mergeCell ref="AL64:AP64"/>
    <mergeCell ref="AQ64:BG64"/>
  </mergeCells>
  <phoneticPr fontId="5"/>
  <printOptions horizontalCentered="1"/>
  <pageMargins left="0.31496062992125984" right="0.43307086614173229" top="0.43307086614173229" bottom="0" header="0" footer="0"/>
  <pageSetup paperSize="9" scale="92" orientation="portrait" blackAndWhite="1" r:id="rId1"/>
  <headerFooter alignWithMargins="0"/>
  <rowBreaks count="1" manualBreakCount="1">
    <brk id="61" max="60"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pageSetUpPr fitToPage="1"/>
  </sheetPr>
  <dimension ref="A1:AA51"/>
  <sheetViews>
    <sheetView topLeftCell="A2" workbookViewId="0">
      <selection activeCell="AA41" sqref="AA41"/>
    </sheetView>
  </sheetViews>
  <sheetFormatPr defaultRowHeight="22.5" customHeight="1"/>
  <cols>
    <col min="1" max="1" width="1.375" style="560" customWidth="1"/>
    <col min="2" max="5" width="4.375" style="560" customWidth="1"/>
    <col min="6" max="6" width="6.5" style="560" bestFit="1" customWidth="1"/>
    <col min="7" max="24" width="4.375" style="560" customWidth="1"/>
    <col min="25" max="28" width="7.375" style="560" customWidth="1"/>
    <col min="29" max="262" width="9" style="560"/>
    <col min="263" max="263" width="1.375" style="560" customWidth="1"/>
    <col min="264" max="264" width="10.25" style="560" customWidth="1"/>
    <col min="265" max="265" width="14.5" style="560" customWidth="1"/>
    <col min="266" max="272" width="5.25" style="560" customWidth="1"/>
    <col min="273" max="280" width="3.625" style="560" customWidth="1"/>
    <col min="281" max="284" width="7.375" style="560" customWidth="1"/>
    <col min="285" max="518" width="9" style="560"/>
    <col min="519" max="519" width="1.375" style="560" customWidth="1"/>
    <col min="520" max="520" width="10.25" style="560" customWidth="1"/>
    <col min="521" max="521" width="14.5" style="560" customWidth="1"/>
    <col min="522" max="528" width="5.25" style="560" customWidth="1"/>
    <col min="529" max="536" width="3.625" style="560" customWidth="1"/>
    <col min="537" max="540" width="7.375" style="560" customWidth="1"/>
    <col min="541" max="774" width="9" style="560"/>
    <col min="775" max="775" width="1.375" style="560" customWidth="1"/>
    <col min="776" max="776" width="10.25" style="560" customWidth="1"/>
    <col min="777" max="777" width="14.5" style="560" customWidth="1"/>
    <col min="778" max="784" width="5.25" style="560" customWidth="1"/>
    <col min="785" max="792" width="3.625" style="560" customWidth="1"/>
    <col min="793" max="796" width="7.375" style="560" customWidth="1"/>
    <col min="797" max="1030" width="9" style="560"/>
    <col min="1031" max="1031" width="1.375" style="560" customWidth="1"/>
    <col min="1032" max="1032" width="10.25" style="560" customWidth="1"/>
    <col min="1033" max="1033" width="14.5" style="560" customWidth="1"/>
    <col min="1034" max="1040" width="5.25" style="560" customWidth="1"/>
    <col min="1041" max="1048" width="3.625" style="560" customWidth="1"/>
    <col min="1049" max="1052" width="7.375" style="560" customWidth="1"/>
    <col min="1053" max="1286" width="9" style="560"/>
    <col min="1287" max="1287" width="1.375" style="560" customWidth="1"/>
    <col min="1288" max="1288" width="10.25" style="560" customWidth="1"/>
    <col min="1289" max="1289" width="14.5" style="560" customWidth="1"/>
    <col min="1290" max="1296" width="5.25" style="560" customWidth="1"/>
    <col min="1297" max="1304" width="3.625" style="560" customWidth="1"/>
    <col min="1305" max="1308" width="7.375" style="560" customWidth="1"/>
    <col min="1309" max="1542" width="9" style="560"/>
    <col min="1543" max="1543" width="1.375" style="560" customWidth="1"/>
    <col min="1544" max="1544" width="10.25" style="560" customWidth="1"/>
    <col min="1545" max="1545" width="14.5" style="560" customWidth="1"/>
    <col min="1546" max="1552" width="5.25" style="560" customWidth="1"/>
    <col min="1553" max="1560" width="3.625" style="560" customWidth="1"/>
    <col min="1561" max="1564" width="7.375" style="560" customWidth="1"/>
    <col min="1565" max="1798" width="9" style="560"/>
    <col min="1799" max="1799" width="1.375" style="560" customWidth="1"/>
    <col min="1800" max="1800" width="10.25" style="560" customWidth="1"/>
    <col min="1801" max="1801" width="14.5" style="560" customWidth="1"/>
    <col min="1802" max="1808" width="5.25" style="560" customWidth="1"/>
    <col min="1809" max="1816" width="3.625" style="560" customWidth="1"/>
    <col min="1817" max="1820" width="7.375" style="560" customWidth="1"/>
    <col min="1821" max="2054" width="9" style="560"/>
    <col min="2055" max="2055" width="1.375" style="560" customWidth="1"/>
    <col min="2056" max="2056" width="10.25" style="560" customWidth="1"/>
    <col min="2057" max="2057" width="14.5" style="560" customWidth="1"/>
    <col min="2058" max="2064" width="5.25" style="560" customWidth="1"/>
    <col min="2065" max="2072" width="3.625" style="560" customWidth="1"/>
    <col min="2073" max="2076" width="7.375" style="560" customWidth="1"/>
    <col min="2077" max="2310" width="9" style="560"/>
    <col min="2311" max="2311" width="1.375" style="560" customWidth="1"/>
    <col min="2312" max="2312" width="10.25" style="560" customWidth="1"/>
    <col min="2313" max="2313" width="14.5" style="560" customWidth="1"/>
    <col min="2314" max="2320" width="5.25" style="560" customWidth="1"/>
    <col min="2321" max="2328" width="3.625" style="560" customWidth="1"/>
    <col min="2329" max="2332" width="7.375" style="560" customWidth="1"/>
    <col min="2333" max="2566" width="9" style="560"/>
    <col min="2567" max="2567" width="1.375" style="560" customWidth="1"/>
    <col min="2568" max="2568" width="10.25" style="560" customWidth="1"/>
    <col min="2569" max="2569" width="14.5" style="560" customWidth="1"/>
    <col min="2570" max="2576" width="5.25" style="560" customWidth="1"/>
    <col min="2577" max="2584" width="3.625" style="560" customWidth="1"/>
    <col min="2585" max="2588" width="7.375" style="560" customWidth="1"/>
    <col min="2589" max="2822" width="9" style="560"/>
    <col min="2823" max="2823" width="1.375" style="560" customWidth="1"/>
    <col min="2824" max="2824" width="10.25" style="560" customWidth="1"/>
    <col min="2825" max="2825" width="14.5" style="560" customWidth="1"/>
    <col min="2826" max="2832" width="5.25" style="560" customWidth="1"/>
    <col min="2833" max="2840" width="3.625" style="560" customWidth="1"/>
    <col min="2841" max="2844" width="7.375" style="560" customWidth="1"/>
    <col min="2845" max="3078" width="9" style="560"/>
    <col min="3079" max="3079" width="1.375" style="560" customWidth="1"/>
    <col min="3080" max="3080" width="10.25" style="560" customWidth="1"/>
    <col min="3081" max="3081" width="14.5" style="560" customWidth="1"/>
    <col min="3082" max="3088" width="5.25" style="560" customWidth="1"/>
    <col min="3089" max="3096" width="3.625" style="560" customWidth="1"/>
    <col min="3097" max="3100" width="7.375" style="560" customWidth="1"/>
    <col min="3101" max="3334" width="9" style="560"/>
    <col min="3335" max="3335" width="1.375" style="560" customWidth="1"/>
    <col min="3336" max="3336" width="10.25" style="560" customWidth="1"/>
    <col min="3337" max="3337" width="14.5" style="560" customWidth="1"/>
    <col min="3338" max="3344" width="5.25" style="560" customWidth="1"/>
    <col min="3345" max="3352" width="3.625" style="560" customWidth="1"/>
    <col min="3353" max="3356" width="7.375" style="560" customWidth="1"/>
    <col min="3357" max="3590" width="9" style="560"/>
    <col min="3591" max="3591" width="1.375" style="560" customWidth="1"/>
    <col min="3592" max="3592" width="10.25" style="560" customWidth="1"/>
    <col min="3593" max="3593" width="14.5" style="560" customWidth="1"/>
    <col min="3594" max="3600" width="5.25" style="560" customWidth="1"/>
    <col min="3601" max="3608" width="3.625" style="560" customWidth="1"/>
    <col min="3609" max="3612" width="7.375" style="560" customWidth="1"/>
    <col min="3613" max="3846" width="9" style="560"/>
    <col min="3847" max="3847" width="1.375" style="560" customWidth="1"/>
    <col min="3848" max="3848" width="10.25" style="560" customWidth="1"/>
    <col min="3849" max="3849" width="14.5" style="560" customWidth="1"/>
    <col min="3850" max="3856" width="5.25" style="560" customWidth="1"/>
    <col min="3857" max="3864" width="3.625" style="560" customWidth="1"/>
    <col min="3865" max="3868" width="7.375" style="560" customWidth="1"/>
    <col min="3869" max="4102" width="9" style="560"/>
    <col min="4103" max="4103" width="1.375" style="560" customWidth="1"/>
    <col min="4104" max="4104" width="10.25" style="560" customWidth="1"/>
    <col min="4105" max="4105" width="14.5" style="560" customWidth="1"/>
    <col min="4106" max="4112" width="5.25" style="560" customWidth="1"/>
    <col min="4113" max="4120" width="3.625" style="560" customWidth="1"/>
    <col min="4121" max="4124" width="7.375" style="560" customWidth="1"/>
    <col min="4125" max="4358" width="9" style="560"/>
    <col min="4359" max="4359" width="1.375" style="560" customWidth="1"/>
    <col min="4360" max="4360" width="10.25" style="560" customWidth="1"/>
    <col min="4361" max="4361" width="14.5" style="560" customWidth="1"/>
    <col min="4362" max="4368" width="5.25" style="560" customWidth="1"/>
    <col min="4369" max="4376" width="3.625" style="560" customWidth="1"/>
    <col min="4377" max="4380" width="7.375" style="560" customWidth="1"/>
    <col min="4381" max="4614" width="9" style="560"/>
    <col min="4615" max="4615" width="1.375" style="560" customWidth="1"/>
    <col min="4616" max="4616" width="10.25" style="560" customWidth="1"/>
    <col min="4617" max="4617" width="14.5" style="560" customWidth="1"/>
    <col min="4618" max="4624" width="5.25" style="560" customWidth="1"/>
    <col min="4625" max="4632" width="3.625" style="560" customWidth="1"/>
    <col min="4633" max="4636" width="7.375" style="560" customWidth="1"/>
    <col min="4637" max="4870" width="9" style="560"/>
    <col min="4871" max="4871" width="1.375" style="560" customWidth="1"/>
    <col min="4872" max="4872" width="10.25" style="560" customWidth="1"/>
    <col min="4873" max="4873" width="14.5" style="560" customWidth="1"/>
    <col min="4874" max="4880" width="5.25" style="560" customWidth="1"/>
    <col min="4881" max="4888" width="3.625" style="560" customWidth="1"/>
    <col min="4889" max="4892" width="7.375" style="560" customWidth="1"/>
    <col min="4893" max="5126" width="9" style="560"/>
    <col min="5127" max="5127" width="1.375" style="560" customWidth="1"/>
    <col min="5128" max="5128" width="10.25" style="560" customWidth="1"/>
    <col min="5129" max="5129" width="14.5" style="560" customWidth="1"/>
    <col min="5130" max="5136" width="5.25" style="560" customWidth="1"/>
    <col min="5137" max="5144" width="3.625" style="560" customWidth="1"/>
    <col min="5145" max="5148" width="7.375" style="560" customWidth="1"/>
    <col min="5149" max="5382" width="9" style="560"/>
    <col min="5383" max="5383" width="1.375" style="560" customWidth="1"/>
    <col min="5384" max="5384" width="10.25" style="560" customWidth="1"/>
    <col min="5385" max="5385" width="14.5" style="560" customWidth="1"/>
    <col min="5386" max="5392" width="5.25" style="560" customWidth="1"/>
    <col min="5393" max="5400" width="3.625" style="560" customWidth="1"/>
    <col min="5401" max="5404" width="7.375" style="560" customWidth="1"/>
    <col min="5405" max="5638" width="9" style="560"/>
    <col min="5639" max="5639" width="1.375" style="560" customWidth="1"/>
    <col min="5640" max="5640" width="10.25" style="560" customWidth="1"/>
    <col min="5641" max="5641" width="14.5" style="560" customWidth="1"/>
    <col min="5642" max="5648" width="5.25" style="560" customWidth="1"/>
    <col min="5649" max="5656" width="3.625" style="560" customWidth="1"/>
    <col min="5657" max="5660" width="7.375" style="560" customWidth="1"/>
    <col min="5661" max="5894" width="9" style="560"/>
    <col min="5895" max="5895" width="1.375" style="560" customWidth="1"/>
    <col min="5896" max="5896" width="10.25" style="560" customWidth="1"/>
    <col min="5897" max="5897" width="14.5" style="560" customWidth="1"/>
    <col min="5898" max="5904" width="5.25" style="560" customWidth="1"/>
    <col min="5905" max="5912" width="3.625" style="560" customWidth="1"/>
    <col min="5913" max="5916" width="7.375" style="560" customWidth="1"/>
    <col min="5917" max="6150" width="9" style="560"/>
    <col min="6151" max="6151" width="1.375" style="560" customWidth="1"/>
    <col min="6152" max="6152" width="10.25" style="560" customWidth="1"/>
    <col min="6153" max="6153" width="14.5" style="560" customWidth="1"/>
    <col min="6154" max="6160" width="5.25" style="560" customWidth="1"/>
    <col min="6161" max="6168" width="3.625" style="560" customWidth="1"/>
    <col min="6169" max="6172" width="7.375" style="560" customWidth="1"/>
    <col min="6173" max="6406" width="9" style="560"/>
    <col min="6407" max="6407" width="1.375" style="560" customWidth="1"/>
    <col min="6408" max="6408" width="10.25" style="560" customWidth="1"/>
    <col min="6409" max="6409" width="14.5" style="560" customWidth="1"/>
    <col min="6410" max="6416" width="5.25" style="560" customWidth="1"/>
    <col min="6417" max="6424" width="3.625" style="560" customWidth="1"/>
    <col min="6425" max="6428" width="7.375" style="560" customWidth="1"/>
    <col min="6429" max="6662" width="9" style="560"/>
    <col min="6663" max="6663" width="1.375" style="560" customWidth="1"/>
    <col min="6664" max="6664" width="10.25" style="560" customWidth="1"/>
    <col min="6665" max="6665" width="14.5" style="560" customWidth="1"/>
    <col min="6666" max="6672" width="5.25" style="560" customWidth="1"/>
    <col min="6673" max="6680" width="3.625" style="560" customWidth="1"/>
    <col min="6681" max="6684" width="7.375" style="560" customWidth="1"/>
    <col min="6685" max="6918" width="9" style="560"/>
    <col min="6919" max="6919" width="1.375" style="560" customWidth="1"/>
    <col min="6920" max="6920" width="10.25" style="560" customWidth="1"/>
    <col min="6921" max="6921" width="14.5" style="560" customWidth="1"/>
    <col min="6922" max="6928" width="5.25" style="560" customWidth="1"/>
    <col min="6929" max="6936" width="3.625" style="560" customWidth="1"/>
    <col min="6937" max="6940" width="7.375" style="560" customWidth="1"/>
    <col min="6941" max="7174" width="9" style="560"/>
    <col min="7175" max="7175" width="1.375" style="560" customWidth="1"/>
    <col min="7176" max="7176" width="10.25" style="560" customWidth="1"/>
    <col min="7177" max="7177" width="14.5" style="560" customWidth="1"/>
    <col min="7178" max="7184" width="5.25" style="560" customWidth="1"/>
    <col min="7185" max="7192" width="3.625" style="560" customWidth="1"/>
    <col min="7193" max="7196" width="7.375" style="560" customWidth="1"/>
    <col min="7197" max="7430" width="9" style="560"/>
    <col min="7431" max="7431" width="1.375" style="560" customWidth="1"/>
    <col min="7432" max="7432" width="10.25" style="560" customWidth="1"/>
    <col min="7433" max="7433" width="14.5" style="560" customWidth="1"/>
    <col min="7434" max="7440" width="5.25" style="560" customWidth="1"/>
    <col min="7441" max="7448" width="3.625" style="560" customWidth="1"/>
    <col min="7449" max="7452" width="7.375" style="560" customWidth="1"/>
    <col min="7453" max="7686" width="9" style="560"/>
    <col min="7687" max="7687" width="1.375" style="560" customWidth="1"/>
    <col min="7688" max="7688" width="10.25" style="560" customWidth="1"/>
    <col min="7689" max="7689" width="14.5" style="560" customWidth="1"/>
    <col min="7690" max="7696" width="5.25" style="560" customWidth="1"/>
    <col min="7697" max="7704" width="3.625" style="560" customWidth="1"/>
    <col min="7705" max="7708" width="7.375" style="560" customWidth="1"/>
    <col min="7709" max="7942" width="9" style="560"/>
    <col min="7943" max="7943" width="1.375" style="560" customWidth="1"/>
    <col min="7944" max="7944" width="10.25" style="560" customWidth="1"/>
    <col min="7945" max="7945" width="14.5" style="560" customWidth="1"/>
    <col min="7946" max="7952" width="5.25" style="560" customWidth="1"/>
    <col min="7953" max="7960" width="3.625" style="560" customWidth="1"/>
    <col min="7961" max="7964" width="7.375" style="560" customWidth="1"/>
    <col min="7965" max="8198" width="9" style="560"/>
    <col min="8199" max="8199" width="1.375" style="560" customWidth="1"/>
    <col min="8200" max="8200" width="10.25" style="560" customWidth="1"/>
    <col min="8201" max="8201" width="14.5" style="560" customWidth="1"/>
    <col min="8202" max="8208" width="5.25" style="560" customWidth="1"/>
    <col min="8209" max="8216" width="3.625" style="560" customWidth="1"/>
    <col min="8217" max="8220" width="7.375" style="560" customWidth="1"/>
    <col min="8221" max="8454" width="9" style="560"/>
    <col min="8455" max="8455" width="1.375" style="560" customWidth="1"/>
    <col min="8456" max="8456" width="10.25" style="560" customWidth="1"/>
    <col min="8457" max="8457" width="14.5" style="560" customWidth="1"/>
    <col min="8458" max="8464" width="5.25" style="560" customWidth="1"/>
    <col min="8465" max="8472" width="3.625" style="560" customWidth="1"/>
    <col min="8473" max="8476" width="7.375" style="560" customWidth="1"/>
    <col min="8477" max="8710" width="9" style="560"/>
    <col min="8711" max="8711" width="1.375" style="560" customWidth="1"/>
    <col min="8712" max="8712" width="10.25" style="560" customWidth="1"/>
    <col min="8713" max="8713" width="14.5" style="560" customWidth="1"/>
    <col min="8714" max="8720" width="5.25" style="560" customWidth="1"/>
    <col min="8721" max="8728" width="3.625" style="560" customWidth="1"/>
    <col min="8729" max="8732" width="7.375" style="560" customWidth="1"/>
    <col min="8733" max="8966" width="9" style="560"/>
    <col min="8967" max="8967" width="1.375" style="560" customWidth="1"/>
    <col min="8968" max="8968" width="10.25" style="560" customWidth="1"/>
    <col min="8969" max="8969" width="14.5" style="560" customWidth="1"/>
    <col min="8970" max="8976" width="5.25" style="560" customWidth="1"/>
    <col min="8977" max="8984" width="3.625" style="560" customWidth="1"/>
    <col min="8985" max="8988" width="7.375" style="560" customWidth="1"/>
    <col min="8989" max="9222" width="9" style="560"/>
    <col min="9223" max="9223" width="1.375" style="560" customWidth="1"/>
    <col min="9224" max="9224" width="10.25" style="560" customWidth="1"/>
    <col min="9225" max="9225" width="14.5" style="560" customWidth="1"/>
    <col min="9226" max="9232" width="5.25" style="560" customWidth="1"/>
    <col min="9233" max="9240" width="3.625" style="560" customWidth="1"/>
    <col min="9241" max="9244" width="7.375" style="560" customWidth="1"/>
    <col min="9245" max="9478" width="9" style="560"/>
    <col min="9479" max="9479" width="1.375" style="560" customWidth="1"/>
    <col min="9480" max="9480" width="10.25" style="560" customWidth="1"/>
    <col min="9481" max="9481" width="14.5" style="560" customWidth="1"/>
    <col min="9482" max="9488" width="5.25" style="560" customWidth="1"/>
    <col min="9489" max="9496" width="3.625" style="560" customWidth="1"/>
    <col min="9497" max="9500" width="7.375" style="560" customWidth="1"/>
    <col min="9501" max="9734" width="9" style="560"/>
    <col min="9735" max="9735" width="1.375" style="560" customWidth="1"/>
    <col min="9736" max="9736" width="10.25" style="560" customWidth="1"/>
    <col min="9737" max="9737" width="14.5" style="560" customWidth="1"/>
    <col min="9738" max="9744" width="5.25" style="560" customWidth="1"/>
    <col min="9745" max="9752" width="3.625" style="560" customWidth="1"/>
    <col min="9753" max="9756" width="7.375" style="560" customWidth="1"/>
    <col min="9757" max="9990" width="9" style="560"/>
    <col min="9991" max="9991" width="1.375" style="560" customWidth="1"/>
    <col min="9992" max="9992" width="10.25" style="560" customWidth="1"/>
    <col min="9993" max="9993" width="14.5" style="560" customWidth="1"/>
    <col min="9994" max="10000" width="5.25" style="560" customWidth="1"/>
    <col min="10001" max="10008" width="3.625" style="560" customWidth="1"/>
    <col min="10009" max="10012" width="7.375" style="560" customWidth="1"/>
    <col min="10013" max="10246" width="9" style="560"/>
    <col min="10247" max="10247" width="1.375" style="560" customWidth="1"/>
    <col min="10248" max="10248" width="10.25" style="560" customWidth="1"/>
    <col min="10249" max="10249" width="14.5" style="560" customWidth="1"/>
    <col min="10250" max="10256" width="5.25" style="560" customWidth="1"/>
    <col min="10257" max="10264" width="3.625" style="560" customWidth="1"/>
    <col min="10265" max="10268" width="7.375" style="560" customWidth="1"/>
    <col min="10269" max="10502" width="9" style="560"/>
    <col min="10503" max="10503" width="1.375" style="560" customWidth="1"/>
    <col min="10504" max="10504" width="10.25" style="560" customWidth="1"/>
    <col min="10505" max="10505" width="14.5" style="560" customWidth="1"/>
    <col min="10506" max="10512" width="5.25" style="560" customWidth="1"/>
    <col min="10513" max="10520" width="3.625" style="560" customWidth="1"/>
    <col min="10521" max="10524" width="7.375" style="560" customWidth="1"/>
    <col min="10525" max="10758" width="9" style="560"/>
    <col min="10759" max="10759" width="1.375" style="560" customWidth="1"/>
    <col min="10760" max="10760" width="10.25" style="560" customWidth="1"/>
    <col min="10761" max="10761" width="14.5" style="560" customWidth="1"/>
    <col min="10762" max="10768" width="5.25" style="560" customWidth="1"/>
    <col min="10769" max="10776" width="3.625" style="560" customWidth="1"/>
    <col min="10777" max="10780" width="7.375" style="560" customWidth="1"/>
    <col min="10781" max="11014" width="9" style="560"/>
    <col min="11015" max="11015" width="1.375" style="560" customWidth="1"/>
    <col min="11016" max="11016" width="10.25" style="560" customWidth="1"/>
    <col min="11017" max="11017" width="14.5" style="560" customWidth="1"/>
    <col min="11018" max="11024" width="5.25" style="560" customWidth="1"/>
    <col min="11025" max="11032" width="3.625" style="560" customWidth="1"/>
    <col min="11033" max="11036" width="7.375" style="560" customWidth="1"/>
    <col min="11037" max="11270" width="9" style="560"/>
    <col min="11271" max="11271" width="1.375" style="560" customWidth="1"/>
    <col min="11272" max="11272" width="10.25" style="560" customWidth="1"/>
    <col min="11273" max="11273" width="14.5" style="560" customWidth="1"/>
    <col min="11274" max="11280" width="5.25" style="560" customWidth="1"/>
    <col min="11281" max="11288" width="3.625" style="560" customWidth="1"/>
    <col min="11289" max="11292" width="7.375" style="560" customWidth="1"/>
    <col min="11293" max="11526" width="9" style="560"/>
    <col min="11527" max="11527" width="1.375" style="560" customWidth="1"/>
    <col min="11528" max="11528" width="10.25" style="560" customWidth="1"/>
    <col min="11529" max="11529" width="14.5" style="560" customWidth="1"/>
    <col min="11530" max="11536" width="5.25" style="560" customWidth="1"/>
    <col min="11537" max="11544" width="3.625" style="560" customWidth="1"/>
    <col min="11545" max="11548" width="7.375" style="560" customWidth="1"/>
    <col min="11549" max="11782" width="9" style="560"/>
    <col min="11783" max="11783" width="1.375" style="560" customWidth="1"/>
    <col min="11784" max="11784" width="10.25" style="560" customWidth="1"/>
    <col min="11785" max="11785" width="14.5" style="560" customWidth="1"/>
    <col min="11786" max="11792" width="5.25" style="560" customWidth="1"/>
    <col min="11793" max="11800" width="3.625" style="560" customWidth="1"/>
    <col min="11801" max="11804" width="7.375" style="560" customWidth="1"/>
    <col min="11805" max="12038" width="9" style="560"/>
    <col min="12039" max="12039" width="1.375" style="560" customWidth="1"/>
    <col min="12040" max="12040" width="10.25" style="560" customWidth="1"/>
    <col min="12041" max="12041" width="14.5" style="560" customWidth="1"/>
    <col min="12042" max="12048" width="5.25" style="560" customWidth="1"/>
    <col min="12049" max="12056" width="3.625" style="560" customWidth="1"/>
    <col min="12057" max="12060" width="7.375" style="560" customWidth="1"/>
    <col min="12061" max="12294" width="9" style="560"/>
    <col min="12295" max="12295" width="1.375" style="560" customWidth="1"/>
    <col min="12296" max="12296" width="10.25" style="560" customWidth="1"/>
    <col min="12297" max="12297" width="14.5" style="560" customWidth="1"/>
    <col min="12298" max="12304" width="5.25" style="560" customWidth="1"/>
    <col min="12305" max="12312" width="3.625" style="560" customWidth="1"/>
    <col min="12313" max="12316" width="7.375" style="560" customWidth="1"/>
    <col min="12317" max="12550" width="9" style="560"/>
    <col min="12551" max="12551" width="1.375" style="560" customWidth="1"/>
    <col min="12552" max="12552" width="10.25" style="560" customWidth="1"/>
    <col min="12553" max="12553" width="14.5" style="560" customWidth="1"/>
    <col min="12554" max="12560" width="5.25" style="560" customWidth="1"/>
    <col min="12561" max="12568" width="3.625" style="560" customWidth="1"/>
    <col min="12569" max="12572" width="7.375" style="560" customWidth="1"/>
    <col min="12573" max="12806" width="9" style="560"/>
    <col min="12807" max="12807" width="1.375" style="560" customWidth="1"/>
    <col min="12808" max="12808" width="10.25" style="560" customWidth="1"/>
    <col min="12809" max="12809" width="14.5" style="560" customWidth="1"/>
    <col min="12810" max="12816" width="5.25" style="560" customWidth="1"/>
    <col min="12817" max="12824" width="3.625" style="560" customWidth="1"/>
    <col min="12825" max="12828" width="7.375" style="560" customWidth="1"/>
    <col min="12829" max="13062" width="9" style="560"/>
    <col min="13063" max="13063" width="1.375" style="560" customWidth="1"/>
    <col min="13064" max="13064" width="10.25" style="560" customWidth="1"/>
    <col min="13065" max="13065" width="14.5" style="560" customWidth="1"/>
    <col min="13066" max="13072" width="5.25" style="560" customWidth="1"/>
    <col min="13073" max="13080" width="3.625" style="560" customWidth="1"/>
    <col min="13081" max="13084" width="7.375" style="560" customWidth="1"/>
    <col min="13085" max="13318" width="9" style="560"/>
    <col min="13319" max="13319" width="1.375" style="560" customWidth="1"/>
    <col min="13320" max="13320" width="10.25" style="560" customWidth="1"/>
    <col min="13321" max="13321" width="14.5" style="560" customWidth="1"/>
    <col min="13322" max="13328" width="5.25" style="560" customWidth="1"/>
    <col min="13329" max="13336" width="3.625" style="560" customWidth="1"/>
    <col min="13337" max="13340" width="7.375" style="560" customWidth="1"/>
    <col min="13341" max="13574" width="9" style="560"/>
    <col min="13575" max="13575" width="1.375" style="560" customWidth="1"/>
    <col min="13576" max="13576" width="10.25" style="560" customWidth="1"/>
    <col min="13577" max="13577" width="14.5" style="560" customWidth="1"/>
    <col min="13578" max="13584" width="5.25" style="560" customWidth="1"/>
    <col min="13585" max="13592" width="3.625" style="560" customWidth="1"/>
    <col min="13593" max="13596" width="7.375" style="560" customWidth="1"/>
    <col min="13597" max="13830" width="9" style="560"/>
    <col min="13831" max="13831" width="1.375" style="560" customWidth="1"/>
    <col min="13832" max="13832" width="10.25" style="560" customWidth="1"/>
    <col min="13833" max="13833" width="14.5" style="560" customWidth="1"/>
    <col min="13834" max="13840" width="5.25" style="560" customWidth="1"/>
    <col min="13841" max="13848" width="3.625" style="560" customWidth="1"/>
    <col min="13849" max="13852" width="7.375" style="560" customWidth="1"/>
    <col min="13853" max="14086" width="9" style="560"/>
    <col min="14087" max="14087" width="1.375" style="560" customWidth="1"/>
    <col min="14088" max="14088" width="10.25" style="560" customWidth="1"/>
    <col min="14089" max="14089" width="14.5" style="560" customWidth="1"/>
    <col min="14090" max="14096" width="5.25" style="560" customWidth="1"/>
    <col min="14097" max="14104" width="3.625" style="560" customWidth="1"/>
    <col min="14105" max="14108" width="7.375" style="560" customWidth="1"/>
    <col min="14109" max="14342" width="9" style="560"/>
    <col min="14343" max="14343" width="1.375" style="560" customWidth="1"/>
    <col min="14344" max="14344" width="10.25" style="560" customWidth="1"/>
    <col min="14345" max="14345" width="14.5" style="560" customWidth="1"/>
    <col min="14346" max="14352" width="5.25" style="560" customWidth="1"/>
    <col min="14353" max="14360" width="3.625" style="560" customWidth="1"/>
    <col min="14361" max="14364" width="7.375" style="560" customWidth="1"/>
    <col min="14365" max="14598" width="9" style="560"/>
    <col min="14599" max="14599" width="1.375" style="560" customWidth="1"/>
    <col min="14600" max="14600" width="10.25" style="560" customWidth="1"/>
    <col min="14601" max="14601" width="14.5" style="560" customWidth="1"/>
    <col min="14602" max="14608" width="5.25" style="560" customWidth="1"/>
    <col min="14609" max="14616" width="3.625" style="560" customWidth="1"/>
    <col min="14617" max="14620" width="7.375" style="560" customWidth="1"/>
    <col min="14621" max="14854" width="9" style="560"/>
    <col min="14855" max="14855" width="1.375" style="560" customWidth="1"/>
    <col min="14856" max="14856" width="10.25" style="560" customWidth="1"/>
    <col min="14857" max="14857" width="14.5" style="560" customWidth="1"/>
    <col min="14858" max="14864" width="5.25" style="560" customWidth="1"/>
    <col min="14865" max="14872" width="3.625" style="560" customWidth="1"/>
    <col min="14873" max="14876" width="7.375" style="560" customWidth="1"/>
    <col min="14877" max="15110" width="9" style="560"/>
    <col min="15111" max="15111" width="1.375" style="560" customWidth="1"/>
    <col min="15112" max="15112" width="10.25" style="560" customWidth="1"/>
    <col min="15113" max="15113" width="14.5" style="560" customWidth="1"/>
    <col min="15114" max="15120" width="5.25" style="560" customWidth="1"/>
    <col min="15121" max="15128" width="3.625" style="560" customWidth="1"/>
    <col min="15129" max="15132" width="7.375" style="560" customWidth="1"/>
    <col min="15133" max="15366" width="9" style="560"/>
    <col min="15367" max="15367" width="1.375" style="560" customWidth="1"/>
    <col min="15368" max="15368" width="10.25" style="560" customWidth="1"/>
    <col min="15369" max="15369" width="14.5" style="560" customWidth="1"/>
    <col min="15370" max="15376" width="5.25" style="560" customWidth="1"/>
    <col min="15377" max="15384" width="3.625" style="560" customWidth="1"/>
    <col min="15385" max="15388" width="7.375" style="560" customWidth="1"/>
    <col min="15389" max="15622" width="9" style="560"/>
    <col min="15623" max="15623" width="1.375" style="560" customWidth="1"/>
    <col min="15624" max="15624" width="10.25" style="560" customWidth="1"/>
    <col min="15625" max="15625" width="14.5" style="560" customWidth="1"/>
    <col min="15626" max="15632" width="5.25" style="560" customWidth="1"/>
    <col min="15633" max="15640" width="3.625" style="560" customWidth="1"/>
    <col min="15641" max="15644" width="7.375" style="560" customWidth="1"/>
    <col min="15645" max="15878" width="9" style="560"/>
    <col min="15879" max="15879" width="1.375" style="560" customWidth="1"/>
    <col min="15880" max="15880" width="10.25" style="560" customWidth="1"/>
    <col min="15881" max="15881" width="14.5" style="560" customWidth="1"/>
    <col min="15882" max="15888" width="5.25" style="560" customWidth="1"/>
    <col min="15889" max="15896" width="3.625" style="560" customWidth="1"/>
    <col min="15897" max="15900" width="7.375" style="560" customWidth="1"/>
    <col min="15901" max="16134" width="9" style="560"/>
    <col min="16135" max="16135" width="1.375" style="560" customWidth="1"/>
    <col min="16136" max="16136" width="10.25" style="560" customWidth="1"/>
    <col min="16137" max="16137" width="14.5" style="560" customWidth="1"/>
    <col min="16138" max="16144" width="5.25" style="560" customWidth="1"/>
    <col min="16145" max="16152" width="3.625" style="560" customWidth="1"/>
    <col min="16153" max="16156" width="7.375" style="560" customWidth="1"/>
    <col min="16157" max="16384" width="9" style="560"/>
  </cols>
  <sheetData>
    <row r="1" spans="1:27" s="554" customFormat="1" ht="24">
      <c r="A1" s="561"/>
      <c r="B1" s="1280" t="s">
        <v>905</v>
      </c>
      <c r="C1" s="1280"/>
      <c r="D1" s="1280"/>
      <c r="E1" s="1280"/>
      <c r="F1" s="1280"/>
      <c r="G1" s="1280"/>
      <c r="H1" s="1280"/>
      <c r="I1" s="1280"/>
      <c r="J1" s="1280"/>
      <c r="K1" s="1280"/>
      <c r="L1" s="1280"/>
      <c r="M1" s="1280"/>
      <c r="N1" s="1280"/>
      <c r="O1" s="1280"/>
      <c r="P1" s="1280"/>
      <c r="Q1" s="1280"/>
      <c r="R1" s="1280"/>
      <c r="S1" s="1280"/>
      <c r="T1" s="1280"/>
      <c r="U1" s="1280"/>
      <c r="V1" s="1280"/>
      <c r="W1" s="1280"/>
      <c r="X1" s="1280"/>
    </row>
    <row r="2" spans="1:27" s="555" customFormat="1" ht="13.5">
      <c r="A2" s="562"/>
      <c r="B2" s="1281" t="s">
        <v>906</v>
      </c>
      <c r="C2" s="1281"/>
      <c r="D2" s="1281"/>
      <c r="E2" s="1281"/>
      <c r="F2" s="1281"/>
      <c r="G2" s="1281"/>
      <c r="H2" s="1281"/>
      <c r="I2" s="1281"/>
      <c r="J2" s="1281"/>
      <c r="K2" s="1281"/>
      <c r="L2" s="1281"/>
      <c r="M2" s="1281"/>
      <c r="N2" s="1281"/>
      <c r="O2" s="1281"/>
      <c r="P2" s="1281"/>
      <c r="Q2" s="1281"/>
      <c r="R2" s="1281"/>
      <c r="S2" s="1281"/>
      <c r="T2" s="1281"/>
      <c r="U2" s="1281"/>
      <c r="V2" s="1281"/>
      <c r="W2" s="1281"/>
      <c r="X2" s="1281"/>
    </row>
    <row r="3" spans="1:27" s="556" customFormat="1" ht="17.25" customHeight="1">
      <c r="A3" s="563"/>
      <c r="B3" s="563"/>
      <c r="C3" s="563"/>
      <c r="D3" s="563"/>
      <c r="E3" s="563"/>
      <c r="F3" s="563"/>
      <c r="G3" s="563"/>
      <c r="H3" s="563"/>
      <c r="I3" s="563"/>
      <c r="J3" s="563"/>
      <c r="K3" s="563"/>
      <c r="L3" s="563"/>
      <c r="M3" s="563"/>
      <c r="N3" s="563"/>
      <c r="O3" s="563"/>
      <c r="P3" s="563"/>
      <c r="Q3" s="563"/>
      <c r="R3" s="563"/>
      <c r="S3" s="563"/>
      <c r="T3" s="563"/>
      <c r="U3" s="563"/>
      <c r="V3" s="563"/>
      <c r="W3" s="563"/>
      <c r="X3" s="564" t="s">
        <v>1261</v>
      </c>
    </row>
    <row r="4" spans="1:27" s="556" customFormat="1" ht="17.25" customHeight="1">
      <c r="A4" s="563"/>
      <c r="B4" s="563"/>
      <c r="C4" s="563"/>
      <c r="D4" s="563"/>
      <c r="E4" s="563"/>
      <c r="F4" s="563"/>
      <c r="G4" s="563"/>
      <c r="H4" s="563"/>
      <c r="I4" s="563"/>
      <c r="J4" s="563"/>
      <c r="K4" s="563"/>
      <c r="L4" s="563"/>
      <c r="M4" s="563"/>
      <c r="N4" s="563"/>
      <c r="O4" s="563"/>
      <c r="P4" s="563"/>
      <c r="Q4" s="563"/>
      <c r="R4" s="563"/>
      <c r="S4" s="563"/>
      <c r="T4" s="563"/>
      <c r="U4" s="563"/>
      <c r="V4" s="563"/>
      <c r="W4" s="563"/>
      <c r="X4" s="565" t="s">
        <v>1264</v>
      </c>
    </row>
    <row r="5" spans="1:27" s="557" customFormat="1" ht="15" thickBot="1">
      <c r="A5" s="566"/>
      <c r="B5" s="566"/>
      <c r="C5" s="566"/>
      <c r="D5" s="566"/>
      <c r="E5" s="566"/>
      <c r="F5" s="566"/>
      <c r="G5" s="566"/>
      <c r="H5" s="566"/>
      <c r="I5" s="566"/>
      <c r="J5" s="566"/>
      <c r="K5" s="566"/>
      <c r="L5" s="566"/>
      <c r="M5" s="566"/>
      <c r="N5" s="566"/>
      <c r="O5" s="566"/>
      <c r="P5" s="566"/>
      <c r="Q5" s="566"/>
      <c r="R5" s="566"/>
      <c r="S5" s="566"/>
      <c r="T5" s="566"/>
      <c r="U5" s="566"/>
      <c r="V5" s="566"/>
      <c r="W5" s="566"/>
      <c r="X5" s="566"/>
    </row>
    <row r="6" spans="1:27" s="557" customFormat="1" ht="24" customHeight="1">
      <c r="A6" s="566"/>
      <c r="B6" s="567"/>
      <c r="C6" s="568"/>
      <c r="D6" s="568"/>
      <c r="E6" s="568"/>
      <c r="F6" s="569"/>
      <c r="G6" s="569"/>
      <c r="H6" s="569"/>
      <c r="I6" s="569"/>
      <c r="J6" s="569"/>
      <c r="K6" s="570"/>
      <c r="L6" s="571"/>
      <c r="M6" s="571"/>
      <c r="N6" s="572"/>
      <c r="O6" s="572"/>
      <c r="P6" s="572" t="s">
        <v>332</v>
      </c>
      <c r="Q6" s="572"/>
      <c r="R6" s="572"/>
      <c r="S6" s="572"/>
      <c r="T6" s="572" t="s">
        <v>935</v>
      </c>
      <c r="U6" s="572"/>
      <c r="V6" s="572"/>
      <c r="W6" s="572"/>
      <c r="X6" s="573"/>
    </row>
    <row r="7" spans="1:27" s="4" customFormat="1" ht="24" customHeight="1">
      <c r="A7" s="574"/>
      <c r="B7" s="575" t="s">
        <v>47</v>
      </c>
      <c r="C7" s="576"/>
      <c r="D7" s="576"/>
      <c r="E7" s="576"/>
      <c r="F7" s="1282" t="str">
        <f>IF('01.入学願書'!J11="","",'01.入学願書'!J11&amp;" "&amp;'01.入学願書'!S11)</f>
        <v>BÙI VĂN HẢI</v>
      </c>
      <c r="G7" s="1282"/>
      <c r="H7" s="1282"/>
      <c r="I7" s="1282"/>
      <c r="J7" s="1288"/>
      <c r="K7" s="577" t="s">
        <v>48</v>
      </c>
      <c r="L7" s="578"/>
      <c r="M7" s="578"/>
      <c r="N7" s="578"/>
      <c r="O7" s="1282" t="str">
        <f>IF('01.入学願書'!AM11="","",'01.入学願書'!AM11&amp;" "&amp;'01.入学願書'!AV11)</f>
        <v>BUI VAN HAI</v>
      </c>
      <c r="P7" s="1282"/>
      <c r="Q7" s="1282"/>
      <c r="R7" s="1282"/>
      <c r="S7" s="1282"/>
      <c r="T7" s="1282"/>
      <c r="U7" s="1282"/>
      <c r="V7" s="1282"/>
      <c r="W7" s="1282"/>
      <c r="X7" s="579"/>
    </row>
    <row r="8" spans="1:27" s="4" customFormat="1" ht="24" customHeight="1">
      <c r="A8" s="574"/>
      <c r="B8" s="575" t="s">
        <v>907</v>
      </c>
      <c r="C8" s="576"/>
      <c r="D8" s="576"/>
      <c r="E8" s="576"/>
      <c r="F8" s="1282"/>
      <c r="G8" s="1282"/>
      <c r="H8" s="1282"/>
      <c r="I8" s="1282"/>
      <c r="J8" s="1288"/>
      <c r="K8" s="577" t="s">
        <v>908</v>
      </c>
      <c r="L8" s="578"/>
      <c r="M8" s="578"/>
      <c r="N8" s="578"/>
      <c r="O8" s="1282"/>
      <c r="P8" s="1282"/>
      <c r="Q8" s="1282"/>
      <c r="R8" s="1282"/>
      <c r="S8" s="1282"/>
      <c r="T8" s="1282"/>
      <c r="U8" s="1282"/>
      <c r="V8" s="1282"/>
      <c r="W8" s="1282"/>
      <c r="X8" s="579"/>
    </row>
    <row r="9" spans="1:27" s="4" customFormat="1" ht="24" customHeight="1">
      <c r="A9" s="574"/>
      <c r="B9" s="580" t="s">
        <v>909</v>
      </c>
      <c r="C9" s="581"/>
      <c r="D9" s="581"/>
      <c r="E9" s="581"/>
      <c r="F9" s="1283"/>
      <c r="G9" s="1283"/>
      <c r="H9" s="1283"/>
      <c r="I9" s="1283"/>
      <c r="J9" s="1289"/>
      <c r="K9" s="582" t="s">
        <v>910</v>
      </c>
      <c r="L9" s="583"/>
      <c r="M9" s="583"/>
      <c r="N9" s="583"/>
      <c r="O9" s="1283"/>
      <c r="P9" s="1283"/>
      <c r="Q9" s="1283"/>
      <c r="R9" s="1283"/>
      <c r="S9" s="1283"/>
      <c r="T9" s="1283"/>
      <c r="U9" s="1283"/>
      <c r="V9" s="1283"/>
      <c r="W9" s="1283"/>
      <c r="X9" s="584"/>
    </row>
    <row r="10" spans="1:27" s="4" customFormat="1" ht="24" customHeight="1">
      <c r="A10" s="574"/>
      <c r="B10" s="575" t="s">
        <v>911</v>
      </c>
      <c r="C10" s="576"/>
      <c r="D10" s="585" t="str">
        <f>'01.入学願書'!H14</f>
        <v>■</v>
      </c>
      <c r="E10" s="585" t="s">
        <v>231</v>
      </c>
      <c r="F10" s="586" t="s">
        <v>933</v>
      </c>
      <c r="G10" s="1296" t="s">
        <v>912</v>
      </c>
      <c r="H10" s="1294"/>
      <c r="I10" s="1294"/>
      <c r="J10" s="587" t="str">
        <f>IF('01.入学願書'!Z14="","",'01.入学願書'!Z14)</f>
        <v>1991</v>
      </c>
      <c r="K10" s="588" t="s">
        <v>4</v>
      </c>
      <c r="L10" s="587" t="str">
        <f>IF('01.入学願書'!AI14="","",'01.入学願書'!AI14)</f>
        <v>11</v>
      </c>
      <c r="M10" s="588" t="s">
        <v>34</v>
      </c>
      <c r="N10" s="587" t="str">
        <f>IF('01.入学願書'!AN14="","",'01.入学願書'!AN14)</f>
        <v>05</v>
      </c>
      <c r="O10" s="589" t="s">
        <v>6</v>
      </c>
      <c r="P10" s="1293" t="s">
        <v>915</v>
      </c>
      <c r="Q10" s="1294"/>
      <c r="R10" s="1294"/>
      <c r="S10" s="1294"/>
      <c r="T10" s="1294"/>
      <c r="U10" s="1290" t="str">
        <f>IF('01.入学願書'!H16="","",'01.入学願書'!H16)</f>
        <v>Vietnam</v>
      </c>
      <c r="V10" s="1290"/>
      <c r="W10" s="1290"/>
      <c r="X10" s="1291"/>
    </row>
    <row r="11" spans="1:27" s="4" customFormat="1" ht="12">
      <c r="A11" s="574"/>
      <c r="B11" s="590" t="s">
        <v>913</v>
      </c>
      <c r="C11" s="583"/>
      <c r="D11" s="591" t="str">
        <f>'01.入学願書'!L14</f>
        <v>□</v>
      </c>
      <c r="E11" s="591" t="s">
        <v>235</v>
      </c>
      <c r="F11" s="592" t="s">
        <v>934</v>
      </c>
      <c r="G11" s="1284" t="s">
        <v>936</v>
      </c>
      <c r="H11" s="1285"/>
      <c r="I11" s="1285"/>
      <c r="J11" s="583"/>
      <c r="K11" s="593" t="s">
        <v>937</v>
      </c>
      <c r="L11" s="583"/>
      <c r="M11" s="593" t="s">
        <v>292</v>
      </c>
      <c r="N11" s="583"/>
      <c r="O11" s="594" t="s">
        <v>914</v>
      </c>
      <c r="P11" s="1295" t="s">
        <v>916</v>
      </c>
      <c r="Q11" s="1285"/>
      <c r="R11" s="1285"/>
      <c r="S11" s="1285"/>
      <c r="T11" s="1285"/>
      <c r="U11" s="1283"/>
      <c r="V11" s="1283"/>
      <c r="W11" s="1283"/>
      <c r="X11" s="1292"/>
    </row>
    <row r="12" spans="1:27" s="4" customFormat="1" ht="24" customHeight="1">
      <c r="A12" s="574"/>
      <c r="B12" s="1293" t="s">
        <v>918</v>
      </c>
      <c r="C12" s="1294"/>
      <c r="D12" s="1294"/>
      <c r="E12" s="1294"/>
      <c r="F12" s="1294"/>
      <c r="G12" s="588"/>
      <c r="H12" s="586" t="s">
        <v>919</v>
      </c>
      <c r="I12" s="588"/>
      <c r="J12" s="588"/>
      <c r="K12" s="587"/>
      <c r="L12" s="588"/>
      <c r="M12" s="588"/>
      <c r="N12" s="588"/>
      <c r="O12" s="587"/>
      <c r="P12" s="587" t="s">
        <v>917</v>
      </c>
      <c r="Q12" s="587"/>
      <c r="R12" s="587"/>
      <c r="S12" s="587"/>
      <c r="T12" s="587"/>
      <c r="U12" s="587"/>
      <c r="V12" s="587"/>
      <c r="W12" s="587"/>
      <c r="X12" s="595"/>
    </row>
    <row r="13" spans="1:27" s="4" customFormat="1" ht="24" customHeight="1">
      <c r="A13" s="574"/>
      <c r="B13" s="1286" t="s">
        <v>920</v>
      </c>
      <c r="C13" s="1287"/>
      <c r="D13" s="1287"/>
      <c r="E13" s="1287"/>
      <c r="F13" s="1287"/>
      <c r="G13" s="596"/>
      <c r="H13" s="581" t="s">
        <v>921</v>
      </c>
      <c r="I13" s="596"/>
      <c r="J13" s="596"/>
      <c r="K13" s="596"/>
      <c r="L13" s="581"/>
      <c r="M13" s="597"/>
      <c r="N13" s="596"/>
      <c r="O13" s="583"/>
      <c r="P13" s="597"/>
      <c r="Q13" s="583"/>
      <c r="R13" s="583"/>
      <c r="S13" s="583"/>
      <c r="T13" s="583"/>
      <c r="U13" s="583"/>
      <c r="V13" s="583"/>
      <c r="W13" s="583"/>
      <c r="X13" s="584"/>
    </row>
    <row r="14" spans="1:27" s="4" customFormat="1" ht="24" customHeight="1">
      <c r="A14" s="574"/>
      <c r="B14" s="575" t="s">
        <v>1323</v>
      </c>
      <c r="C14" s="576"/>
      <c r="D14" s="576"/>
      <c r="E14" s="576"/>
      <c r="F14" s="598"/>
      <c r="G14" s="599"/>
      <c r="H14" s="576"/>
      <c r="I14" s="599"/>
      <c r="J14" s="599"/>
      <c r="K14" s="599"/>
      <c r="L14" s="576"/>
      <c r="M14" s="598"/>
      <c r="N14" s="599"/>
      <c r="O14" s="578"/>
      <c r="P14" s="598"/>
      <c r="Q14" s="578"/>
      <c r="R14" s="578"/>
      <c r="S14" s="578"/>
      <c r="T14" s="578"/>
      <c r="U14" s="578"/>
      <c r="V14" s="578"/>
      <c r="W14" s="578"/>
      <c r="X14" s="579"/>
      <c r="AA14" s="12" t="s">
        <v>125</v>
      </c>
    </row>
    <row r="15" spans="1:27" s="557" customFormat="1" ht="24" customHeight="1">
      <c r="A15" s="566"/>
      <c r="B15" s="600" t="s">
        <v>922</v>
      </c>
      <c r="C15" s="578"/>
      <c r="D15" s="578"/>
      <c r="E15" s="578"/>
      <c r="F15" s="601"/>
      <c r="G15" s="601"/>
      <c r="H15" s="601"/>
      <c r="I15" s="601"/>
      <c r="J15" s="601"/>
      <c r="K15" s="601"/>
      <c r="L15" s="601"/>
      <c r="M15" s="601"/>
      <c r="N15" s="601"/>
      <c r="O15" s="601"/>
      <c r="P15" s="601"/>
      <c r="Q15" s="601"/>
      <c r="R15" s="601"/>
      <c r="S15" s="601"/>
      <c r="T15" s="601"/>
      <c r="U15" s="601"/>
      <c r="V15" s="601"/>
      <c r="W15" s="601"/>
      <c r="X15" s="602"/>
      <c r="AA15" s="12" t="s">
        <v>296</v>
      </c>
    </row>
    <row r="16" spans="1:27" s="4" customFormat="1" ht="24" customHeight="1">
      <c r="A16" s="574"/>
      <c r="B16" s="600"/>
      <c r="C16" s="578"/>
      <c r="D16" s="578"/>
      <c r="E16" s="578"/>
      <c r="F16" s="578"/>
      <c r="G16" s="827" t="s">
        <v>296</v>
      </c>
      <c r="H16" s="578" t="s">
        <v>923</v>
      </c>
      <c r="I16" s="578"/>
      <c r="J16" s="578"/>
      <c r="K16" s="827" t="s">
        <v>124</v>
      </c>
      <c r="L16" s="578" t="s">
        <v>924</v>
      </c>
      <c r="M16" s="578"/>
      <c r="N16" s="578"/>
      <c r="O16" s="578"/>
      <c r="P16" s="578"/>
      <c r="Q16" s="578"/>
      <c r="R16" s="578"/>
      <c r="S16" s="578"/>
      <c r="T16" s="578"/>
      <c r="U16" s="578"/>
      <c r="V16" s="578"/>
      <c r="W16" s="578"/>
      <c r="X16" s="579"/>
      <c r="AA16" s="12"/>
    </row>
    <row r="17" spans="1:24" s="4" customFormat="1" ht="24" customHeight="1">
      <c r="A17" s="574"/>
      <c r="B17" s="590"/>
      <c r="C17" s="583"/>
      <c r="D17" s="583"/>
      <c r="E17" s="583"/>
      <c r="F17" s="583"/>
      <c r="G17" s="583"/>
      <c r="H17" s="583" t="s">
        <v>925</v>
      </c>
      <c r="I17" s="583"/>
      <c r="J17" s="583"/>
      <c r="K17" s="583"/>
      <c r="L17" s="583" t="s">
        <v>926</v>
      </c>
      <c r="M17" s="583"/>
      <c r="N17" s="583"/>
      <c r="O17" s="583"/>
      <c r="P17" s="583"/>
      <c r="Q17" s="583"/>
      <c r="R17" s="583"/>
      <c r="S17" s="583"/>
      <c r="T17" s="583"/>
      <c r="U17" s="583"/>
      <c r="V17" s="583"/>
      <c r="W17" s="583"/>
      <c r="X17" s="584"/>
    </row>
    <row r="18" spans="1:24" s="4" customFormat="1" ht="24" customHeight="1">
      <c r="A18" s="574"/>
      <c r="B18" s="600" t="s">
        <v>927</v>
      </c>
      <c r="C18" s="578"/>
      <c r="D18" s="578"/>
      <c r="E18" s="578"/>
      <c r="F18" s="599"/>
      <c r="G18" s="599"/>
      <c r="H18" s="576"/>
      <c r="I18" s="599"/>
      <c r="J18" s="599"/>
      <c r="K18" s="599"/>
      <c r="L18" s="576"/>
      <c r="M18" s="598"/>
      <c r="N18" s="599"/>
      <c r="O18" s="578"/>
      <c r="P18" s="598"/>
      <c r="Q18" s="578"/>
      <c r="R18" s="578"/>
      <c r="S18" s="578"/>
      <c r="T18" s="578"/>
      <c r="U18" s="578"/>
      <c r="V18" s="578"/>
      <c r="W18" s="578"/>
      <c r="X18" s="579"/>
    </row>
    <row r="19" spans="1:24" s="4" customFormat="1" ht="24" customHeight="1">
      <c r="A19" s="574"/>
      <c r="B19" s="600" t="s">
        <v>928</v>
      </c>
      <c r="C19" s="578"/>
      <c r="D19" s="578"/>
      <c r="E19" s="578"/>
      <c r="F19" s="599"/>
      <c r="G19" s="599"/>
      <c r="H19" s="576"/>
      <c r="I19" s="599"/>
      <c r="J19" s="599"/>
      <c r="K19" s="599"/>
      <c r="L19" s="576"/>
      <c r="M19" s="598"/>
      <c r="N19" s="599"/>
      <c r="O19" s="578"/>
      <c r="P19" s="598"/>
      <c r="Q19" s="578"/>
      <c r="R19" s="578"/>
      <c r="S19" s="578"/>
      <c r="T19" s="578"/>
      <c r="U19" s="578"/>
      <c r="V19" s="578"/>
      <c r="W19" s="578"/>
      <c r="X19" s="579"/>
    </row>
    <row r="20" spans="1:24" s="4" customFormat="1" ht="24" customHeight="1">
      <c r="A20" s="574"/>
      <c r="B20" s="600" t="s">
        <v>938</v>
      </c>
      <c r="C20" s="578"/>
      <c r="D20" s="578"/>
      <c r="E20" s="578"/>
      <c r="F20" s="599"/>
      <c r="G20" s="599"/>
      <c r="H20" s="576"/>
      <c r="I20" s="599"/>
      <c r="J20" s="599"/>
      <c r="K20" s="599"/>
      <c r="L20" s="576"/>
      <c r="M20" s="598"/>
      <c r="N20" s="599"/>
      <c r="O20" s="578"/>
      <c r="P20" s="598"/>
      <c r="Q20" s="578"/>
      <c r="R20" s="578"/>
      <c r="S20" s="578"/>
      <c r="T20" s="578"/>
      <c r="U20" s="578"/>
      <c r="V20" s="578"/>
      <c r="W20" s="578"/>
      <c r="X20" s="579"/>
    </row>
    <row r="21" spans="1:24" s="4" customFormat="1" ht="24" customHeight="1">
      <c r="A21" s="574"/>
      <c r="B21" s="600" t="s">
        <v>945</v>
      </c>
      <c r="C21" s="578"/>
      <c r="D21" s="578"/>
      <c r="E21" s="578"/>
      <c r="F21" s="599"/>
      <c r="G21" s="599"/>
      <c r="H21" s="576"/>
      <c r="I21" s="599"/>
      <c r="J21" s="599"/>
      <c r="K21" s="599"/>
      <c r="L21" s="576"/>
      <c r="M21" s="598"/>
      <c r="N21" s="599"/>
      <c r="O21" s="578"/>
      <c r="P21" s="598"/>
      <c r="Q21" s="578"/>
      <c r="R21" s="578"/>
      <c r="S21" s="578"/>
      <c r="T21" s="578"/>
      <c r="U21" s="578"/>
      <c r="V21" s="578"/>
      <c r="W21" s="578"/>
      <c r="X21" s="579"/>
    </row>
    <row r="22" spans="1:24" s="4" customFormat="1" ht="16.5" customHeight="1">
      <c r="A22" s="574"/>
      <c r="B22" s="600"/>
      <c r="C22" s="578"/>
      <c r="D22" s="578"/>
      <c r="E22" s="578"/>
      <c r="F22" s="599"/>
      <c r="G22" s="599"/>
      <c r="H22" s="576"/>
      <c r="I22" s="599"/>
      <c r="J22" s="599"/>
      <c r="K22" s="599"/>
      <c r="L22" s="576"/>
      <c r="M22" s="598"/>
      <c r="N22" s="599"/>
      <c r="O22" s="578"/>
      <c r="P22" s="598"/>
      <c r="Q22" s="578"/>
      <c r="R22" s="578"/>
      <c r="S22" s="578"/>
      <c r="T22" s="578"/>
      <c r="U22" s="578"/>
      <c r="V22" s="578"/>
      <c r="W22" s="578"/>
      <c r="X22" s="579"/>
    </row>
    <row r="23" spans="1:24" s="4" customFormat="1" ht="24" customHeight="1">
      <c r="A23" s="574"/>
      <c r="B23" s="600" t="s">
        <v>939</v>
      </c>
      <c r="C23" s="578"/>
      <c r="D23" s="578"/>
      <c r="E23" s="578"/>
      <c r="F23" s="599"/>
      <c r="G23" s="599"/>
      <c r="H23" s="576"/>
      <c r="I23" s="599"/>
      <c r="J23" s="599"/>
      <c r="K23" s="599"/>
      <c r="L23" s="576"/>
      <c r="M23" s="598"/>
      <c r="N23" s="599"/>
      <c r="O23" s="578"/>
      <c r="P23" s="598"/>
      <c r="Q23" s="578"/>
      <c r="R23" s="578"/>
      <c r="S23" s="578"/>
      <c r="T23" s="578"/>
      <c r="U23" s="578"/>
      <c r="V23" s="578"/>
      <c r="W23" s="578"/>
      <c r="X23" s="579"/>
    </row>
    <row r="24" spans="1:24" s="4" customFormat="1" ht="24" customHeight="1">
      <c r="A24" s="574"/>
      <c r="B24" s="600" t="s">
        <v>947</v>
      </c>
      <c r="C24" s="578"/>
      <c r="D24" s="578"/>
      <c r="E24" s="578"/>
      <c r="F24" s="599"/>
      <c r="G24" s="599"/>
      <c r="H24" s="576"/>
      <c r="I24" s="599"/>
      <c r="J24" s="599"/>
      <c r="K24" s="599"/>
      <c r="L24" s="576"/>
      <c r="M24" s="598"/>
      <c r="N24" s="599"/>
      <c r="O24" s="578"/>
      <c r="P24" s="598"/>
      <c r="Q24" s="578"/>
      <c r="R24" s="578"/>
      <c r="S24" s="578"/>
      <c r="T24" s="578"/>
      <c r="U24" s="578"/>
      <c r="V24" s="578"/>
      <c r="W24" s="578"/>
      <c r="X24" s="579"/>
    </row>
    <row r="25" spans="1:24" s="4" customFormat="1" ht="24" customHeight="1">
      <c r="A25" s="574"/>
      <c r="B25" s="600" t="s">
        <v>940</v>
      </c>
      <c r="C25" s="578"/>
      <c r="D25" s="578"/>
      <c r="E25" s="578"/>
      <c r="F25" s="599"/>
      <c r="G25" s="599"/>
      <c r="H25" s="576"/>
      <c r="I25" s="599"/>
      <c r="J25" s="599"/>
      <c r="K25" s="599"/>
      <c r="L25" s="576"/>
      <c r="M25" s="598"/>
      <c r="N25" s="599"/>
      <c r="O25" s="578"/>
      <c r="P25" s="598"/>
      <c r="Q25" s="578"/>
      <c r="R25" s="578"/>
      <c r="S25" s="578"/>
      <c r="T25" s="578"/>
      <c r="U25" s="578"/>
      <c r="V25" s="578"/>
      <c r="W25" s="578"/>
      <c r="X25" s="579"/>
    </row>
    <row r="26" spans="1:24" s="4" customFormat="1" ht="14.25" customHeight="1">
      <c r="A26" s="574"/>
      <c r="B26" s="600"/>
      <c r="C26" s="578"/>
      <c r="D26" s="578"/>
      <c r="E26" s="578"/>
      <c r="F26" s="599"/>
      <c r="G26" s="599"/>
      <c r="H26" s="576"/>
      <c r="I26" s="599"/>
      <c r="J26" s="599"/>
      <c r="K26" s="599"/>
      <c r="L26" s="576"/>
      <c r="M26" s="598"/>
      <c r="N26" s="599"/>
      <c r="O26" s="578"/>
      <c r="P26" s="598"/>
      <c r="Q26" s="578"/>
      <c r="R26" s="578"/>
      <c r="S26" s="578"/>
      <c r="T26" s="578"/>
      <c r="U26" s="578"/>
      <c r="V26" s="578"/>
      <c r="W26" s="578"/>
      <c r="X26" s="579"/>
    </row>
    <row r="27" spans="1:24" s="4" customFormat="1" ht="24" customHeight="1">
      <c r="A27" s="574"/>
      <c r="B27" s="600" t="s">
        <v>941</v>
      </c>
      <c r="C27" s="578"/>
      <c r="D27" s="578"/>
      <c r="E27" s="578"/>
      <c r="F27" s="599"/>
      <c r="G27" s="599"/>
      <c r="H27" s="576"/>
      <c r="I27" s="599"/>
      <c r="J27" s="599"/>
      <c r="K27" s="599"/>
      <c r="L27" s="576"/>
      <c r="M27" s="598"/>
      <c r="N27" s="599"/>
      <c r="O27" s="578"/>
      <c r="P27" s="598"/>
      <c r="Q27" s="578"/>
      <c r="R27" s="578"/>
      <c r="S27" s="578"/>
      <c r="T27" s="578"/>
      <c r="U27" s="578"/>
      <c r="V27" s="578"/>
      <c r="W27" s="578"/>
      <c r="X27" s="579"/>
    </row>
    <row r="28" spans="1:24" s="4" customFormat="1" ht="24" customHeight="1">
      <c r="A28" s="574"/>
      <c r="B28" s="600" t="s">
        <v>929</v>
      </c>
      <c r="C28" s="578"/>
      <c r="D28" s="578"/>
      <c r="E28" s="578"/>
      <c r="F28" s="599"/>
      <c r="G28" s="599"/>
      <c r="H28" s="576"/>
      <c r="I28" s="599"/>
      <c r="J28" s="599"/>
      <c r="K28" s="599"/>
      <c r="L28" s="576"/>
      <c r="M28" s="598"/>
      <c r="N28" s="599"/>
      <c r="O28" s="578"/>
      <c r="P28" s="598"/>
      <c r="Q28" s="578"/>
      <c r="R28" s="578"/>
      <c r="S28" s="578"/>
      <c r="T28" s="578"/>
      <c r="U28" s="578"/>
      <c r="V28" s="578"/>
      <c r="W28" s="578"/>
      <c r="X28" s="579"/>
    </row>
    <row r="29" spans="1:24" s="4" customFormat="1" ht="12" customHeight="1">
      <c r="A29" s="574"/>
      <c r="B29" s="600"/>
      <c r="C29" s="578"/>
      <c r="D29" s="578"/>
      <c r="E29" s="578"/>
      <c r="F29" s="599"/>
      <c r="G29" s="599"/>
      <c r="H29" s="576"/>
      <c r="I29" s="599"/>
      <c r="J29" s="599"/>
      <c r="K29" s="599"/>
      <c r="L29" s="576"/>
      <c r="M29" s="598"/>
      <c r="N29" s="599"/>
      <c r="O29" s="578"/>
      <c r="P29" s="598"/>
      <c r="Q29" s="578"/>
      <c r="R29" s="578"/>
      <c r="S29" s="578"/>
      <c r="T29" s="578"/>
      <c r="U29" s="578"/>
      <c r="V29" s="578"/>
      <c r="W29" s="578"/>
      <c r="X29" s="579"/>
    </row>
    <row r="30" spans="1:24" s="4" customFormat="1" ht="24" customHeight="1">
      <c r="A30" s="574"/>
      <c r="B30" s="600" t="s">
        <v>942</v>
      </c>
      <c r="C30" s="578"/>
      <c r="D30" s="578"/>
      <c r="E30" s="578"/>
      <c r="F30" s="599"/>
      <c r="G30" s="599"/>
      <c r="H30" s="576"/>
      <c r="I30" s="599"/>
      <c r="J30" s="599"/>
      <c r="K30" s="599"/>
      <c r="L30" s="576"/>
      <c r="M30" s="598"/>
      <c r="N30" s="599"/>
      <c r="O30" s="578"/>
      <c r="P30" s="598"/>
      <c r="Q30" s="578"/>
      <c r="R30" s="578"/>
      <c r="S30" s="578"/>
      <c r="T30" s="578"/>
      <c r="U30" s="578"/>
      <c r="V30" s="578"/>
      <c r="W30" s="578"/>
      <c r="X30" s="579"/>
    </row>
    <row r="31" spans="1:24" s="4" customFormat="1" ht="24" customHeight="1">
      <c r="A31" s="574"/>
      <c r="B31" s="600" t="s">
        <v>930</v>
      </c>
      <c r="C31" s="578"/>
      <c r="D31" s="578"/>
      <c r="E31" s="578"/>
      <c r="F31" s="599"/>
      <c r="G31" s="599"/>
      <c r="H31" s="576"/>
      <c r="I31" s="599"/>
      <c r="J31" s="599"/>
      <c r="K31" s="599"/>
      <c r="L31" s="576"/>
      <c r="M31" s="598"/>
      <c r="N31" s="599"/>
      <c r="O31" s="578"/>
      <c r="P31" s="598"/>
      <c r="Q31" s="578"/>
      <c r="R31" s="578"/>
      <c r="S31" s="578"/>
      <c r="T31" s="578"/>
      <c r="U31" s="578"/>
      <c r="V31" s="578"/>
      <c r="W31" s="578"/>
      <c r="X31" s="579"/>
    </row>
    <row r="32" spans="1:24" s="4" customFormat="1" ht="10.5" customHeight="1">
      <c r="A32" s="574"/>
      <c r="B32" s="600"/>
      <c r="C32" s="578"/>
      <c r="D32" s="578"/>
      <c r="E32" s="578"/>
      <c r="F32" s="599"/>
      <c r="G32" s="599"/>
      <c r="H32" s="576"/>
      <c r="I32" s="599"/>
      <c r="J32" s="599"/>
      <c r="K32" s="599"/>
      <c r="L32" s="576"/>
      <c r="M32" s="598"/>
      <c r="N32" s="599"/>
      <c r="O32" s="578"/>
      <c r="P32" s="598"/>
      <c r="Q32" s="578"/>
      <c r="R32" s="578"/>
      <c r="S32" s="578"/>
      <c r="T32" s="578"/>
      <c r="U32" s="578"/>
      <c r="V32" s="578"/>
      <c r="W32" s="578"/>
      <c r="X32" s="579"/>
    </row>
    <row r="33" spans="1:24" s="4" customFormat="1" ht="24" customHeight="1">
      <c r="A33" s="574"/>
      <c r="B33" s="600" t="s">
        <v>943</v>
      </c>
      <c r="C33" s="578"/>
      <c r="D33" s="578"/>
      <c r="E33" s="578"/>
      <c r="F33" s="599"/>
      <c r="G33" s="599"/>
      <c r="H33" s="576"/>
      <c r="I33" s="599"/>
      <c r="J33" s="599"/>
      <c r="K33" s="599"/>
      <c r="L33" s="576"/>
      <c r="M33" s="598"/>
      <c r="N33" s="599"/>
      <c r="O33" s="578"/>
      <c r="P33" s="598"/>
      <c r="Q33" s="578"/>
      <c r="R33" s="578"/>
      <c r="S33" s="578"/>
      <c r="T33" s="578"/>
      <c r="U33" s="578"/>
      <c r="V33" s="578"/>
      <c r="W33" s="578"/>
      <c r="X33" s="579"/>
    </row>
    <row r="34" spans="1:24" s="4" customFormat="1" ht="24" customHeight="1">
      <c r="A34" s="574"/>
      <c r="B34" s="600" t="s">
        <v>946</v>
      </c>
      <c r="C34" s="578"/>
      <c r="D34" s="578"/>
      <c r="E34" s="578"/>
      <c r="F34" s="599"/>
      <c r="G34" s="599"/>
      <c r="H34" s="576"/>
      <c r="I34" s="599"/>
      <c r="J34" s="599"/>
      <c r="K34" s="599"/>
      <c r="L34" s="576"/>
      <c r="M34" s="598"/>
      <c r="N34" s="599"/>
      <c r="O34" s="578"/>
      <c r="P34" s="598"/>
      <c r="Q34" s="578"/>
      <c r="R34" s="578"/>
      <c r="S34" s="578"/>
      <c r="T34" s="578"/>
      <c r="U34" s="578"/>
      <c r="V34" s="578"/>
      <c r="W34" s="578"/>
      <c r="X34" s="579"/>
    </row>
    <row r="35" spans="1:24" s="4" customFormat="1" ht="24" customHeight="1">
      <c r="A35" s="574"/>
      <c r="B35" s="600" t="s">
        <v>931</v>
      </c>
      <c r="C35" s="578"/>
      <c r="D35" s="578"/>
      <c r="E35" s="578"/>
      <c r="F35" s="599"/>
      <c r="G35" s="599"/>
      <c r="H35" s="576"/>
      <c r="I35" s="599"/>
      <c r="J35" s="599"/>
      <c r="K35" s="599"/>
      <c r="L35" s="576"/>
      <c r="M35" s="598"/>
      <c r="N35" s="599"/>
      <c r="O35" s="578"/>
      <c r="P35" s="598"/>
      <c r="Q35" s="578"/>
      <c r="R35" s="578"/>
      <c r="S35" s="578"/>
      <c r="T35" s="578"/>
      <c r="U35" s="578"/>
      <c r="V35" s="578"/>
      <c r="W35" s="578"/>
      <c r="X35" s="579"/>
    </row>
    <row r="36" spans="1:24" s="4" customFormat="1" ht="11.25" customHeight="1">
      <c r="A36" s="574"/>
      <c r="B36" s="600"/>
      <c r="C36" s="578"/>
      <c r="D36" s="578"/>
      <c r="E36" s="578"/>
      <c r="F36" s="599"/>
      <c r="G36" s="599"/>
      <c r="H36" s="576"/>
      <c r="I36" s="599"/>
      <c r="J36" s="599"/>
      <c r="K36" s="599"/>
      <c r="L36" s="576"/>
      <c r="M36" s="598"/>
      <c r="N36" s="599"/>
      <c r="O36" s="578"/>
      <c r="P36" s="598"/>
      <c r="Q36" s="578"/>
      <c r="R36" s="578"/>
      <c r="S36" s="578"/>
      <c r="T36" s="578"/>
      <c r="U36" s="578"/>
      <c r="V36" s="578"/>
      <c r="W36" s="578"/>
      <c r="X36" s="579"/>
    </row>
    <row r="37" spans="1:24" s="4" customFormat="1" ht="24" customHeight="1">
      <c r="A37" s="574"/>
      <c r="B37" s="600" t="s">
        <v>944</v>
      </c>
      <c r="C37" s="578"/>
      <c r="D37" s="578"/>
      <c r="E37" s="578"/>
      <c r="F37" s="599"/>
      <c r="G37" s="599"/>
      <c r="H37" s="576"/>
      <c r="I37" s="599"/>
      <c r="J37" s="599"/>
      <c r="K37" s="599"/>
      <c r="L37" s="576"/>
      <c r="M37" s="598"/>
      <c r="N37" s="599"/>
      <c r="O37" s="578"/>
      <c r="P37" s="598"/>
      <c r="Q37" s="578"/>
      <c r="R37" s="578"/>
      <c r="S37" s="578"/>
      <c r="T37" s="578"/>
      <c r="U37" s="578"/>
      <c r="V37" s="578"/>
      <c r="W37" s="578"/>
      <c r="X37" s="579"/>
    </row>
    <row r="38" spans="1:24" s="4" customFormat="1" ht="24" customHeight="1">
      <c r="A38" s="574"/>
      <c r="B38" s="600" t="s">
        <v>932</v>
      </c>
      <c r="C38" s="578"/>
      <c r="D38" s="578"/>
      <c r="E38" s="578"/>
      <c r="F38" s="599"/>
      <c r="G38" s="599"/>
      <c r="H38" s="576"/>
      <c r="I38" s="599"/>
      <c r="J38" s="599"/>
      <c r="K38" s="599"/>
      <c r="L38" s="576"/>
      <c r="M38" s="598"/>
      <c r="N38" s="599"/>
      <c r="O38" s="578"/>
      <c r="P38" s="598"/>
      <c r="Q38" s="578"/>
      <c r="R38" s="578"/>
      <c r="S38" s="578"/>
      <c r="T38" s="578"/>
      <c r="U38" s="578"/>
      <c r="V38" s="578"/>
      <c r="W38" s="578"/>
      <c r="X38" s="579"/>
    </row>
    <row r="39" spans="1:24" s="4" customFormat="1" ht="24" customHeight="1" thickBot="1">
      <c r="A39" s="574"/>
      <c r="B39" s="603"/>
      <c r="C39" s="604"/>
      <c r="D39" s="604"/>
      <c r="E39" s="604"/>
      <c r="F39" s="604"/>
      <c r="G39" s="604"/>
      <c r="H39" s="604"/>
      <c r="I39" s="604"/>
      <c r="J39" s="604"/>
      <c r="K39" s="604"/>
      <c r="L39" s="604"/>
      <c r="M39" s="604"/>
      <c r="N39" s="604"/>
      <c r="O39" s="604"/>
      <c r="P39" s="604"/>
      <c r="Q39" s="604"/>
      <c r="R39" s="604"/>
      <c r="S39" s="604"/>
      <c r="T39" s="604"/>
      <c r="U39" s="604"/>
      <c r="V39" s="604"/>
      <c r="W39" s="604"/>
      <c r="X39" s="605"/>
    </row>
    <row r="40" spans="1:24" s="2" customFormat="1" ht="22.5" customHeight="1">
      <c r="O40" s="558"/>
      <c r="P40" s="558"/>
      <c r="Q40" s="558"/>
      <c r="R40" s="558"/>
      <c r="S40" s="558"/>
      <c r="T40" s="558"/>
      <c r="U40" s="558"/>
      <c r="V40" s="558"/>
      <c r="W40" s="559"/>
      <c r="X40" s="558"/>
    </row>
    <row r="41" spans="1:24" s="2" customFormat="1" ht="22.5" customHeight="1">
      <c r="O41" s="558"/>
      <c r="P41" s="558"/>
      <c r="Q41" s="558"/>
      <c r="R41" s="558"/>
      <c r="S41" s="558"/>
      <c r="T41" s="558"/>
      <c r="U41" s="558"/>
      <c r="V41" s="558"/>
      <c r="W41" s="558"/>
      <c r="X41" s="558"/>
    </row>
    <row r="42" spans="1:24" s="2" customFormat="1" ht="22.5" customHeight="1">
      <c r="O42" s="558"/>
      <c r="P42" s="558"/>
      <c r="Q42" s="558"/>
      <c r="R42" s="558"/>
      <c r="S42" s="558"/>
      <c r="T42" s="558"/>
      <c r="U42" s="558"/>
      <c r="V42" s="558"/>
      <c r="W42" s="558"/>
      <c r="X42" s="558"/>
    </row>
    <row r="43" spans="1:24" s="558" customFormat="1" ht="22.5" customHeight="1"/>
    <row r="44" spans="1:24" s="558" customFormat="1" ht="22.5" customHeight="1"/>
    <row r="45" spans="1:24" s="558" customFormat="1" ht="22.5" customHeight="1"/>
    <row r="46" spans="1:24" s="558" customFormat="1" ht="22.5" customHeight="1"/>
    <row r="47" spans="1:24" s="558" customFormat="1" ht="22.5" customHeight="1"/>
    <row r="48" spans="1:24" s="558" customFormat="1" ht="22.5" customHeight="1"/>
    <row r="49" spans="10:10" s="558" customFormat="1" ht="22.5" customHeight="1"/>
    <row r="50" spans="10:10" s="558" customFormat="1" ht="22.5" customHeight="1">
      <c r="J50" s="837"/>
    </row>
    <row r="51" spans="10:10" s="558" customFormat="1" ht="22.5" customHeight="1"/>
  </sheetData>
  <mergeCells count="11">
    <mergeCell ref="B1:X1"/>
    <mergeCell ref="B2:X2"/>
    <mergeCell ref="O7:W9"/>
    <mergeCell ref="G11:I11"/>
    <mergeCell ref="B13:F13"/>
    <mergeCell ref="F7:J9"/>
    <mergeCell ref="U10:X11"/>
    <mergeCell ref="P10:T10"/>
    <mergeCell ref="P11:T11"/>
    <mergeCell ref="G10:I10"/>
    <mergeCell ref="B12:F12"/>
  </mergeCells>
  <phoneticPr fontId="5"/>
  <dataValidations count="1">
    <dataValidation type="list" allowBlank="1" showInputMessage="1" showErrorMessage="1" sqref="G16 WVV983058 WLZ983058 WCD983058 VSH983058 VIL983058 UYP983058 UOT983058 UEX983058 TVB983058 TLF983058 TBJ983058 SRN983058 SHR983058 RXV983058 RNZ983058 RED983058 QUH983058 QKL983058 QAP983058 PQT983058 PGX983058 OXB983058 ONF983058 ODJ983058 NTN983058 NJR983058 MZV983058 MPZ983058 MGD983058 LWH983058 LML983058 LCP983058 KST983058 KIX983058 JZB983058 JPF983058 JFJ983058 IVN983058 ILR983058 IBV983058 HRZ983058 HID983058 GYH983058 GOL983058 GEP983058 FUT983058 FKX983058 FBB983058 ERF983058 EHJ983058 DXN983058 DNR983058 DDV983058 CTZ983058 CKD983058 CAH983058 BQL983058 BGP983058 AWT983058 AMX983058 ADB983058 TF983058 JJ983058 K983058 WVV917522 WLZ917522 WCD917522 VSH917522 VIL917522 UYP917522 UOT917522 UEX917522 TVB917522 TLF917522 TBJ917522 SRN917522 SHR917522 RXV917522 RNZ917522 RED917522 QUH917522 QKL917522 QAP917522 PQT917522 PGX917522 OXB917522 ONF917522 ODJ917522 NTN917522 NJR917522 MZV917522 MPZ917522 MGD917522 LWH917522 LML917522 LCP917522 KST917522 KIX917522 JZB917522 JPF917522 JFJ917522 IVN917522 ILR917522 IBV917522 HRZ917522 HID917522 GYH917522 GOL917522 GEP917522 FUT917522 FKX917522 FBB917522 ERF917522 EHJ917522 DXN917522 DNR917522 DDV917522 CTZ917522 CKD917522 CAH917522 BQL917522 BGP917522 AWT917522 AMX917522 ADB917522 TF917522 JJ917522 K917522 WVV851986 WLZ851986 WCD851986 VSH851986 VIL851986 UYP851986 UOT851986 UEX851986 TVB851986 TLF851986 TBJ851986 SRN851986 SHR851986 RXV851986 RNZ851986 RED851986 QUH851986 QKL851986 QAP851986 PQT851986 PGX851986 OXB851986 ONF851986 ODJ851986 NTN851986 NJR851986 MZV851986 MPZ851986 MGD851986 LWH851986 LML851986 LCP851986 KST851986 KIX851986 JZB851986 JPF851986 JFJ851986 IVN851986 ILR851986 IBV851986 HRZ851986 HID851986 GYH851986 GOL851986 GEP851986 FUT851986 FKX851986 FBB851986 ERF851986 EHJ851986 DXN851986 DNR851986 DDV851986 CTZ851986 CKD851986 CAH851986 BQL851986 BGP851986 AWT851986 AMX851986 ADB851986 TF851986 JJ851986 K851986 WVV786450 WLZ786450 WCD786450 VSH786450 VIL786450 UYP786450 UOT786450 UEX786450 TVB786450 TLF786450 TBJ786450 SRN786450 SHR786450 RXV786450 RNZ786450 RED786450 QUH786450 QKL786450 QAP786450 PQT786450 PGX786450 OXB786450 ONF786450 ODJ786450 NTN786450 NJR786450 MZV786450 MPZ786450 MGD786450 LWH786450 LML786450 LCP786450 KST786450 KIX786450 JZB786450 JPF786450 JFJ786450 IVN786450 ILR786450 IBV786450 HRZ786450 HID786450 GYH786450 GOL786450 GEP786450 FUT786450 FKX786450 FBB786450 ERF786450 EHJ786450 DXN786450 DNR786450 DDV786450 CTZ786450 CKD786450 CAH786450 BQL786450 BGP786450 AWT786450 AMX786450 ADB786450 TF786450 JJ786450 K786450 WVV720914 WLZ720914 WCD720914 VSH720914 VIL720914 UYP720914 UOT720914 UEX720914 TVB720914 TLF720914 TBJ720914 SRN720914 SHR720914 RXV720914 RNZ720914 RED720914 QUH720914 QKL720914 QAP720914 PQT720914 PGX720914 OXB720914 ONF720914 ODJ720914 NTN720914 NJR720914 MZV720914 MPZ720914 MGD720914 LWH720914 LML720914 LCP720914 KST720914 KIX720914 JZB720914 JPF720914 JFJ720914 IVN720914 ILR720914 IBV720914 HRZ720914 HID720914 GYH720914 GOL720914 GEP720914 FUT720914 FKX720914 FBB720914 ERF720914 EHJ720914 DXN720914 DNR720914 DDV720914 CTZ720914 CKD720914 CAH720914 BQL720914 BGP720914 AWT720914 AMX720914 ADB720914 TF720914 JJ720914 K720914 WVV655378 WLZ655378 WCD655378 VSH655378 VIL655378 UYP655378 UOT655378 UEX655378 TVB655378 TLF655378 TBJ655378 SRN655378 SHR655378 RXV655378 RNZ655378 RED655378 QUH655378 QKL655378 QAP655378 PQT655378 PGX655378 OXB655378 ONF655378 ODJ655378 NTN655378 NJR655378 MZV655378 MPZ655378 MGD655378 LWH655378 LML655378 LCP655378 KST655378 KIX655378 JZB655378 JPF655378 JFJ655378 IVN655378 ILR655378 IBV655378 HRZ655378 HID655378 GYH655378 GOL655378 GEP655378 FUT655378 FKX655378 FBB655378 ERF655378 EHJ655378 DXN655378 DNR655378 DDV655378 CTZ655378 CKD655378 CAH655378 BQL655378 BGP655378 AWT655378 AMX655378 ADB655378 TF655378 JJ655378 K655378 WVV589842 WLZ589842 WCD589842 VSH589842 VIL589842 UYP589842 UOT589842 UEX589842 TVB589842 TLF589842 TBJ589842 SRN589842 SHR589842 RXV589842 RNZ589842 RED589842 QUH589842 QKL589842 QAP589842 PQT589842 PGX589842 OXB589842 ONF589842 ODJ589842 NTN589842 NJR589842 MZV589842 MPZ589842 MGD589842 LWH589842 LML589842 LCP589842 KST589842 KIX589842 JZB589842 JPF589842 JFJ589842 IVN589842 ILR589842 IBV589842 HRZ589842 HID589842 GYH589842 GOL589842 GEP589842 FUT589842 FKX589842 FBB589842 ERF589842 EHJ589842 DXN589842 DNR589842 DDV589842 CTZ589842 CKD589842 CAH589842 BQL589842 BGP589842 AWT589842 AMX589842 ADB589842 TF589842 JJ589842 K589842 WVV524306 WLZ524306 WCD524306 VSH524306 VIL524306 UYP524306 UOT524306 UEX524306 TVB524306 TLF524306 TBJ524306 SRN524306 SHR524306 RXV524306 RNZ524306 RED524306 QUH524306 QKL524306 QAP524306 PQT524306 PGX524306 OXB524306 ONF524306 ODJ524306 NTN524306 NJR524306 MZV524306 MPZ524306 MGD524306 LWH524306 LML524306 LCP524306 KST524306 KIX524306 JZB524306 JPF524306 JFJ524306 IVN524306 ILR524306 IBV524306 HRZ524306 HID524306 GYH524306 GOL524306 GEP524306 FUT524306 FKX524306 FBB524306 ERF524306 EHJ524306 DXN524306 DNR524306 DDV524306 CTZ524306 CKD524306 CAH524306 BQL524306 BGP524306 AWT524306 AMX524306 ADB524306 TF524306 JJ524306 K524306 WVV458770 WLZ458770 WCD458770 VSH458770 VIL458770 UYP458770 UOT458770 UEX458770 TVB458770 TLF458770 TBJ458770 SRN458770 SHR458770 RXV458770 RNZ458770 RED458770 QUH458770 QKL458770 QAP458770 PQT458770 PGX458770 OXB458770 ONF458770 ODJ458770 NTN458770 NJR458770 MZV458770 MPZ458770 MGD458770 LWH458770 LML458770 LCP458770 KST458770 KIX458770 JZB458770 JPF458770 JFJ458770 IVN458770 ILR458770 IBV458770 HRZ458770 HID458770 GYH458770 GOL458770 GEP458770 FUT458770 FKX458770 FBB458770 ERF458770 EHJ458770 DXN458770 DNR458770 DDV458770 CTZ458770 CKD458770 CAH458770 BQL458770 BGP458770 AWT458770 AMX458770 ADB458770 TF458770 JJ458770 K458770 WVV393234 WLZ393234 WCD393234 VSH393234 VIL393234 UYP393234 UOT393234 UEX393234 TVB393234 TLF393234 TBJ393234 SRN393234 SHR393234 RXV393234 RNZ393234 RED393234 QUH393234 QKL393234 QAP393234 PQT393234 PGX393234 OXB393234 ONF393234 ODJ393234 NTN393234 NJR393234 MZV393234 MPZ393234 MGD393234 LWH393234 LML393234 LCP393234 KST393234 KIX393234 JZB393234 JPF393234 JFJ393234 IVN393234 ILR393234 IBV393234 HRZ393234 HID393234 GYH393234 GOL393234 GEP393234 FUT393234 FKX393234 FBB393234 ERF393234 EHJ393234 DXN393234 DNR393234 DDV393234 CTZ393234 CKD393234 CAH393234 BQL393234 BGP393234 AWT393234 AMX393234 ADB393234 TF393234 JJ393234 K393234 WVV327698 WLZ327698 WCD327698 VSH327698 VIL327698 UYP327698 UOT327698 UEX327698 TVB327698 TLF327698 TBJ327698 SRN327698 SHR327698 RXV327698 RNZ327698 RED327698 QUH327698 QKL327698 QAP327698 PQT327698 PGX327698 OXB327698 ONF327698 ODJ327698 NTN327698 NJR327698 MZV327698 MPZ327698 MGD327698 LWH327698 LML327698 LCP327698 KST327698 KIX327698 JZB327698 JPF327698 JFJ327698 IVN327698 ILR327698 IBV327698 HRZ327698 HID327698 GYH327698 GOL327698 GEP327698 FUT327698 FKX327698 FBB327698 ERF327698 EHJ327698 DXN327698 DNR327698 DDV327698 CTZ327698 CKD327698 CAH327698 BQL327698 BGP327698 AWT327698 AMX327698 ADB327698 TF327698 JJ327698 K327698 WVV262162 WLZ262162 WCD262162 VSH262162 VIL262162 UYP262162 UOT262162 UEX262162 TVB262162 TLF262162 TBJ262162 SRN262162 SHR262162 RXV262162 RNZ262162 RED262162 QUH262162 QKL262162 QAP262162 PQT262162 PGX262162 OXB262162 ONF262162 ODJ262162 NTN262162 NJR262162 MZV262162 MPZ262162 MGD262162 LWH262162 LML262162 LCP262162 KST262162 KIX262162 JZB262162 JPF262162 JFJ262162 IVN262162 ILR262162 IBV262162 HRZ262162 HID262162 GYH262162 GOL262162 GEP262162 FUT262162 FKX262162 FBB262162 ERF262162 EHJ262162 DXN262162 DNR262162 DDV262162 CTZ262162 CKD262162 CAH262162 BQL262162 BGP262162 AWT262162 AMX262162 ADB262162 TF262162 JJ262162 K262162 WVV196626 WLZ196626 WCD196626 VSH196626 VIL196626 UYP196626 UOT196626 UEX196626 TVB196626 TLF196626 TBJ196626 SRN196626 SHR196626 RXV196626 RNZ196626 RED196626 QUH196626 QKL196626 QAP196626 PQT196626 PGX196626 OXB196626 ONF196626 ODJ196626 NTN196626 NJR196626 MZV196626 MPZ196626 MGD196626 LWH196626 LML196626 LCP196626 KST196626 KIX196626 JZB196626 JPF196626 JFJ196626 IVN196626 ILR196626 IBV196626 HRZ196626 HID196626 GYH196626 GOL196626 GEP196626 FUT196626 FKX196626 FBB196626 ERF196626 EHJ196626 DXN196626 DNR196626 DDV196626 CTZ196626 CKD196626 CAH196626 BQL196626 BGP196626 AWT196626 AMX196626 ADB196626 TF196626 JJ196626 K196626 WVV131090 WLZ131090 WCD131090 VSH131090 VIL131090 UYP131090 UOT131090 UEX131090 TVB131090 TLF131090 TBJ131090 SRN131090 SHR131090 RXV131090 RNZ131090 RED131090 QUH131090 QKL131090 QAP131090 PQT131090 PGX131090 OXB131090 ONF131090 ODJ131090 NTN131090 NJR131090 MZV131090 MPZ131090 MGD131090 LWH131090 LML131090 LCP131090 KST131090 KIX131090 JZB131090 JPF131090 JFJ131090 IVN131090 ILR131090 IBV131090 HRZ131090 HID131090 GYH131090 GOL131090 GEP131090 FUT131090 FKX131090 FBB131090 ERF131090 EHJ131090 DXN131090 DNR131090 DDV131090 CTZ131090 CKD131090 CAH131090 BQL131090 BGP131090 AWT131090 AMX131090 ADB131090 TF131090 JJ131090 K131090 WVV65554 WLZ65554 WCD65554 VSH65554 VIL65554 UYP65554 UOT65554 UEX65554 TVB65554 TLF65554 TBJ65554 SRN65554 SHR65554 RXV65554 RNZ65554 RED65554 QUH65554 QKL65554 QAP65554 PQT65554 PGX65554 OXB65554 ONF65554 ODJ65554 NTN65554 NJR65554 MZV65554 MPZ65554 MGD65554 LWH65554 LML65554 LCP65554 KST65554 KIX65554 JZB65554 JPF65554 JFJ65554 IVN65554 ILR65554 IBV65554 HRZ65554 HID65554 GYH65554 GOL65554 GEP65554 FUT65554 FKX65554 FBB65554 ERF65554 EHJ65554 DXN65554 DNR65554 DDV65554 CTZ65554 CKD65554 CAH65554 BQL65554 BGP65554 AWT65554 AMX65554 ADB65554 TF65554 JJ65554 K65554 WVV16 WLZ16 WCD16 VSH16 VIL16 UYP16 UOT16 UEX16 TVB16 TLF16 TBJ16 SRN16 SHR16 RXV16 RNZ16 RED16 QUH16 QKL16 QAP16 PQT16 PGX16 OXB16 ONF16 ODJ16 NTN16 NJR16 MZV16 MPZ16 MGD16 LWH16 LML16 LCP16 KST16 KIX16 JZB16 JPF16 JFJ16 IVN16 ILR16 IBV16 HRZ16 HID16 GYH16 GOL16 GEP16 FUT16 FKX16 FBB16 ERF16 EHJ16 DXN16 DNR16 DDV16 CTZ16 CKD16 CAH16 BQL16 BGP16 AWT16 AMX16 ADB16 TF16 JJ16 K16 WVR983058 WLV983058 WBZ983058 VSD983058 VIH983058 UYL983058 UOP983058 UET983058 TUX983058 TLB983058 TBF983058 SRJ983058 SHN983058 RXR983058 RNV983058 RDZ983058 QUD983058 QKH983058 QAL983058 PQP983058 PGT983058 OWX983058 ONB983058 ODF983058 NTJ983058 NJN983058 MZR983058 MPV983058 MFZ983058 LWD983058 LMH983058 LCL983058 KSP983058 KIT983058 JYX983058 JPB983058 JFF983058 IVJ983058 ILN983058 IBR983058 HRV983058 HHZ983058 GYD983058 GOH983058 GEL983058 FUP983058 FKT983058 FAX983058 ERB983058 EHF983058 DXJ983058 DNN983058 DDR983058 CTV983058 CJZ983058 CAD983058 BQH983058 BGL983058 AWP983058 AMT983058 ACX983058 TB983058 JF983058 G983058 WVR917522 WLV917522 WBZ917522 VSD917522 VIH917522 UYL917522 UOP917522 UET917522 TUX917522 TLB917522 TBF917522 SRJ917522 SHN917522 RXR917522 RNV917522 RDZ917522 QUD917522 QKH917522 QAL917522 PQP917522 PGT917522 OWX917522 ONB917522 ODF917522 NTJ917522 NJN917522 MZR917522 MPV917522 MFZ917522 LWD917522 LMH917522 LCL917522 KSP917522 KIT917522 JYX917522 JPB917522 JFF917522 IVJ917522 ILN917522 IBR917522 HRV917522 HHZ917522 GYD917522 GOH917522 GEL917522 FUP917522 FKT917522 FAX917522 ERB917522 EHF917522 DXJ917522 DNN917522 DDR917522 CTV917522 CJZ917522 CAD917522 BQH917522 BGL917522 AWP917522 AMT917522 ACX917522 TB917522 JF917522 G917522 WVR851986 WLV851986 WBZ851986 VSD851986 VIH851986 UYL851986 UOP851986 UET851986 TUX851986 TLB851986 TBF851986 SRJ851986 SHN851986 RXR851986 RNV851986 RDZ851986 QUD851986 QKH851986 QAL851986 PQP851986 PGT851986 OWX851986 ONB851986 ODF851986 NTJ851986 NJN851986 MZR851986 MPV851986 MFZ851986 LWD851986 LMH851986 LCL851986 KSP851986 KIT851986 JYX851986 JPB851986 JFF851986 IVJ851986 ILN851986 IBR851986 HRV851986 HHZ851986 GYD851986 GOH851986 GEL851986 FUP851986 FKT851986 FAX851986 ERB851986 EHF851986 DXJ851986 DNN851986 DDR851986 CTV851986 CJZ851986 CAD851986 BQH851986 BGL851986 AWP851986 AMT851986 ACX851986 TB851986 JF851986 G851986 WVR786450 WLV786450 WBZ786450 VSD786450 VIH786450 UYL786450 UOP786450 UET786450 TUX786450 TLB786450 TBF786450 SRJ786450 SHN786450 RXR786450 RNV786450 RDZ786450 QUD786450 QKH786450 QAL786450 PQP786450 PGT786450 OWX786450 ONB786450 ODF786450 NTJ786450 NJN786450 MZR786450 MPV786450 MFZ786450 LWD786450 LMH786450 LCL786450 KSP786450 KIT786450 JYX786450 JPB786450 JFF786450 IVJ786450 ILN786450 IBR786450 HRV786450 HHZ786450 GYD786450 GOH786450 GEL786450 FUP786450 FKT786450 FAX786450 ERB786450 EHF786450 DXJ786450 DNN786450 DDR786450 CTV786450 CJZ786450 CAD786450 BQH786450 BGL786450 AWP786450 AMT786450 ACX786450 TB786450 JF786450 G786450 WVR720914 WLV720914 WBZ720914 VSD720914 VIH720914 UYL720914 UOP720914 UET720914 TUX720914 TLB720914 TBF720914 SRJ720914 SHN720914 RXR720914 RNV720914 RDZ720914 QUD720914 QKH720914 QAL720914 PQP720914 PGT720914 OWX720914 ONB720914 ODF720914 NTJ720914 NJN720914 MZR720914 MPV720914 MFZ720914 LWD720914 LMH720914 LCL720914 KSP720914 KIT720914 JYX720914 JPB720914 JFF720914 IVJ720914 ILN720914 IBR720914 HRV720914 HHZ720914 GYD720914 GOH720914 GEL720914 FUP720914 FKT720914 FAX720914 ERB720914 EHF720914 DXJ720914 DNN720914 DDR720914 CTV720914 CJZ720914 CAD720914 BQH720914 BGL720914 AWP720914 AMT720914 ACX720914 TB720914 JF720914 G720914 WVR655378 WLV655378 WBZ655378 VSD655378 VIH655378 UYL655378 UOP655378 UET655378 TUX655378 TLB655378 TBF655378 SRJ655378 SHN655378 RXR655378 RNV655378 RDZ655378 QUD655378 QKH655378 QAL655378 PQP655378 PGT655378 OWX655378 ONB655378 ODF655378 NTJ655378 NJN655378 MZR655378 MPV655378 MFZ655378 LWD655378 LMH655378 LCL655378 KSP655378 KIT655378 JYX655378 JPB655378 JFF655378 IVJ655378 ILN655378 IBR655378 HRV655378 HHZ655378 GYD655378 GOH655378 GEL655378 FUP655378 FKT655378 FAX655378 ERB655378 EHF655378 DXJ655378 DNN655378 DDR655378 CTV655378 CJZ655378 CAD655378 BQH655378 BGL655378 AWP655378 AMT655378 ACX655378 TB655378 JF655378 G655378 WVR589842 WLV589842 WBZ589842 VSD589842 VIH589842 UYL589842 UOP589842 UET589842 TUX589842 TLB589842 TBF589842 SRJ589842 SHN589842 RXR589842 RNV589842 RDZ589842 QUD589842 QKH589842 QAL589842 PQP589842 PGT589842 OWX589842 ONB589842 ODF589842 NTJ589842 NJN589842 MZR589842 MPV589842 MFZ589842 LWD589842 LMH589842 LCL589842 KSP589842 KIT589842 JYX589842 JPB589842 JFF589842 IVJ589842 ILN589842 IBR589842 HRV589842 HHZ589842 GYD589842 GOH589842 GEL589842 FUP589842 FKT589842 FAX589842 ERB589842 EHF589842 DXJ589842 DNN589842 DDR589842 CTV589842 CJZ589842 CAD589842 BQH589842 BGL589842 AWP589842 AMT589842 ACX589842 TB589842 JF589842 G589842 WVR524306 WLV524306 WBZ524306 VSD524306 VIH524306 UYL524306 UOP524306 UET524306 TUX524306 TLB524306 TBF524306 SRJ524306 SHN524306 RXR524306 RNV524306 RDZ524306 QUD524306 QKH524306 QAL524306 PQP524306 PGT524306 OWX524306 ONB524306 ODF524306 NTJ524306 NJN524306 MZR524306 MPV524306 MFZ524306 LWD524306 LMH524306 LCL524306 KSP524306 KIT524306 JYX524306 JPB524306 JFF524306 IVJ524306 ILN524306 IBR524306 HRV524306 HHZ524306 GYD524306 GOH524306 GEL524306 FUP524306 FKT524306 FAX524306 ERB524306 EHF524306 DXJ524306 DNN524306 DDR524306 CTV524306 CJZ524306 CAD524306 BQH524306 BGL524306 AWP524306 AMT524306 ACX524306 TB524306 JF524306 G524306 WVR458770 WLV458770 WBZ458770 VSD458770 VIH458770 UYL458770 UOP458770 UET458770 TUX458770 TLB458770 TBF458770 SRJ458770 SHN458770 RXR458770 RNV458770 RDZ458770 QUD458770 QKH458770 QAL458770 PQP458770 PGT458770 OWX458770 ONB458770 ODF458770 NTJ458770 NJN458770 MZR458770 MPV458770 MFZ458770 LWD458770 LMH458770 LCL458770 KSP458770 KIT458770 JYX458770 JPB458770 JFF458770 IVJ458770 ILN458770 IBR458770 HRV458770 HHZ458770 GYD458770 GOH458770 GEL458770 FUP458770 FKT458770 FAX458770 ERB458770 EHF458770 DXJ458770 DNN458770 DDR458770 CTV458770 CJZ458770 CAD458770 BQH458770 BGL458770 AWP458770 AMT458770 ACX458770 TB458770 JF458770 G458770 WVR393234 WLV393234 WBZ393234 VSD393234 VIH393234 UYL393234 UOP393234 UET393234 TUX393234 TLB393234 TBF393234 SRJ393234 SHN393234 RXR393234 RNV393234 RDZ393234 QUD393234 QKH393234 QAL393234 PQP393234 PGT393234 OWX393234 ONB393234 ODF393234 NTJ393234 NJN393234 MZR393234 MPV393234 MFZ393234 LWD393234 LMH393234 LCL393234 KSP393234 KIT393234 JYX393234 JPB393234 JFF393234 IVJ393234 ILN393234 IBR393234 HRV393234 HHZ393234 GYD393234 GOH393234 GEL393234 FUP393234 FKT393234 FAX393234 ERB393234 EHF393234 DXJ393234 DNN393234 DDR393234 CTV393234 CJZ393234 CAD393234 BQH393234 BGL393234 AWP393234 AMT393234 ACX393234 TB393234 JF393234 G393234 WVR327698 WLV327698 WBZ327698 VSD327698 VIH327698 UYL327698 UOP327698 UET327698 TUX327698 TLB327698 TBF327698 SRJ327698 SHN327698 RXR327698 RNV327698 RDZ327698 QUD327698 QKH327698 QAL327698 PQP327698 PGT327698 OWX327698 ONB327698 ODF327698 NTJ327698 NJN327698 MZR327698 MPV327698 MFZ327698 LWD327698 LMH327698 LCL327698 KSP327698 KIT327698 JYX327698 JPB327698 JFF327698 IVJ327698 ILN327698 IBR327698 HRV327698 HHZ327698 GYD327698 GOH327698 GEL327698 FUP327698 FKT327698 FAX327698 ERB327698 EHF327698 DXJ327698 DNN327698 DDR327698 CTV327698 CJZ327698 CAD327698 BQH327698 BGL327698 AWP327698 AMT327698 ACX327698 TB327698 JF327698 G327698 WVR262162 WLV262162 WBZ262162 VSD262162 VIH262162 UYL262162 UOP262162 UET262162 TUX262162 TLB262162 TBF262162 SRJ262162 SHN262162 RXR262162 RNV262162 RDZ262162 QUD262162 QKH262162 QAL262162 PQP262162 PGT262162 OWX262162 ONB262162 ODF262162 NTJ262162 NJN262162 MZR262162 MPV262162 MFZ262162 LWD262162 LMH262162 LCL262162 KSP262162 KIT262162 JYX262162 JPB262162 JFF262162 IVJ262162 ILN262162 IBR262162 HRV262162 HHZ262162 GYD262162 GOH262162 GEL262162 FUP262162 FKT262162 FAX262162 ERB262162 EHF262162 DXJ262162 DNN262162 DDR262162 CTV262162 CJZ262162 CAD262162 BQH262162 BGL262162 AWP262162 AMT262162 ACX262162 TB262162 JF262162 G262162 WVR196626 WLV196626 WBZ196626 VSD196626 VIH196626 UYL196626 UOP196626 UET196626 TUX196626 TLB196626 TBF196626 SRJ196626 SHN196626 RXR196626 RNV196626 RDZ196626 QUD196626 QKH196626 QAL196626 PQP196626 PGT196626 OWX196626 ONB196626 ODF196626 NTJ196626 NJN196626 MZR196626 MPV196626 MFZ196626 LWD196626 LMH196626 LCL196626 KSP196626 KIT196626 JYX196626 JPB196626 JFF196626 IVJ196626 ILN196626 IBR196626 HRV196626 HHZ196626 GYD196626 GOH196626 GEL196626 FUP196626 FKT196626 FAX196626 ERB196626 EHF196626 DXJ196626 DNN196626 DDR196626 CTV196626 CJZ196626 CAD196626 BQH196626 BGL196626 AWP196626 AMT196626 ACX196626 TB196626 JF196626 G196626 WVR131090 WLV131090 WBZ131090 VSD131090 VIH131090 UYL131090 UOP131090 UET131090 TUX131090 TLB131090 TBF131090 SRJ131090 SHN131090 RXR131090 RNV131090 RDZ131090 QUD131090 QKH131090 QAL131090 PQP131090 PGT131090 OWX131090 ONB131090 ODF131090 NTJ131090 NJN131090 MZR131090 MPV131090 MFZ131090 LWD131090 LMH131090 LCL131090 KSP131090 KIT131090 JYX131090 JPB131090 JFF131090 IVJ131090 ILN131090 IBR131090 HRV131090 HHZ131090 GYD131090 GOH131090 GEL131090 FUP131090 FKT131090 FAX131090 ERB131090 EHF131090 DXJ131090 DNN131090 DDR131090 CTV131090 CJZ131090 CAD131090 BQH131090 BGL131090 AWP131090 AMT131090 ACX131090 TB131090 JF131090 G131090 WVR65554 WLV65554 WBZ65554 VSD65554 VIH65554 UYL65554 UOP65554 UET65554 TUX65554 TLB65554 TBF65554 SRJ65554 SHN65554 RXR65554 RNV65554 RDZ65554 QUD65554 QKH65554 QAL65554 PQP65554 PGT65554 OWX65554 ONB65554 ODF65554 NTJ65554 NJN65554 MZR65554 MPV65554 MFZ65554 LWD65554 LMH65554 LCL65554 KSP65554 KIT65554 JYX65554 JPB65554 JFF65554 IVJ65554 ILN65554 IBR65554 HRV65554 HHZ65554 GYD65554 GOH65554 GEL65554 FUP65554 FKT65554 FAX65554 ERB65554 EHF65554 DXJ65554 DNN65554 DDR65554 CTV65554 CJZ65554 CAD65554 BQH65554 BGL65554 AWP65554 AMT65554 ACX65554 TB65554 JF65554 G65554 WVR16 WLV16 WBZ16 VSD16 VIH16 UYL16 UOP16 UET16 TUX16 TLB16 TBF16 SRJ16 SHN16 RXR16 RNV16 RDZ16 QUD16 QKH16 QAL16 PQP16 PGT16 OWX16 ONB16 ODF16 NTJ16 NJN16 MZR16 MPV16 MFZ16 LWD16 LMH16 LCL16 KSP16 KIT16 JYX16 JPB16 JFF16 IVJ16 ILN16 IBR16 HRV16 HHZ16 GYD16 GOH16 GEL16 FUP16 FKT16 FAX16 ERB16 EHF16 DXJ16 DNN16 DDR16 CTV16 CJZ16 CAD16 BQH16 BGL16 AWP16 AMT16 ACX16 TB16 JF16">
      <formula1>$AA$14:$AA$15</formula1>
    </dataValidation>
  </dataValidations>
  <printOptions horizontalCentered="1"/>
  <pageMargins left="0.47244094488188981" right="0.51181102362204722" top="0.74803149606299213" bottom="0.47244094488188981" header="0.39370078740157483" footer="0.23622047244094491"/>
  <pageSetup paperSize="9" scale="90" orientation="portrait" blackAndWhite="1"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50"/>
    <pageSetUpPr fitToPage="1"/>
  </sheetPr>
  <dimension ref="A1:BD92"/>
  <sheetViews>
    <sheetView view="pageBreakPreview" topLeftCell="A7" zoomScaleSheetLayoutView="100" workbookViewId="0">
      <selection activeCell="AU39" sqref="AU39"/>
    </sheetView>
  </sheetViews>
  <sheetFormatPr defaultColWidth="2.875" defaultRowHeight="15"/>
  <cols>
    <col min="1" max="39" width="2.875" style="189" customWidth="1"/>
    <col min="40" max="49" width="2.875" style="189"/>
    <col min="50" max="50" width="15.125" style="189" bestFit="1" customWidth="1"/>
    <col min="51" max="51" width="7.125" style="189" bestFit="1" customWidth="1"/>
    <col min="52" max="52" width="5.5" style="189" bestFit="1" customWidth="1"/>
    <col min="53" max="55" width="2.875" style="189"/>
    <col min="56" max="56" width="15.125" style="189" bestFit="1" customWidth="1"/>
    <col min="57" max="16384" width="2.875" style="189"/>
  </cols>
  <sheetData>
    <row r="1" spans="1:56">
      <c r="A1" s="187" t="s">
        <v>307</v>
      </c>
      <c r="B1" s="187"/>
      <c r="C1" s="188"/>
      <c r="D1" s="188"/>
      <c r="E1" s="188"/>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c r="AE1" s="188"/>
      <c r="AF1" s="188"/>
      <c r="AG1" s="188"/>
      <c r="AH1" s="188"/>
      <c r="AI1" s="188"/>
      <c r="AJ1" s="188"/>
      <c r="AK1" s="188"/>
      <c r="AL1" s="188"/>
      <c r="AM1" s="188"/>
    </row>
    <row r="2" spans="1:56">
      <c r="A2" s="188"/>
      <c r="B2" s="190" t="s">
        <v>308</v>
      </c>
      <c r="C2" s="191"/>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92" t="s">
        <v>309</v>
      </c>
      <c r="AE2" s="188"/>
      <c r="AF2" s="192"/>
      <c r="AG2" s="192"/>
      <c r="AH2" s="192"/>
      <c r="AI2" s="192"/>
      <c r="AJ2" s="192"/>
      <c r="AK2" s="192"/>
      <c r="AL2" s="193"/>
      <c r="AM2" s="188"/>
    </row>
    <row r="3" spans="1:56">
      <c r="A3" s="188"/>
      <c r="B3" s="188"/>
      <c r="C3" s="194" t="s">
        <v>310</v>
      </c>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94" t="s">
        <v>311</v>
      </c>
      <c r="AE3" s="188"/>
      <c r="AF3" s="195"/>
      <c r="AG3" s="195"/>
      <c r="AH3" s="195"/>
      <c r="AI3" s="195"/>
      <c r="AJ3" s="195"/>
      <c r="AK3" s="195"/>
      <c r="AL3" s="193"/>
      <c r="AM3" s="188"/>
    </row>
    <row r="4" spans="1:56" ht="19.5" customHeight="1">
      <c r="A4" s="196"/>
      <c r="B4" s="197"/>
      <c r="C4" s="197"/>
      <c r="D4" s="197"/>
      <c r="E4" s="197"/>
      <c r="F4" s="197"/>
      <c r="G4" s="197"/>
      <c r="H4" s="197"/>
      <c r="I4" s="197"/>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97"/>
      <c r="AK4" s="197"/>
      <c r="AL4" s="197"/>
      <c r="AM4" s="198"/>
    </row>
    <row r="5" spans="1:56" ht="17.25">
      <c r="A5" s="199" t="s">
        <v>312</v>
      </c>
      <c r="B5" s="200"/>
      <c r="C5" s="200"/>
      <c r="D5" s="200"/>
      <c r="E5" s="200"/>
      <c r="F5" s="200"/>
      <c r="G5" s="200"/>
      <c r="H5" s="201"/>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3"/>
      <c r="AH5" s="200"/>
      <c r="AI5" s="200"/>
      <c r="AJ5" s="200"/>
      <c r="AK5" s="200"/>
      <c r="AL5" s="200"/>
      <c r="AM5" s="204"/>
    </row>
    <row r="6" spans="1:56" ht="15.75">
      <c r="A6" s="205" t="s">
        <v>313</v>
      </c>
      <c r="B6" s="206"/>
      <c r="C6" s="206"/>
      <c r="D6" s="206"/>
      <c r="E6" s="206"/>
      <c r="F6" s="206"/>
      <c r="G6" s="206"/>
      <c r="H6" s="206"/>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6"/>
      <c r="AH6" s="200"/>
      <c r="AI6" s="200"/>
      <c r="AJ6" s="200"/>
      <c r="AK6" s="200"/>
      <c r="AL6" s="206"/>
      <c r="AM6" s="208"/>
    </row>
    <row r="7" spans="1:56" ht="6" customHeight="1">
      <c r="A7" s="205"/>
      <c r="B7" s="206"/>
      <c r="C7" s="206"/>
      <c r="D7" s="206"/>
      <c r="E7" s="206"/>
      <c r="F7" s="206"/>
      <c r="G7" s="206"/>
      <c r="H7" s="206"/>
      <c r="I7" s="207"/>
      <c r="J7" s="207"/>
      <c r="K7" s="207"/>
      <c r="L7" s="207"/>
      <c r="M7" s="207"/>
      <c r="N7" s="207"/>
      <c r="O7" s="207"/>
      <c r="P7" s="207"/>
      <c r="Q7" s="207"/>
      <c r="R7" s="207"/>
      <c r="S7" s="207"/>
      <c r="T7" s="207"/>
      <c r="U7" s="207"/>
      <c r="V7" s="207"/>
      <c r="W7" s="207"/>
      <c r="X7" s="207"/>
      <c r="Y7" s="207"/>
      <c r="Z7" s="207"/>
      <c r="AA7" s="207"/>
      <c r="AB7" s="207"/>
      <c r="AC7" s="207"/>
      <c r="AD7" s="207"/>
      <c r="AE7" s="207"/>
      <c r="AF7" s="207"/>
      <c r="AG7" s="206"/>
      <c r="AH7" s="200"/>
      <c r="AI7" s="200"/>
      <c r="AJ7" s="200"/>
      <c r="AK7" s="200"/>
      <c r="AL7" s="206"/>
      <c r="AM7" s="208"/>
    </row>
    <row r="8" spans="1:56">
      <c r="A8" s="209"/>
      <c r="B8" s="201"/>
      <c r="C8" s="201"/>
      <c r="D8" s="201"/>
      <c r="E8" s="201"/>
      <c r="F8" s="201"/>
      <c r="G8" s="201"/>
      <c r="H8" s="1297" t="s">
        <v>1267</v>
      </c>
      <c r="I8" s="1297"/>
      <c r="J8" s="1297"/>
      <c r="K8" s="1297"/>
      <c r="L8" s="210" t="s">
        <v>314</v>
      </c>
      <c r="M8" s="201"/>
      <c r="N8" s="201"/>
      <c r="O8" s="201"/>
      <c r="P8" s="201"/>
      <c r="Q8" s="201"/>
      <c r="R8" s="201"/>
      <c r="S8" s="200"/>
      <c r="T8" s="200"/>
      <c r="U8" s="200"/>
      <c r="V8" s="200"/>
      <c r="W8" s="200"/>
      <c r="X8" s="200"/>
      <c r="Y8" s="200"/>
      <c r="Z8" s="200"/>
      <c r="AA8" s="200"/>
      <c r="AB8" s="200"/>
      <c r="AC8" s="200"/>
      <c r="AD8" s="200"/>
      <c r="AE8" s="200"/>
      <c r="AF8" s="200"/>
      <c r="AG8" s="200"/>
      <c r="AH8" s="211"/>
      <c r="AI8" s="211"/>
      <c r="AJ8" s="211"/>
      <c r="AK8" s="211"/>
      <c r="AL8" s="200"/>
      <c r="AM8" s="204"/>
    </row>
    <row r="9" spans="1:56" ht="15.75" thickBot="1">
      <c r="A9" s="212"/>
      <c r="B9" s="213" t="s">
        <v>315</v>
      </c>
      <c r="C9" s="214"/>
      <c r="D9" s="214"/>
      <c r="E9" s="214"/>
      <c r="F9" s="214"/>
      <c r="G9" s="215"/>
      <c r="H9" s="215"/>
      <c r="I9" s="1298"/>
      <c r="J9" s="1298"/>
      <c r="K9" s="1298"/>
      <c r="L9" s="213" t="s">
        <v>316</v>
      </c>
      <c r="M9" s="216"/>
      <c r="N9" s="214"/>
      <c r="O9" s="214"/>
      <c r="P9" s="214"/>
      <c r="Q9" s="214"/>
      <c r="R9" s="214"/>
      <c r="S9" s="188"/>
      <c r="T9" s="188"/>
      <c r="U9" s="188"/>
      <c r="V9" s="188"/>
      <c r="W9" s="188"/>
      <c r="X9" s="188"/>
      <c r="Y9" s="188"/>
      <c r="Z9" s="188"/>
      <c r="AA9" s="188"/>
      <c r="AB9" s="188"/>
      <c r="AC9" s="188"/>
      <c r="AD9" s="188"/>
      <c r="AE9" s="188"/>
      <c r="AF9" s="188"/>
      <c r="AG9" s="188"/>
      <c r="AH9" s="1299"/>
      <c r="AI9" s="1299"/>
      <c r="AJ9" s="1299"/>
      <c r="AK9" s="1299"/>
      <c r="AL9" s="188"/>
      <c r="AM9" s="217"/>
      <c r="AX9" s="189" t="s">
        <v>317</v>
      </c>
    </row>
    <row r="10" spans="1:56" ht="3.75" customHeight="1">
      <c r="A10" s="212"/>
      <c r="B10" s="194"/>
      <c r="C10" s="218"/>
      <c r="D10" s="218"/>
      <c r="E10" s="218"/>
      <c r="F10" s="218"/>
      <c r="G10" s="219"/>
      <c r="H10" s="220"/>
      <c r="I10" s="220"/>
      <c r="J10" s="220"/>
      <c r="K10" s="220"/>
      <c r="L10" s="194"/>
      <c r="M10" s="218"/>
      <c r="N10" s="218"/>
      <c r="O10" s="218"/>
      <c r="P10" s="218"/>
      <c r="Q10" s="218"/>
      <c r="R10" s="218"/>
      <c r="S10" s="188"/>
      <c r="T10" s="188"/>
      <c r="U10" s="188"/>
      <c r="V10" s="188"/>
      <c r="W10" s="188"/>
      <c r="X10" s="188"/>
      <c r="Y10" s="188"/>
      <c r="Z10" s="188"/>
      <c r="AA10" s="188"/>
      <c r="AB10" s="188"/>
      <c r="AC10" s="188"/>
      <c r="AD10" s="188"/>
      <c r="AE10" s="188"/>
      <c r="AF10" s="188"/>
      <c r="AG10" s="188"/>
      <c r="AH10" s="188"/>
      <c r="AI10" s="188"/>
      <c r="AJ10" s="188"/>
      <c r="AK10" s="188"/>
      <c r="AL10" s="188"/>
      <c r="AM10" s="217"/>
      <c r="AX10" s="221"/>
    </row>
    <row r="11" spans="1:56" ht="14.25" customHeight="1" thickBot="1">
      <c r="A11" s="222"/>
      <c r="B11" s="188"/>
      <c r="C11" s="1300" t="s">
        <v>318</v>
      </c>
      <c r="D11" s="1300"/>
      <c r="E11" s="1300"/>
      <c r="F11" s="1300"/>
      <c r="G11" s="1300"/>
      <c r="H11" s="1300"/>
      <c r="I11" s="1300"/>
      <c r="J11" s="1300"/>
      <c r="K11" s="1300"/>
      <c r="L11" s="1300"/>
      <c r="M11" s="1300"/>
      <c r="N11" s="1300"/>
      <c r="O11" s="1300"/>
      <c r="P11" s="1300"/>
      <c r="Q11" s="1300"/>
      <c r="R11" s="1300"/>
      <c r="S11" s="1300"/>
      <c r="T11" s="1300"/>
      <c r="U11" s="1300"/>
      <c r="V11" s="1300"/>
      <c r="W11" s="1300"/>
      <c r="X11" s="1300"/>
      <c r="Y11" s="1300"/>
      <c r="Z11" s="1300"/>
      <c r="AA11" s="1300"/>
      <c r="AB11" s="1300"/>
      <c r="AC11" s="1300"/>
      <c r="AD11" s="1300"/>
      <c r="AE11" s="223"/>
      <c r="AF11" s="188"/>
      <c r="AG11" s="188"/>
      <c r="AH11" s="1301"/>
      <c r="AI11" s="1301"/>
      <c r="AJ11" s="1301"/>
      <c r="AK11" s="1301"/>
      <c r="AL11" s="188"/>
      <c r="AM11" s="217"/>
      <c r="AX11" s="224" t="s">
        <v>319</v>
      </c>
      <c r="AZ11" s="189">
        <v>1983</v>
      </c>
      <c r="BA11" s="189">
        <v>1</v>
      </c>
      <c r="BB11" s="189">
        <v>1</v>
      </c>
      <c r="BD11" s="189" t="s">
        <v>430</v>
      </c>
    </row>
    <row r="12" spans="1:56" ht="14.25" customHeight="1">
      <c r="A12" s="222"/>
      <c r="B12" s="188"/>
      <c r="C12" s="1300" t="s">
        <v>320</v>
      </c>
      <c r="D12" s="1300"/>
      <c r="E12" s="1300"/>
      <c r="F12" s="1300"/>
      <c r="G12" s="1300"/>
      <c r="H12" s="1300"/>
      <c r="I12" s="1300"/>
      <c r="J12" s="1300"/>
      <c r="K12" s="1300"/>
      <c r="L12" s="1300"/>
      <c r="M12" s="1300"/>
      <c r="N12" s="1300"/>
      <c r="O12" s="1300"/>
      <c r="P12" s="1300"/>
      <c r="Q12" s="1300"/>
      <c r="R12" s="1300"/>
      <c r="S12" s="1300"/>
      <c r="T12" s="1300"/>
      <c r="U12" s="1300"/>
      <c r="V12" s="1300"/>
      <c r="W12" s="1300"/>
      <c r="X12" s="1300"/>
      <c r="Y12" s="1300"/>
      <c r="Z12" s="1300"/>
      <c r="AA12" s="1300"/>
      <c r="AB12" s="223"/>
      <c r="AC12" s="223"/>
      <c r="AD12" s="223"/>
      <c r="AE12" s="223"/>
      <c r="AF12" s="188"/>
      <c r="AG12" s="188"/>
      <c r="AH12" s="225"/>
      <c r="AI12" s="225"/>
      <c r="AJ12" s="225"/>
      <c r="AK12" s="225"/>
      <c r="AL12" s="188"/>
      <c r="AM12" s="217"/>
      <c r="AX12" s="224" t="s">
        <v>321</v>
      </c>
      <c r="AZ12" s="189">
        <v>1984</v>
      </c>
      <c r="BA12" s="189">
        <v>2</v>
      </c>
      <c r="BB12" s="189">
        <v>2</v>
      </c>
      <c r="BD12" s="255"/>
    </row>
    <row r="13" spans="1:56">
      <c r="A13" s="226"/>
      <c r="B13" s="227"/>
      <c r="C13" s="1314" t="s">
        <v>322</v>
      </c>
      <c r="D13" s="1314"/>
      <c r="E13" s="1314"/>
      <c r="F13" s="1314"/>
      <c r="G13" s="1314"/>
      <c r="H13" s="1314"/>
      <c r="I13" s="1314"/>
      <c r="J13" s="1314"/>
      <c r="K13" s="1314"/>
      <c r="L13" s="1314"/>
      <c r="M13" s="1314"/>
      <c r="N13" s="1314"/>
      <c r="O13" s="1314"/>
      <c r="P13" s="1314"/>
      <c r="Q13" s="1314"/>
      <c r="R13" s="1314"/>
      <c r="S13" s="1314"/>
      <c r="T13" s="1314"/>
      <c r="U13" s="1314"/>
      <c r="V13" s="1314"/>
      <c r="W13" s="1314"/>
      <c r="X13" s="1314"/>
      <c r="Y13" s="1314"/>
      <c r="Z13" s="1314"/>
      <c r="AA13" s="1314"/>
      <c r="AB13" s="1314"/>
      <c r="AC13" s="1314"/>
      <c r="AD13" s="1314"/>
      <c r="AE13" s="1314"/>
      <c r="AF13" s="227"/>
      <c r="AG13" s="188"/>
      <c r="AH13" s="225"/>
      <c r="AI13" s="225"/>
      <c r="AJ13" s="225"/>
      <c r="AK13" s="225"/>
      <c r="AL13" s="188"/>
      <c r="AM13" s="217"/>
      <c r="AX13" s="224" t="s">
        <v>323</v>
      </c>
      <c r="AZ13" s="189">
        <v>1985</v>
      </c>
      <c r="BA13" s="189">
        <v>3</v>
      </c>
      <c r="BB13" s="189">
        <v>3</v>
      </c>
      <c r="BD13" s="257" t="s">
        <v>432</v>
      </c>
    </row>
    <row r="14" spans="1:56">
      <c r="A14" s="228"/>
      <c r="B14" s="229"/>
      <c r="C14" s="1314"/>
      <c r="D14" s="1314"/>
      <c r="E14" s="1314"/>
      <c r="F14" s="1314"/>
      <c r="G14" s="1314"/>
      <c r="H14" s="1314"/>
      <c r="I14" s="1314"/>
      <c r="J14" s="1314"/>
      <c r="K14" s="1314"/>
      <c r="L14" s="1314"/>
      <c r="M14" s="1314"/>
      <c r="N14" s="1314"/>
      <c r="O14" s="1314"/>
      <c r="P14" s="1314"/>
      <c r="Q14" s="1314"/>
      <c r="R14" s="1314"/>
      <c r="S14" s="1314"/>
      <c r="T14" s="1314"/>
      <c r="U14" s="1314"/>
      <c r="V14" s="1314"/>
      <c r="W14" s="1314"/>
      <c r="X14" s="1314"/>
      <c r="Y14" s="1314"/>
      <c r="Z14" s="1314"/>
      <c r="AA14" s="1314"/>
      <c r="AB14" s="1314"/>
      <c r="AC14" s="1314"/>
      <c r="AD14" s="1314"/>
      <c r="AE14" s="1314"/>
      <c r="AF14" s="188"/>
      <c r="AG14" s="188"/>
      <c r="AH14" s="225"/>
      <c r="AI14" s="225"/>
      <c r="AJ14" s="225"/>
      <c r="AK14" s="225"/>
      <c r="AL14" s="188"/>
      <c r="AM14" s="217"/>
      <c r="AX14" s="224" t="s">
        <v>324</v>
      </c>
      <c r="AZ14" s="189">
        <v>1986</v>
      </c>
      <c r="BA14" s="189">
        <v>4</v>
      </c>
      <c r="BB14" s="189">
        <v>4</v>
      </c>
      <c r="BD14" s="257" t="s">
        <v>434</v>
      </c>
    </row>
    <row r="15" spans="1:56" ht="12.75" customHeight="1">
      <c r="A15" s="230"/>
      <c r="B15" s="231"/>
      <c r="C15" s="231"/>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31"/>
      <c r="AB15" s="231"/>
      <c r="AC15" s="231"/>
      <c r="AD15" s="231"/>
      <c r="AE15" s="231"/>
      <c r="AF15" s="231"/>
      <c r="AG15" s="231"/>
      <c r="AH15" s="188"/>
      <c r="AI15" s="188"/>
      <c r="AJ15" s="188"/>
      <c r="AK15" s="188"/>
      <c r="AL15" s="188"/>
      <c r="AM15" s="232"/>
      <c r="AX15" s="224"/>
      <c r="AZ15" s="189">
        <v>1987</v>
      </c>
      <c r="BA15" s="189">
        <v>5</v>
      </c>
      <c r="BB15" s="189">
        <v>5</v>
      </c>
      <c r="BD15" s="257" t="s">
        <v>436</v>
      </c>
    </row>
    <row r="16" spans="1:56">
      <c r="A16" s="233" t="s">
        <v>325</v>
      </c>
      <c r="B16" s="234"/>
      <c r="C16" s="234"/>
      <c r="D16" s="234"/>
      <c r="E16" s="225"/>
      <c r="F16" s="225"/>
      <c r="G16" s="1315" t="s">
        <v>1134</v>
      </c>
      <c r="H16" s="1315"/>
      <c r="I16" s="1315"/>
      <c r="J16" s="1315"/>
      <c r="K16" s="1315"/>
      <c r="L16" s="1315"/>
      <c r="M16" s="1315"/>
      <c r="N16" s="1315"/>
      <c r="O16" s="1315"/>
      <c r="P16" s="1315"/>
      <c r="Q16" s="1315"/>
      <c r="R16" s="1315"/>
      <c r="S16" s="1315"/>
      <c r="T16" s="225"/>
      <c r="U16" s="225"/>
      <c r="V16" s="234" t="s">
        <v>326</v>
      </c>
      <c r="W16" s="234"/>
      <c r="X16" s="234"/>
      <c r="Y16" s="234"/>
      <c r="Z16" s="1317" t="str">
        <f>IF('01.入学願書'!Z14="","",'01.入学願書'!Z14)</f>
        <v>1991</v>
      </c>
      <c r="AA16" s="1317"/>
      <c r="AB16" s="1317"/>
      <c r="AC16" s="1317"/>
      <c r="AD16" s="1309" t="s">
        <v>4</v>
      </c>
      <c r="AE16" s="1309"/>
      <c r="AF16" s="1297" t="str">
        <f>IF('01.入学願書'!AI14="","",'01.入学願書'!AI14)</f>
        <v>11</v>
      </c>
      <c r="AG16" s="1297"/>
      <c r="AH16" s="1309" t="s">
        <v>34</v>
      </c>
      <c r="AI16" s="1309"/>
      <c r="AJ16" s="1297" t="str">
        <f>IF('01.入学願書'!AN14="","",'01.入学願書'!AN14)</f>
        <v>05</v>
      </c>
      <c r="AK16" s="1297"/>
      <c r="AL16" s="235" t="s">
        <v>6</v>
      </c>
      <c r="AM16" s="236"/>
      <c r="AX16" s="224"/>
      <c r="AZ16" s="189">
        <v>1988</v>
      </c>
      <c r="BA16" s="189">
        <v>6</v>
      </c>
      <c r="BB16" s="189">
        <v>6</v>
      </c>
      <c r="BD16" s="257" t="s">
        <v>439</v>
      </c>
    </row>
    <row r="17" spans="1:56" s="242" customFormat="1">
      <c r="A17" s="237"/>
      <c r="B17" s="238" t="s">
        <v>327</v>
      </c>
      <c r="C17" s="238"/>
      <c r="D17" s="238"/>
      <c r="E17" s="239"/>
      <c r="F17" s="239"/>
      <c r="G17" s="1316"/>
      <c r="H17" s="1316"/>
      <c r="I17" s="1316"/>
      <c r="J17" s="1316"/>
      <c r="K17" s="1316"/>
      <c r="L17" s="1316"/>
      <c r="M17" s="1316"/>
      <c r="N17" s="1316"/>
      <c r="O17" s="1316"/>
      <c r="P17" s="1316"/>
      <c r="Q17" s="1316"/>
      <c r="R17" s="1316"/>
      <c r="S17" s="1316"/>
      <c r="T17" s="239"/>
      <c r="U17" s="239"/>
      <c r="V17" s="238"/>
      <c r="W17" s="238" t="s">
        <v>328</v>
      </c>
      <c r="X17" s="238"/>
      <c r="Y17" s="238"/>
      <c r="Z17" s="1318"/>
      <c r="AA17" s="1318"/>
      <c r="AB17" s="1318"/>
      <c r="AC17" s="1318"/>
      <c r="AD17" s="1303" t="s">
        <v>329</v>
      </c>
      <c r="AE17" s="1303"/>
      <c r="AF17" s="1298"/>
      <c r="AG17" s="1298"/>
      <c r="AH17" s="1303" t="s">
        <v>330</v>
      </c>
      <c r="AI17" s="1303"/>
      <c r="AJ17" s="1298"/>
      <c r="AK17" s="1298"/>
      <c r="AL17" s="240" t="s">
        <v>331</v>
      </c>
      <c r="AM17" s="241"/>
      <c r="AX17" s="243"/>
      <c r="AZ17" s="189">
        <v>1989</v>
      </c>
      <c r="BA17" s="189">
        <v>7</v>
      </c>
      <c r="BB17" s="189">
        <v>7</v>
      </c>
      <c r="BD17" s="257" t="s">
        <v>444</v>
      </c>
    </row>
    <row r="18" spans="1:56" s="242" customFormat="1" ht="15.75" thickBot="1">
      <c r="A18" s="237"/>
      <c r="B18" s="238"/>
      <c r="C18" s="238"/>
      <c r="D18" s="238"/>
      <c r="E18" s="244"/>
      <c r="F18" s="238"/>
      <c r="G18" s="245"/>
      <c r="H18" s="238" t="s">
        <v>332</v>
      </c>
      <c r="I18" s="245"/>
      <c r="J18" s="245"/>
      <c r="K18" s="244"/>
      <c r="L18" s="244"/>
      <c r="M18" s="246"/>
      <c r="N18" s="238"/>
      <c r="O18" s="238"/>
      <c r="P18" s="238" t="s">
        <v>333</v>
      </c>
      <c r="Q18" s="238"/>
      <c r="R18" s="238"/>
      <c r="S18" s="245"/>
      <c r="T18" s="245"/>
      <c r="U18" s="244"/>
      <c r="V18" s="245"/>
      <c r="W18" s="245"/>
      <c r="X18" s="238"/>
      <c r="Y18" s="245"/>
      <c r="Z18" s="245"/>
      <c r="AA18" s="245"/>
      <c r="AB18" s="245"/>
      <c r="AC18" s="244"/>
      <c r="AD18" s="244"/>
      <c r="AE18" s="246"/>
      <c r="AF18" s="238"/>
      <c r="AG18" s="238"/>
      <c r="AH18" s="238"/>
      <c r="AI18" s="238"/>
      <c r="AJ18" s="245"/>
      <c r="AK18" s="245"/>
      <c r="AL18" s="245"/>
      <c r="AM18" s="241"/>
      <c r="AX18" s="247"/>
      <c r="AZ18" s="189">
        <v>1990</v>
      </c>
      <c r="BA18" s="189">
        <v>8</v>
      </c>
      <c r="BB18" s="189">
        <v>8</v>
      </c>
      <c r="BD18" s="257" t="s">
        <v>449</v>
      </c>
    </row>
    <row r="19" spans="1:56">
      <c r="A19" s="233" t="s">
        <v>334</v>
      </c>
      <c r="B19" s="234"/>
      <c r="C19" s="234"/>
      <c r="D19" s="192"/>
      <c r="E19" s="1304" t="str">
        <f>IF('01.入学願書'!AM11="","",'01.入学願書'!AM11&amp;" "&amp;'01.入学願書'!AV11)</f>
        <v>BUI VAN HAI</v>
      </c>
      <c r="F19" s="1304"/>
      <c r="G19" s="1304"/>
      <c r="H19" s="1304"/>
      <c r="I19" s="1304"/>
      <c r="J19" s="1304"/>
      <c r="K19" s="1304"/>
      <c r="L19" s="1304"/>
      <c r="M19" s="1304"/>
      <c r="N19" s="1304"/>
      <c r="O19" s="1304"/>
      <c r="P19" s="1304"/>
      <c r="Q19" s="1304"/>
      <c r="R19" s="1304"/>
      <c r="S19" s="1304"/>
      <c r="T19" s="1304"/>
      <c r="U19" s="1304"/>
      <c r="V19" s="1304"/>
      <c r="W19" s="1304"/>
      <c r="X19" s="1304"/>
      <c r="Y19" s="1304"/>
      <c r="Z19" s="1304"/>
      <c r="AA19" s="1304"/>
      <c r="AB19" s="1304"/>
      <c r="AC19" s="1304"/>
      <c r="AD19" s="1304"/>
      <c r="AE19" s="1304"/>
      <c r="AF19" s="1304"/>
      <c r="AG19" s="1304"/>
      <c r="AH19" s="1304"/>
      <c r="AI19" s="1304"/>
      <c r="AJ19" s="1304"/>
      <c r="AK19" s="1304"/>
      <c r="AL19" s="1304"/>
      <c r="AM19" s="236"/>
      <c r="AZ19" s="189">
        <v>1991</v>
      </c>
      <c r="BA19" s="189">
        <v>9</v>
      </c>
      <c r="BB19" s="189">
        <v>9</v>
      </c>
      <c r="BD19" s="257" t="s">
        <v>450</v>
      </c>
    </row>
    <row r="20" spans="1:56" s="242" customFormat="1">
      <c r="A20" s="248"/>
      <c r="B20" s="249" t="s">
        <v>335</v>
      </c>
      <c r="C20" s="250"/>
      <c r="D20" s="250"/>
      <c r="E20" s="1305"/>
      <c r="F20" s="1305"/>
      <c r="G20" s="1305"/>
      <c r="H20" s="1305"/>
      <c r="I20" s="1305"/>
      <c r="J20" s="1305"/>
      <c r="K20" s="1305"/>
      <c r="L20" s="1305"/>
      <c r="M20" s="1305"/>
      <c r="N20" s="1305"/>
      <c r="O20" s="1305"/>
      <c r="P20" s="1305"/>
      <c r="Q20" s="1305"/>
      <c r="R20" s="1305"/>
      <c r="S20" s="1305"/>
      <c r="T20" s="1305"/>
      <c r="U20" s="1305"/>
      <c r="V20" s="1305"/>
      <c r="W20" s="1305"/>
      <c r="X20" s="1305"/>
      <c r="Y20" s="1305"/>
      <c r="Z20" s="1305"/>
      <c r="AA20" s="1305"/>
      <c r="AB20" s="1305"/>
      <c r="AC20" s="1305"/>
      <c r="AD20" s="1305"/>
      <c r="AE20" s="1305"/>
      <c r="AF20" s="1305"/>
      <c r="AG20" s="1305"/>
      <c r="AH20" s="1305"/>
      <c r="AI20" s="1305"/>
      <c r="AJ20" s="1305"/>
      <c r="AK20" s="1305"/>
      <c r="AL20" s="1305"/>
      <c r="AM20" s="241"/>
      <c r="AX20" s="1310" t="s">
        <v>336</v>
      </c>
      <c r="AZ20" s="189">
        <v>1992</v>
      </c>
      <c r="BA20" s="189">
        <v>10</v>
      </c>
      <c r="BB20" s="189">
        <v>10</v>
      </c>
      <c r="BD20" s="257" t="s">
        <v>453</v>
      </c>
    </row>
    <row r="21" spans="1:56" ht="3" customHeight="1" thickBot="1">
      <c r="A21" s="251"/>
      <c r="B21" s="211"/>
      <c r="C21" s="252"/>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211"/>
      <c r="AI21" s="211"/>
      <c r="AJ21" s="211"/>
      <c r="AK21" s="211"/>
      <c r="AL21" s="211"/>
      <c r="AM21" s="253"/>
      <c r="AX21" s="1311"/>
      <c r="AZ21" s="189">
        <v>1993</v>
      </c>
      <c r="BA21" s="189">
        <v>11</v>
      </c>
      <c r="BB21" s="189">
        <v>11</v>
      </c>
      <c r="BD21" s="257" t="s">
        <v>457</v>
      </c>
    </row>
    <row r="22" spans="1:56">
      <c r="A22" s="233" t="s">
        <v>337</v>
      </c>
      <c r="B22" s="234"/>
      <c r="C22" s="234"/>
      <c r="D22" s="234"/>
      <c r="E22" s="828" t="s">
        <v>231</v>
      </c>
      <c r="F22" s="828" t="s">
        <v>338</v>
      </c>
      <c r="G22" s="828" t="s">
        <v>235</v>
      </c>
      <c r="H22" s="234"/>
      <c r="I22" s="234"/>
      <c r="J22" s="234" t="s">
        <v>339</v>
      </c>
      <c r="K22" s="234"/>
      <c r="L22" s="234"/>
      <c r="M22" s="234"/>
      <c r="N22" s="234"/>
      <c r="O22" s="1297" t="str">
        <f>IF('01.入学願書'!W16="","",'01.入学願書'!W16)</f>
        <v>HAI PHONG</v>
      </c>
      <c r="P22" s="1297"/>
      <c r="Q22" s="1297"/>
      <c r="R22" s="1297"/>
      <c r="S22" s="1297"/>
      <c r="T22" s="1297"/>
      <c r="U22" s="1297"/>
      <c r="V22" s="1297"/>
      <c r="W22" s="1297"/>
      <c r="X22" s="1297"/>
      <c r="Y22" s="1297"/>
      <c r="Z22" s="1297"/>
      <c r="AA22" s="1297"/>
      <c r="AB22" s="254"/>
      <c r="AC22" s="254" t="s">
        <v>340</v>
      </c>
      <c r="AD22" s="254"/>
      <c r="AE22" s="254"/>
      <c r="AF22" s="254"/>
      <c r="AG22" s="254"/>
      <c r="AH22" s="254"/>
      <c r="AI22" s="1312" t="s">
        <v>341</v>
      </c>
      <c r="AJ22" s="1312"/>
      <c r="AK22" s="1312"/>
      <c r="AL22" s="1312"/>
      <c r="AM22" s="236"/>
      <c r="AO22" s="610" t="s">
        <v>960</v>
      </c>
      <c r="AR22" s="609" t="str">
        <f>IF('01.入学願書'!H14="■","男",IF('01.入学願書'!L14="■","女","未記入"))</f>
        <v>男</v>
      </c>
      <c r="AX22" s="255"/>
      <c r="AZ22" s="189">
        <v>1994</v>
      </c>
      <c r="BA22" s="189">
        <v>12</v>
      </c>
      <c r="BB22" s="189">
        <v>12</v>
      </c>
      <c r="BD22" s="257" t="s">
        <v>462</v>
      </c>
    </row>
    <row r="23" spans="1:56" s="242" customFormat="1">
      <c r="A23" s="256"/>
      <c r="B23" s="238" t="s">
        <v>342</v>
      </c>
      <c r="C23" s="245"/>
      <c r="D23" s="238"/>
      <c r="E23" s="238" t="s">
        <v>343</v>
      </c>
      <c r="F23" s="238"/>
      <c r="G23" s="238"/>
      <c r="H23" s="238"/>
      <c r="I23" s="238"/>
      <c r="J23" s="238"/>
      <c r="K23" s="238" t="s">
        <v>344</v>
      </c>
      <c r="L23" s="238"/>
      <c r="M23" s="238"/>
      <c r="N23" s="245"/>
      <c r="O23" s="1298"/>
      <c r="P23" s="1298"/>
      <c r="Q23" s="1298"/>
      <c r="R23" s="1298"/>
      <c r="S23" s="1298"/>
      <c r="T23" s="1298"/>
      <c r="U23" s="1298"/>
      <c r="V23" s="1298"/>
      <c r="W23" s="1298"/>
      <c r="X23" s="1298"/>
      <c r="Y23" s="1298"/>
      <c r="Z23" s="1298"/>
      <c r="AA23" s="1298"/>
      <c r="AB23" s="238"/>
      <c r="AC23" s="238"/>
      <c r="AD23" s="238" t="s">
        <v>345</v>
      </c>
      <c r="AE23" s="238"/>
      <c r="AF23" s="238"/>
      <c r="AG23" s="238"/>
      <c r="AH23" s="238"/>
      <c r="AI23" s="1313" t="s">
        <v>346</v>
      </c>
      <c r="AJ23" s="1313"/>
      <c r="AK23" s="1313"/>
      <c r="AL23" s="1313"/>
      <c r="AM23" s="241"/>
      <c r="AO23" s="610" t="s">
        <v>961</v>
      </c>
      <c r="AR23" s="609" t="str">
        <f>IF('01.入学願書'!AQ16="■","無",IF('01.入学願書'!AT16="■","有","未記入"))</f>
        <v>無</v>
      </c>
      <c r="AX23" s="257" t="s">
        <v>347</v>
      </c>
      <c r="AZ23" s="189">
        <v>1995</v>
      </c>
      <c r="BB23" s="189">
        <v>13</v>
      </c>
      <c r="BD23" s="257"/>
    </row>
    <row r="24" spans="1:56" ht="3" customHeight="1" thickBot="1">
      <c r="A24" s="251"/>
      <c r="B24" s="211"/>
      <c r="C24" s="252"/>
      <c r="D24" s="252"/>
      <c r="E24" s="252"/>
      <c r="F24" s="252"/>
      <c r="G24" s="252"/>
      <c r="H24" s="252"/>
      <c r="I24" s="252"/>
      <c r="J24" s="252"/>
      <c r="K24" s="252"/>
      <c r="L24" s="252"/>
      <c r="M24" s="252"/>
      <c r="N24" s="252"/>
      <c r="O24" s="252"/>
      <c r="P24" s="252"/>
      <c r="Q24" s="252"/>
      <c r="R24" s="252"/>
      <c r="S24" s="252"/>
      <c r="T24" s="252"/>
      <c r="U24" s="252"/>
      <c r="V24" s="252"/>
      <c r="W24" s="252"/>
      <c r="X24" s="252"/>
      <c r="Y24" s="252"/>
      <c r="Z24" s="252"/>
      <c r="AA24" s="252"/>
      <c r="AB24" s="252"/>
      <c r="AC24" s="252"/>
      <c r="AD24" s="252"/>
      <c r="AE24" s="252"/>
      <c r="AF24" s="252"/>
      <c r="AG24" s="252"/>
      <c r="AH24" s="252"/>
      <c r="AI24" s="252"/>
      <c r="AJ24" s="252"/>
      <c r="AK24" s="252"/>
      <c r="AL24" s="252"/>
      <c r="AM24" s="253"/>
      <c r="AX24" s="258" t="s">
        <v>348</v>
      </c>
      <c r="AZ24" s="189">
        <v>1996</v>
      </c>
      <c r="BB24" s="189">
        <v>14</v>
      </c>
      <c r="BD24" s="274"/>
    </row>
    <row r="25" spans="1:56">
      <c r="A25" s="233" t="s">
        <v>349</v>
      </c>
      <c r="B25" s="234"/>
      <c r="C25" s="234"/>
      <c r="D25" s="234"/>
      <c r="E25" s="1297" t="str">
        <f>IF('01.入学願書'!L18="■","学生",IF('01.入学願書'!U18="■","会社員",IF('01.入学願書'!AI18="■","来日準備中","")))</f>
        <v>来日準備中</v>
      </c>
      <c r="F25" s="1297"/>
      <c r="G25" s="1297"/>
      <c r="H25" s="1297"/>
      <c r="I25" s="1297"/>
      <c r="J25" s="1297"/>
      <c r="K25" s="1297"/>
      <c r="L25" s="1297"/>
      <c r="M25" s="1297"/>
      <c r="N25" s="234"/>
      <c r="O25" s="234" t="s">
        <v>350</v>
      </c>
      <c r="P25" s="211"/>
      <c r="Q25" s="234"/>
      <c r="R25" s="234"/>
      <c r="S25" s="234"/>
      <c r="T25" s="234"/>
      <c r="U25" s="234"/>
      <c r="V25" s="234"/>
      <c r="W25" s="1306" t="str">
        <f>IF('01.入学願書'!J20="","",'01.入学願書'!J20)</f>
        <v>AN LU、THUY NGUYEN、HAI PHONG</v>
      </c>
      <c r="X25" s="1306"/>
      <c r="Y25" s="1306"/>
      <c r="Z25" s="1306"/>
      <c r="AA25" s="1306"/>
      <c r="AB25" s="1306"/>
      <c r="AC25" s="1306"/>
      <c r="AD25" s="1306"/>
      <c r="AE25" s="1306"/>
      <c r="AF25" s="1306"/>
      <c r="AG25" s="1306"/>
      <c r="AH25" s="1306"/>
      <c r="AI25" s="1306"/>
      <c r="AJ25" s="1306"/>
      <c r="AK25" s="1306"/>
      <c r="AL25" s="1306"/>
      <c r="AM25" s="253"/>
      <c r="AX25" s="258" t="s">
        <v>351</v>
      </c>
      <c r="AZ25" s="189">
        <v>1997</v>
      </c>
      <c r="BB25" s="189">
        <v>15</v>
      </c>
    </row>
    <row r="26" spans="1:56" s="242" customFormat="1">
      <c r="A26" s="256"/>
      <c r="B26" s="238" t="s">
        <v>352</v>
      </c>
      <c r="C26" s="238"/>
      <c r="D26" s="238"/>
      <c r="E26" s="1298"/>
      <c r="F26" s="1298"/>
      <c r="G26" s="1298"/>
      <c r="H26" s="1298"/>
      <c r="I26" s="1298"/>
      <c r="J26" s="1298"/>
      <c r="K26" s="1298"/>
      <c r="L26" s="1298"/>
      <c r="M26" s="1298"/>
      <c r="N26" s="245"/>
      <c r="O26" s="238"/>
      <c r="P26" s="238" t="s">
        <v>353</v>
      </c>
      <c r="Q26" s="238"/>
      <c r="R26" s="238"/>
      <c r="S26" s="238"/>
      <c r="T26" s="238"/>
      <c r="U26" s="245"/>
      <c r="V26" s="245"/>
      <c r="W26" s="1307"/>
      <c r="X26" s="1307"/>
      <c r="Y26" s="1307"/>
      <c r="Z26" s="1307"/>
      <c r="AA26" s="1307"/>
      <c r="AB26" s="1307"/>
      <c r="AC26" s="1307"/>
      <c r="AD26" s="1307"/>
      <c r="AE26" s="1307"/>
      <c r="AF26" s="1307"/>
      <c r="AG26" s="1307"/>
      <c r="AH26" s="1307"/>
      <c r="AI26" s="1307"/>
      <c r="AJ26" s="1307"/>
      <c r="AK26" s="1307"/>
      <c r="AL26" s="1307"/>
      <c r="AM26" s="241"/>
      <c r="AX26" s="258"/>
      <c r="BB26" s="189">
        <v>16</v>
      </c>
    </row>
    <row r="27" spans="1:56" ht="1.5" customHeight="1">
      <c r="A27" s="251"/>
      <c r="B27" s="211"/>
      <c r="C27" s="252"/>
      <c r="D27" s="252"/>
      <c r="E27" s="252"/>
      <c r="F27" s="252"/>
      <c r="G27" s="252"/>
      <c r="H27" s="252"/>
      <c r="I27" s="252"/>
      <c r="J27" s="252"/>
      <c r="K27" s="252"/>
      <c r="L27" s="252"/>
      <c r="M27" s="252"/>
      <c r="N27" s="252"/>
      <c r="O27" s="252"/>
      <c r="P27" s="252"/>
      <c r="Q27" s="252"/>
      <c r="R27" s="211"/>
      <c r="S27" s="211"/>
      <c r="T27" s="211"/>
      <c r="U27" s="211"/>
      <c r="V27" s="211"/>
      <c r="W27" s="211"/>
      <c r="X27" s="211"/>
      <c r="Y27" s="211"/>
      <c r="Z27" s="211"/>
      <c r="AA27" s="211"/>
      <c r="AB27" s="211"/>
      <c r="AC27" s="211"/>
      <c r="AD27" s="211"/>
      <c r="AE27" s="211"/>
      <c r="AF27" s="211"/>
      <c r="AG27" s="211"/>
      <c r="AH27" s="211"/>
      <c r="AI27" s="211"/>
      <c r="AJ27" s="211"/>
      <c r="AK27" s="211"/>
      <c r="AL27" s="211"/>
      <c r="AM27" s="253"/>
      <c r="AX27" s="258"/>
      <c r="BB27" s="189">
        <v>17</v>
      </c>
    </row>
    <row r="28" spans="1:56">
      <c r="A28" s="233" t="s">
        <v>354</v>
      </c>
      <c r="B28" s="234"/>
      <c r="C28" s="234"/>
      <c r="D28" s="234"/>
      <c r="E28" s="234"/>
      <c r="F28" s="234"/>
      <c r="G28" s="234"/>
      <c r="H28" s="234"/>
      <c r="I28" s="1297" t="s">
        <v>1261</v>
      </c>
      <c r="J28" s="1297"/>
      <c r="K28" s="1297"/>
      <c r="L28" s="1297"/>
      <c r="M28" s="1297"/>
      <c r="N28" s="1297"/>
      <c r="O28" s="1297"/>
      <c r="P28" s="1297"/>
      <c r="Q28" s="1297"/>
      <c r="R28" s="1297"/>
      <c r="S28" s="1297"/>
      <c r="T28" s="1297"/>
      <c r="U28" s="1297"/>
      <c r="V28" s="1297"/>
      <c r="W28" s="1297"/>
      <c r="X28" s="1297"/>
      <c r="Y28" s="1297"/>
      <c r="Z28" s="1297"/>
      <c r="AA28" s="1297"/>
      <c r="AB28" s="1297"/>
      <c r="AC28" s="1297"/>
      <c r="AD28" s="1297"/>
      <c r="AE28" s="1297"/>
      <c r="AF28" s="1297"/>
      <c r="AG28" s="1297"/>
      <c r="AH28" s="1297"/>
      <c r="AI28" s="1297"/>
      <c r="AJ28" s="1297"/>
      <c r="AK28" s="1297"/>
      <c r="AL28" s="1297"/>
      <c r="AM28" s="236"/>
      <c r="AX28" s="258"/>
      <c r="BB28" s="189">
        <v>18</v>
      </c>
    </row>
    <row r="29" spans="1:56" s="242" customFormat="1" ht="15.75" thickBot="1">
      <c r="A29" s="256"/>
      <c r="B29" s="238" t="s">
        <v>355</v>
      </c>
      <c r="C29" s="245"/>
      <c r="D29" s="245"/>
      <c r="E29" s="245"/>
      <c r="F29" s="245"/>
      <c r="G29" s="245"/>
      <c r="H29" s="245"/>
      <c r="I29" s="1298"/>
      <c r="J29" s="1298"/>
      <c r="K29" s="1298"/>
      <c r="L29" s="1298"/>
      <c r="M29" s="1298"/>
      <c r="N29" s="1298"/>
      <c r="O29" s="1298"/>
      <c r="P29" s="1298"/>
      <c r="Q29" s="1298"/>
      <c r="R29" s="1298"/>
      <c r="S29" s="1298"/>
      <c r="T29" s="1298"/>
      <c r="U29" s="1298"/>
      <c r="V29" s="1298"/>
      <c r="W29" s="1298"/>
      <c r="X29" s="1298"/>
      <c r="Y29" s="1298"/>
      <c r="Z29" s="1298"/>
      <c r="AA29" s="1298"/>
      <c r="AB29" s="1298"/>
      <c r="AC29" s="1298"/>
      <c r="AD29" s="1298"/>
      <c r="AE29" s="1298"/>
      <c r="AF29" s="1298"/>
      <c r="AG29" s="1298"/>
      <c r="AH29" s="1298"/>
      <c r="AI29" s="1298"/>
      <c r="AJ29" s="1298"/>
      <c r="AK29" s="1298"/>
      <c r="AL29" s="1298"/>
      <c r="AM29" s="241"/>
      <c r="AX29" s="259"/>
      <c r="BB29" s="189">
        <v>19</v>
      </c>
    </row>
    <row r="30" spans="1:56" ht="1.5" customHeight="1">
      <c r="A30" s="251"/>
      <c r="B30" s="211"/>
      <c r="C30" s="252"/>
      <c r="D30" s="211"/>
      <c r="E30" s="211"/>
      <c r="F30" s="211"/>
      <c r="G30" s="211"/>
      <c r="H30" s="211"/>
      <c r="I30" s="211"/>
      <c r="J30" s="211"/>
      <c r="K30" s="211"/>
      <c r="L30" s="211"/>
      <c r="M30" s="211"/>
      <c r="N30" s="211"/>
      <c r="O30" s="211"/>
      <c r="P30" s="211"/>
      <c r="Q30" s="211"/>
      <c r="R30" s="211"/>
      <c r="S30" s="211"/>
      <c r="T30" s="211"/>
      <c r="U30" s="211"/>
      <c r="V30" s="211"/>
      <c r="W30" s="211"/>
      <c r="X30" s="211"/>
      <c r="Y30" s="211"/>
      <c r="Z30" s="260"/>
      <c r="AA30" s="260"/>
      <c r="AB30" s="260"/>
      <c r="AC30" s="260"/>
      <c r="AD30" s="260"/>
      <c r="AE30" s="211"/>
      <c r="AF30" s="211"/>
      <c r="AG30" s="211"/>
      <c r="AH30" s="211"/>
      <c r="AI30" s="211"/>
      <c r="AJ30" s="211"/>
      <c r="AK30" s="211"/>
      <c r="AL30" s="211"/>
      <c r="AM30" s="253"/>
      <c r="BB30" s="189">
        <v>20</v>
      </c>
    </row>
    <row r="31" spans="1:56">
      <c r="A31" s="233"/>
      <c r="B31" s="234" t="s">
        <v>356</v>
      </c>
      <c r="C31" s="234"/>
      <c r="D31" s="234"/>
      <c r="E31" s="234"/>
      <c r="F31" s="1297" t="s">
        <v>1268</v>
      </c>
      <c r="G31" s="1297"/>
      <c r="H31" s="1297"/>
      <c r="I31" s="1297"/>
      <c r="J31" s="1297"/>
      <c r="K31" s="1297"/>
      <c r="L31" s="1297"/>
      <c r="M31" s="1297"/>
      <c r="N31" s="1297"/>
      <c r="O31" s="1297"/>
      <c r="P31" s="1297"/>
      <c r="Q31" s="1297"/>
      <c r="R31" s="1297"/>
      <c r="S31" s="234"/>
      <c r="T31" s="234"/>
      <c r="U31" s="234" t="s">
        <v>357</v>
      </c>
      <c r="V31" s="234"/>
      <c r="W31" s="234"/>
      <c r="X31" s="234"/>
      <c r="Y31" s="234"/>
      <c r="Z31" s="1308" t="s">
        <v>1269</v>
      </c>
      <c r="AA31" s="1297"/>
      <c r="AB31" s="1297"/>
      <c r="AC31" s="1297"/>
      <c r="AD31" s="1297"/>
      <c r="AE31" s="1297"/>
      <c r="AF31" s="1297"/>
      <c r="AG31" s="1297"/>
      <c r="AH31" s="1297"/>
      <c r="AI31" s="1297"/>
      <c r="AJ31" s="1297"/>
      <c r="AK31" s="1297"/>
      <c r="AL31" s="1297"/>
      <c r="AM31" s="236"/>
      <c r="BB31" s="189">
        <v>21</v>
      </c>
    </row>
    <row r="32" spans="1:56" s="242" customFormat="1">
      <c r="A32" s="256"/>
      <c r="B32" s="238" t="s">
        <v>358</v>
      </c>
      <c r="C32" s="238"/>
      <c r="D32" s="245"/>
      <c r="E32" s="245"/>
      <c r="F32" s="1298"/>
      <c r="G32" s="1298"/>
      <c r="H32" s="1298"/>
      <c r="I32" s="1298"/>
      <c r="J32" s="1298"/>
      <c r="K32" s="1298"/>
      <c r="L32" s="1298"/>
      <c r="M32" s="1298"/>
      <c r="N32" s="1298"/>
      <c r="O32" s="1298"/>
      <c r="P32" s="1298"/>
      <c r="Q32" s="1298"/>
      <c r="R32" s="1298"/>
      <c r="S32" s="238"/>
      <c r="T32" s="245"/>
      <c r="U32" s="238" t="s">
        <v>359</v>
      </c>
      <c r="V32" s="245"/>
      <c r="W32" s="245"/>
      <c r="X32" s="245"/>
      <c r="Y32" s="245"/>
      <c r="Z32" s="1298"/>
      <c r="AA32" s="1298"/>
      <c r="AB32" s="1298"/>
      <c r="AC32" s="1298"/>
      <c r="AD32" s="1298"/>
      <c r="AE32" s="1298"/>
      <c r="AF32" s="1298"/>
      <c r="AG32" s="1298"/>
      <c r="AH32" s="1298"/>
      <c r="AI32" s="1298"/>
      <c r="AJ32" s="1298"/>
      <c r="AK32" s="1298"/>
      <c r="AL32" s="1298"/>
      <c r="AM32" s="241"/>
      <c r="BB32" s="189">
        <v>22</v>
      </c>
    </row>
    <row r="33" spans="1:54" ht="1.5" customHeight="1">
      <c r="A33" s="251"/>
      <c r="B33" s="211"/>
      <c r="C33" s="252"/>
      <c r="D33" s="252"/>
      <c r="E33" s="252"/>
      <c r="F33" s="252"/>
      <c r="G33" s="252"/>
      <c r="H33" s="252"/>
      <c r="I33" s="252"/>
      <c r="J33" s="252"/>
      <c r="K33" s="252"/>
      <c r="L33" s="252"/>
      <c r="M33" s="252"/>
      <c r="N33" s="252"/>
      <c r="O33" s="252"/>
      <c r="P33" s="252"/>
      <c r="Q33" s="252"/>
      <c r="R33" s="252"/>
      <c r="S33" s="252"/>
      <c r="T33" s="252"/>
      <c r="U33" s="252"/>
      <c r="V33" s="252"/>
      <c r="W33" s="252"/>
      <c r="X33" s="211"/>
      <c r="Y33" s="211"/>
      <c r="Z33" s="211"/>
      <c r="AA33" s="211"/>
      <c r="AB33" s="211"/>
      <c r="AC33" s="211"/>
      <c r="AD33" s="211"/>
      <c r="AE33" s="211"/>
      <c r="AF33" s="211"/>
      <c r="AG33" s="211"/>
      <c r="AH33" s="211"/>
      <c r="AI33" s="211"/>
      <c r="AJ33" s="211"/>
      <c r="AK33" s="211"/>
      <c r="AL33" s="211"/>
      <c r="AM33" s="253"/>
      <c r="BB33" s="189">
        <v>23</v>
      </c>
    </row>
    <row r="34" spans="1:54">
      <c r="A34" s="233" t="s">
        <v>360</v>
      </c>
      <c r="B34" s="234"/>
      <c r="C34" s="234"/>
      <c r="D34" s="234"/>
      <c r="E34" s="234" t="s">
        <v>361</v>
      </c>
      <c r="F34" s="234"/>
      <c r="G34" s="234"/>
      <c r="H34" s="1297" t="str">
        <f>IF('01.入学願書'!I57="■","なし",IF('01.入学願書'!O57="■",'01.入学願書'!T57,"未記入"))</f>
        <v>なし</v>
      </c>
      <c r="I34" s="1297"/>
      <c r="J34" s="1297"/>
      <c r="K34" s="1297"/>
      <c r="L34" s="1297"/>
      <c r="M34" s="1297"/>
      <c r="N34" s="1297"/>
      <c r="O34" s="1297"/>
      <c r="P34" s="1297"/>
      <c r="Q34" s="1297"/>
      <c r="R34" s="1297"/>
      <c r="S34" s="1297"/>
      <c r="T34" s="1297"/>
      <c r="U34" s="234" t="s">
        <v>362</v>
      </c>
      <c r="V34" s="234"/>
      <c r="W34" s="234"/>
      <c r="X34" s="234"/>
      <c r="Y34" s="234"/>
      <c r="Z34" s="234"/>
      <c r="AA34" s="1297" t="str">
        <f>IF('01.入学願書'!T57="","",'01.入学願書'!AQ57)</f>
        <v/>
      </c>
      <c r="AB34" s="1297"/>
      <c r="AC34" s="1297"/>
      <c r="AD34" s="1309" t="s">
        <v>4</v>
      </c>
      <c r="AE34" s="1309"/>
      <c r="AF34" s="1297" t="str">
        <f>IF('01.入学願書'!T57="","",'01.入学願書'!AY57)</f>
        <v/>
      </c>
      <c r="AG34" s="1297"/>
      <c r="AH34" s="1309" t="s">
        <v>34</v>
      </c>
      <c r="AI34" s="1309"/>
      <c r="AJ34" s="1297" t="str">
        <f>IF('01.入学願書'!T57="","",'01.入学願書'!BD57)</f>
        <v/>
      </c>
      <c r="AK34" s="1297"/>
      <c r="AL34" s="235" t="s">
        <v>6</v>
      </c>
      <c r="AM34" s="236"/>
      <c r="BB34" s="189">
        <v>24</v>
      </c>
    </row>
    <row r="35" spans="1:54" s="242" customFormat="1">
      <c r="A35" s="256"/>
      <c r="B35" s="238" t="s">
        <v>363</v>
      </c>
      <c r="C35" s="245"/>
      <c r="D35" s="238"/>
      <c r="E35" s="245"/>
      <c r="F35" s="238" t="s">
        <v>364</v>
      </c>
      <c r="G35" s="238"/>
      <c r="H35" s="1298"/>
      <c r="I35" s="1298"/>
      <c r="J35" s="1298"/>
      <c r="K35" s="1298"/>
      <c r="L35" s="1298"/>
      <c r="M35" s="1298"/>
      <c r="N35" s="1298"/>
      <c r="O35" s="1298"/>
      <c r="P35" s="1298"/>
      <c r="Q35" s="1298"/>
      <c r="R35" s="1298"/>
      <c r="S35" s="1298"/>
      <c r="T35" s="1298"/>
      <c r="U35" s="238"/>
      <c r="V35" s="238" t="s">
        <v>365</v>
      </c>
      <c r="W35" s="245"/>
      <c r="X35" s="245"/>
      <c r="Y35" s="238"/>
      <c r="Z35" s="238"/>
      <c r="AA35" s="1298"/>
      <c r="AB35" s="1298"/>
      <c r="AC35" s="1298"/>
      <c r="AD35" s="1303" t="s">
        <v>329</v>
      </c>
      <c r="AE35" s="1303"/>
      <c r="AF35" s="1298"/>
      <c r="AG35" s="1298"/>
      <c r="AH35" s="1303" t="s">
        <v>330</v>
      </c>
      <c r="AI35" s="1303"/>
      <c r="AJ35" s="1298"/>
      <c r="AK35" s="1298"/>
      <c r="AL35" s="240" t="s">
        <v>331</v>
      </c>
      <c r="AM35" s="241"/>
      <c r="BB35" s="189">
        <v>25</v>
      </c>
    </row>
    <row r="36" spans="1:54" ht="1.5" customHeight="1">
      <c r="A36" s="251"/>
      <c r="B36" s="211"/>
      <c r="C36" s="252"/>
      <c r="D36" s="252"/>
      <c r="E36" s="252"/>
      <c r="F36" s="252"/>
      <c r="G36" s="252"/>
      <c r="H36" s="252"/>
      <c r="I36" s="252"/>
      <c r="J36" s="252"/>
      <c r="K36" s="252"/>
      <c r="L36" s="252"/>
      <c r="M36" s="252"/>
      <c r="N36" s="252"/>
      <c r="O36" s="252"/>
      <c r="P36" s="252"/>
      <c r="Q36" s="252"/>
      <c r="R36" s="252"/>
      <c r="S36" s="252"/>
      <c r="T36" s="252"/>
      <c r="U36" s="252"/>
      <c r="V36" s="252"/>
      <c r="W36" s="252"/>
      <c r="X36" s="252"/>
      <c r="Y36" s="252"/>
      <c r="Z36" s="252"/>
      <c r="AA36" s="252"/>
      <c r="AB36" s="252"/>
      <c r="AC36" s="252"/>
      <c r="AD36" s="252"/>
      <c r="AE36" s="252"/>
      <c r="AF36" s="252"/>
      <c r="AG36" s="252"/>
      <c r="AH36" s="252"/>
      <c r="AI36" s="252"/>
      <c r="AJ36" s="252"/>
      <c r="AK36" s="252"/>
      <c r="AL36" s="252"/>
      <c r="AM36" s="253"/>
      <c r="BB36" s="189">
        <v>26</v>
      </c>
    </row>
    <row r="37" spans="1:54">
      <c r="A37" s="233" t="s">
        <v>366</v>
      </c>
      <c r="B37" s="234"/>
      <c r="C37" s="234"/>
      <c r="D37" s="234"/>
      <c r="E37" s="234"/>
      <c r="F37" s="234"/>
      <c r="G37" s="234"/>
      <c r="H37" s="234"/>
      <c r="I37" s="234"/>
      <c r="J37" s="234"/>
      <c r="K37" s="234"/>
      <c r="L37" s="234"/>
      <c r="M37" s="234"/>
      <c r="N37" s="234"/>
      <c r="O37" s="234"/>
      <c r="P37" s="234"/>
      <c r="Q37" s="234"/>
      <c r="R37" s="234"/>
      <c r="S37" s="234"/>
      <c r="T37" s="261" t="s">
        <v>367</v>
      </c>
      <c r="U37" s="234"/>
      <c r="V37" s="234"/>
      <c r="W37" s="234"/>
      <c r="X37" s="234"/>
      <c r="Y37" s="234"/>
      <c r="Z37" s="234"/>
      <c r="AA37" s="234"/>
      <c r="AB37" s="234"/>
      <c r="AC37" s="234"/>
      <c r="AD37" s="234"/>
      <c r="AE37" s="234"/>
      <c r="AF37" s="234"/>
      <c r="AG37" s="234"/>
      <c r="AH37" s="234"/>
      <c r="AI37" s="234"/>
      <c r="AJ37" s="234"/>
      <c r="AK37" s="234"/>
      <c r="AL37" s="234"/>
      <c r="AM37" s="236"/>
      <c r="BB37" s="189">
        <v>27</v>
      </c>
    </row>
    <row r="38" spans="1:54">
      <c r="A38" s="233"/>
      <c r="B38" s="234"/>
      <c r="C38" s="262" t="s">
        <v>368</v>
      </c>
      <c r="D38" s="211" t="s">
        <v>369</v>
      </c>
      <c r="E38" s="234"/>
      <c r="F38" s="234"/>
      <c r="G38" s="234"/>
      <c r="H38" s="234" t="s">
        <v>370</v>
      </c>
      <c r="I38" s="234"/>
      <c r="J38" s="234"/>
      <c r="K38" s="262"/>
      <c r="L38" s="211"/>
      <c r="M38" s="211" t="s">
        <v>371</v>
      </c>
      <c r="N38" s="234"/>
      <c r="O38" s="234"/>
      <c r="P38" s="234"/>
      <c r="Q38" s="234"/>
      <c r="R38" s="234"/>
      <c r="S38" s="234" t="s">
        <v>372</v>
      </c>
      <c r="T38" s="234"/>
      <c r="U38" s="262"/>
      <c r="V38" s="262"/>
      <c r="W38" s="262"/>
      <c r="X38" s="262"/>
      <c r="Y38" s="262"/>
      <c r="Z38" s="211"/>
      <c r="AA38" s="262" t="s">
        <v>124</v>
      </c>
      <c r="AB38" s="211" t="s">
        <v>373</v>
      </c>
      <c r="AC38" s="234"/>
      <c r="AD38" s="211"/>
      <c r="AE38" s="234"/>
      <c r="AF38" s="211"/>
      <c r="AG38" s="234" t="s">
        <v>368</v>
      </c>
      <c r="AH38" s="211" t="s">
        <v>374</v>
      </c>
      <c r="AI38" s="234"/>
      <c r="AJ38" s="234"/>
      <c r="AK38" s="234"/>
      <c r="AL38" s="234"/>
      <c r="AM38" s="236"/>
      <c r="BB38" s="189">
        <v>28</v>
      </c>
    </row>
    <row r="39" spans="1:54" s="242" customFormat="1">
      <c r="A39" s="256"/>
      <c r="B39" s="245"/>
      <c r="C39" s="245"/>
      <c r="D39" s="238" t="s">
        <v>375</v>
      </c>
      <c r="E39" s="238"/>
      <c r="F39" s="238"/>
      <c r="G39" s="238"/>
      <c r="H39" s="238"/>
      <c r="I39" s="238" t="s">
        <v>376</v>
      </c>
      <c r="J39" s="238"/>
      <c r="K39" s="238"/>
      <c r="L39" s="238"/>
      <c r="M39" s="238"/>
      <c r="N39" s="238" t="s">
        <v>377</v>
      </c>
      <c r="O39" s="238"/>
      <c r="P39" s="238"/>
      <c r="Q39" s="238"/>
      <c r="R39" s="238"/>
      <c r="S39" s="238"/>
      <c r="T39" s="238" t="s">
        <v>378</v>
      </c>
      <c r="U39" s="238"/>
      <c r="V39" s="238"/>
      <c r="W39" s="238"/>
      <c r="X39" s="245"/>
      <c r="Y39" s="238"/>
      <c r="Z39" s="245"/>
      <c r="AA39" s="238" t="s">
        <v>379</v>
      </c>
      <c r="AB39" s="245"/>
      <c r="AC39" s="245"/>
      <c r="AD39" s="245"/>
      <c r="AE39" s="245"/>
      <c r="AF39" s="245"/>
      <c r="AG39" s="245"/>
      <c r="AH39" s="245" t="s">
        <v>380</v>
      </c>
      <c r="AI39" s="245"/>
      <c r="AJ39" s="245"/>
      <c r="AK39" s="245"/>
      <c r="AL39" s="245"/>
      <c r="AM39" s="241"/>
      <c r="BB39" s="189">
        <v>29</v>
      </c>
    </row>
    <row r="40" spans="1:54">
      <c r="A40" s="251"/>
      <c r="B40" s="211"/>
      <c r="C40" s="262" t="s">
        <v>124</v>
      </c>
      <c r="D40" s="211" t="s">
        <v>381</v>
      </c>
      <c r="E40" s="211"/>
      <c r="F40" s="211"/>
      <c r="G40" s="211"/>
      <c r="H40" s="211"/>
      <c r="I40" s="211"/>
      <c r="J40" s="211"/>
      <c r="K40" s="262" t="s">
        <v>124</v>
      </c>
      <c r="L40" s="211" t="s">
        <v>382</v>
      </c>
      <c r="M40" s="211"/>
      <c r="N40" s="211"/>
      <c r="O40" s="211"/>
      <c r="P40" s="211"/>
      <c r="Q40" s="211"/>
      <c r="R40" s="262"/>
      <c r="S40" s="262" t="s">
        <v>124</v>
      </c>
      <c r="T40" s="211" t="s">
        <v>383</v>
      </c>
      <c r="U40" s="211"/>
      <c r="V40" s="211"/>
      <c r="W40" s="211"/>
      <c r="X40" s="211"/>
      <c r="Y40" s="262"/>
      <c r="Z40" s="211"/>
      <c r="AA40" s="262" t="s">
        <v>124</v>
      </c>
      <c r="AB40" s="211" t="s">
        <v>384</v>
      </c>
      <c r="AC40" s="211"/>
      <c r="AD40" s="211"/>
      <c r="AE40" s="262"/>
      <c r="AF40" s="211"/>
      <c r="AG40" s="262" t="s">
        <v>124</v>
      </c>
      <c r="AH40" s="211" t="s">
        <v>385</v>
      </c>
      <c r="AI40" s="211"/>
      <c r="AJ40" s="211"/>
      <c r="AK40" s="211"/>
      <c r="AL40" s="211"/>
      <c r="AM40" s="253"/>
      <c r="BB40" s="189">
        <v>30</v>
      </c>
    </row>
    <row r="41" spans="1:54" s="242" customFormat="1">
      <c r="A41" s="256"/>
      <c r="B41" s="245"/>
      <c r="C41" s="245"/>
      <c r="D41" s="238" t="s">
        <v>386</v>
      </c>
      <c r="E41" s="238"/>
      <c r="F41" s="238"/>
      <c r="G41" s="238"/>
      <c r="H41" s="238"/>
      <c r="I41" s="238"/>
      <c r="J41" s="238"/>
      <c r="K41" s="238" t="s">
        <v>387</v>
      </c>
      <c r="L41" s="238"/>
      <c r="M41" s="238"/>
      <c r="N41" s="238"/>
      <c r="O41" s="238"/>
      <c r="P41" s="238"/>
      <c r="Q41" s="238"/>
      <c r="R41" s="238"/>
      <c r="S41" s="238" t="s">
        <v>388</v>
      </c>
      <c r="T41" s="238"/>
      <c r="U41" s="238"/>
      <c r="V41" s="238"/>
      <c r="W41" s="238"/>
      <c r="X41" s="245"/>
      <c r="Y41" s="238"/>
      <c r="Z41" s="238"/>
      <c r="AA41" s="238"/>
      <c r="AB41" s="238" t="s">
        <v>389</v>
      </c>
      <c r="AC41" s="245"/>
      <c r="AD41" s="245"/>
      <c r="AE41" s="238"/>
      <c r="AF41" s="238"/>
      <c r="AG41" s="238"/>
      <c r="AH41" s="238" t="s">
        <v>390</v>
      </c>
      <c r="AI41" s="245"/>
      <c r="AJ41" s="245"/>
      <c r="AK41" s="245"/>
      <c r="AL41" s="245"/>
      <c r="AM41" s="241"/>
      <c r="BB41" s="189">
        <v>31</v>
      </c>
    </row>
    <row r="42" spans="1:54">
      <c r="A42" s="233"/>
      <c r="B42" s="234"/>
      <c r="C42" s="262" t="s">
        <v>368</v>
      </c>
      <c r="D42" s="211" t="s">
        <v>391</v>
      </c>
      <c r="E42" s="234"/>
      <c r="F42" s="234"/>
      <c r="G42" s="234"/>
      <c r="H42" s="234"/>
      <c r="I42" s="234"/>
      <c r="J42" s="234"/>
      <c r="K42" s="234"/>
      <c r="L42" s="262"/>
      <c r="M42" s="262"/>
      <c r="N42" s="262" t="s">
        <v>392</v>
      </c>
      <c r="O42" s="211" t="s">
        <v>393</v>
      </c>
      <c r="P42" s="234"/>
      <c r="Q42" s="234"/>
      <c r="R42" s="234"/>
      <c r="S42" s="262" t="s">
        <v>368</v>
      </c>
      <c r="T42" s="211" t="s">
        <v>394</v>
      </c>
      <c r="U42" s="234"/>
      <c r="V42" s="234"/>
      <c r="W42" s="234"/>
      <c r="X42" s="234"/>
      <c r="Y42" s="234"/>
      <c r="Z42" s="234"/>
      <c r="AA42" s="262" t="s">
        <v>124</v>
      </c>
      <c r="AB42" s="211" t="s">
        <v>395</v>
      </c>
      <c r="AC42" s="234"/>
      <c r="AD42" s="234"/>
      <c r="AE42" s="234"/>
      <c r="AF42" s="234"/>
      <c r="AG42" s="262" t="s">
        <v>296</v>
      </c>
      <c r="AH42" s="211" t="s">
        <v>396</v>
      </c>
      <c r="AI42" s="234"/>
      <c r="AJ42" s="234"/>
      <c r="AK42" s="234"/>
      <c r="AL42" s="234"/>
      <c r="AM42" s="236"/>
    </row>
    <row r="43" spans="1:54" s="242" customFormat="1" ht="9.75">
      <c r="A43" s="256"/>
      <c r="B43" s="245"/>
      <c r="C43" s="245"/>
      <c r="D43" s="238" t="s">
        <v>397</v>
      </c>
      <c r="E43" s="238"/>
      <c r="F43" s="238"/>
      <c r="G43" s="238"/>
      <c r="H43" s="238"/>
      <c r="I43" s="238"/>
      <c r="J43" s="238"/>
      <c r="K43" s="238"/>
      <c r="L43" s="238"/>
      <c r="M43" s="238"/>
      <c r="N43" s="238"/>
      <c r="O43" s="238" t="s">
        <v>398</v>
      </c>
      <c r="P43" s="238"/>
      <c r="Q43" s="238"/>
      <c r="R43" s="238"/>
      <c r="S43" s="238"/>
      <c r="T43" s="238" t="s">
        <v>399</v>
      </c>
      <c r="U43" s="238"/>
      <c r="V43" s="238"/>
      <c r="W43" s="238"/>
      <c r="X43" s="238"/>
      <c r="Y43" s="238"/>
      <c r="Z43" s="238"/>
      <c r="AA43" s="245"/>
      <c r="AB43" s="238" t="s">
        <v>400</v>
      </c>
      <c r="AC43" s="245"/>
      <c r="AD43" s="238"/>
      <c r="AE43" s="238"/>
      <c r="AF43" s="238"/>
      <c r="AG43" s="245"/>
      <c r="AH43" s="238" t="s">
        <v>401</v>
      </c>
      <c r="AI43" s="245"/>
      <c r="AJ43" s="245"/>
      <c r="AK43" s="245"/>
      <c r="AL43" s="245"/>
      <c r="AM43" s="241"/>
    </row>
    <row r="44" spans="1:54">
      <c r="A44" s="233"/>
      <c r="B44" s="234"/>
      <c r="C44" s="262" t="s">
        <v>124</v>
      </c>
      <c r="D44" s="211" t="s">
        <v>402</v>
      </c>
      <c r="E44" s="234"/>
      <c r="F44" s="234"/>
      <c r="G44" s="263"/>
      <c r="H44" s="234" t="s">
        <v>403</v>
      </c>
      <c r="I44" s="234"/>
      <c r="J44" s="211"/>
      <c r="K44" s="263"/>
      <c r="L44" s="263"/>
      <c r="M44" s="263"/>
      <c r="N44" s="263"/>
      <c r="O44" s="263"/>
      <c r="P44" s="262" t="s">
        <v>392</v>
      </c>
      <c r="Q44" s="211" t="s">
        <v>404</v>
      </c>
      <c r="R44" s="211"/>
      <c r="S44" s="263"/>
      <c r="T44" s="263"/>
      <c r="U44" s="263"/>
      <c r="V44" s="262" t="s">
        <v>392</v>
      </c>
      <c r="W44" s="211" t="s">
        <v>405</v>
      </c>
      <c r="X44" s="211"/>
      <c r="Y44" s="263"/>
      <c r="Z44" s="263"/>
      <c r="AA44" s="263"/>
      <c r="AB44" s="263"/>
      <c r="AC44" s="262" t="s">
        <v>392</v>
      </c>
      <c r="AD44" s="234" t="s">
        <v>406</v>
      </c>
      <c r="AE44" s="234"/>
      <c r="AF44" s="234"/>
      <c r="AG44" s="263"/>
      <c r="AH44" s="263"/>
      <c r="AI44" s="263"/>
      <c r="AJ44" s="263"/>
      <c r="AK44" s="263"/>
      <c r="AL44" s="263"/>
      <c r="AM44" s="236"/>
    </row>
    <row r="45" spans="1:54" s="242" customFormat="1" ht="9.75">
      <c r="A45" s="256"/>
      <c r="B45" s="245"/>
      <c r="C45" s="238"/>
      <c r="D45" s="238" t="s">
        <v>407</v>
      </c>
      <c r="E45" s="238"/>
      <c r="F45" s="238"/>
      <c r="G45" s="245"/>
      <c r="H45" s="238"/>
      <c r="I45" s="238" t="s">
        <v>408</v>
      </c>
      <c r="J45" s="238"/>
      <c r="K45" s="238"/>
      <c r="L45" s="238"/>
      <c r="M45" s="238"/>
      <c r="N45" s="238"/>
      <c r="O45" s="238"/>
      <c r="P45" s="245"/>
      <c r="Q45" s="238" t="s">
        <v>409</v>
      </c>
      <c r="R45" s="238"/>
      <c r="S45" s="238"/>
      <c r="T45" s="238"/>
      <c r="U45" s="238"/>
      <c r="V45" s="238"/>
      <c r="W45" s="238" t="s">
        <v>410</v>
      </c>
      <c r="X45" s="238"/>
      <c r="Y45" s="238"/>
      <c r="Z45" s="238"/>
      <c r="AA45" s="238"/>
      <c r="AB45" s="238"/>
      <c r="AC45" s="238"/>
      <c r="AD45" s="238" t="s">
        <v>411</v>
      </c>
      <c r="AE45" s="238"/>
      <c r="AF45" s="238"/>
      <c r="AG45" s="245"/>
      <c r="AH45" s="245"/>
      <c r="AI45" s="245"/>
      <c r="AJ45" s="245"/>
      <c r="AK45" s="245"/>
      <c r="AL45" s="245"/>
      <c r="AM45" s="241"/>
    </row>
    <row r="46" spans="1:54">
      <c r="A46" s="233"/>
      <c r="B46" s="234"/>
      <c r="C46" s="262" t="s">
        <v>124</v>
      </c>
      <c r="D46" s="211" t="s">
        <v>412</v>
      </c>
      <c r="E46" s="234"/>
      <c r="F46" s="234"/>
      <c r="G46" s="234"/>
      <c r="H46" s="234"/>
      <c r="I46" s="234"/>
      <c r="J46" s="234"/>
      <c r="K46" s="262"/>
      <c r="L46" s="234"/>
      <c r="M46" s="262" t="s">
        <v>124</v>
      </c>
      <c r="N46" s="234" t="s">
        <v>413</v>
      </c>
      <c r="O46" s="234"/>
      <c r="P46" s="234"/>
      <c r="Q46" s="234"/>
      <c r="R46" s="234"/>
      <c r="S46" s="234"/>
      <c r="T46" s="234"/>
      <c r="U46" s="234"/>
      <c r="V46" s="234" t="s">
        <v>414</v>
      </c>
      <c r="W46" s="234"/>
      <c r="X46" s="234"/>
      <c r="Y46" s="234"/>
      <c r="Z46" s="234"/>
      <c r="AA46" s="234"/>
      <c r="AB46" s="234"/>
      <c r="AC46" s="262" t="s">
        <v>124</v>
      </c>
      <c r="AD46" s="234" t="s">
        <v>415</v>
      </c>
      <c r="AE46" s="234"/>
      <c r="AF46" s="234"/>
      <c r="AG46" s="262"/>
      <c r="AH46" s="234"/>
      <c r="AI46" s="234"/>
      <c r="AJ46" s="234"/>
      <c r="AK46" s="234"/>
      <c r="AL46" s="234"/>
      <c r="AM46" s="236"/>
    </row>
    <row r="47" spans="1:54" s="242" customFormat="1" ht="9.75">
      <c r="A47" s="256"/>
      <c r="B47" s="245"/>
      <c r="C47" s="245"/>
      <c r="D47" s="238" t="s">
        <v>416</v>
      </c>
      <c r="E47" s="238"/>
      <c r="F47" s="238"/>
      <c r="G47" s="238"/>
      <c r="H47" s="238"/>
      <c r="I47" s="238"/>
      <c r="J47" s="238"/>
      <c r="K47" s="238"/>
      <c r="L47" s="238"/>
      <c r="M47" s="238"/>
      <c r="N47" s="238" t="s">
        <v>417</v>
      </c>
      <c r="O47" s="238"/>
      <c r="P47" s="238"/>
      <c r="Q47" s="238"/>
      <c r="R47" s="238"/>
      <c r="S47" s="238"/>
      <c r="T47" s="238"/>
      <c r="U47" s="238"/>
      <c r="V47" s="238"/>
      <c r="W47" s="238" t="s">
        <v>418</v>
      </c>
      <c r="X47" s="238"/>
      <c r="Y47" s="238"/>
      <c r="Z47" s="238"/>
      <c r="AA47" s="238"/>
      <c r="AB47" s="238"/>
      <c r="AC47" s="238"/>
      <c r="AD47" s="238" t="s">
        <v>419</v>
      </c>
      <c r="AE47" s="238"/>
      <c r="AF47" s="238"/>
      <c r="AG47" s="238"/>
      <c r="AH47" s="238"/>
      <c r="AI47" s="245"/>
      <c r="AJ47" s="245"/>
      <c r="AK47" s="245"/>
      <c r="AL47" s="245"/>
      <c r="AM47" s="241"/>
    </row>
    <row r="48" spans="1:54">
      <c r="A48" s="264" t="s">
        <v>420</v>
      </c>
      <c r="B48" s="210"/>
      <c r="C48" s="210"/>
      <c r="D48" s="210"/>
      <c r="E48" s="210"/>
      <c r="F48" s="210"/>
      <c r="G48" s="210"/>
      <c r="H48" s="1297">
        <f>IF(初期設定!B6="","未記入",初期設定!B6)</f>
        <v>2017</v>
      </c>
      <c r="I48" s="1297"/>
      <c r="J48" s="1297"/>
      <c r="K48" s="1309" t="s">
        <v>4</v>
      </c>
      <c r="L48" s="1309"/>
      <c r="M48" s="1297">
        <f>IF(初期設定!D6="","未記入",初期設定!D6)</f>
        <v>10</v>
      </c>
      <c r="N48" s="1297"/>
      <c r="O48" s="1309" t="s">
        <v>34</v>
      </c>
      <c r="P48" s="1309"/>
      <c r="Q48" s="1297">
        <f>IF(初期設定!F6="","未記入",初期設定!F6)</f>
        <v>11</v>
      </c>
      <c r="R48" s="1297"/>
      <c r="S48" s="235" t="s">
        <v>6</v>
      </c>
      <c r="T48" s="234"/>
      <c r="U48" s="234" t="s">
        <v>421</v>
      </c>
      <c r="V48" s="234"/>
      <c r="W48" s="234"/>
      <c r="X48" s="234"/>
      <c r="Y48" s="234"/>
      <c r="Z48" s="234"/>
      <c r="AA48" s="1297" t="s">
        <v>1270</v>
      </c>
      <c r="AB48" s="1297"/>
      <c r="AC48" s="1297"/>
      <c r="AD48" s="1297"/>
      <c r="AE48" s="1297"/>
      <c r="AF48" s="1297"/>
      <c r="AG48" s="1297"/>
      <c r="AH48" s="1297"/>
      <c r="AI48" s="1297"/>
      <c r="AJ48" s="1297"/>
      <c r="AK48" s="1297"/>
      <c r="AL48" s="1297"/>
      <c r="AM48" s="236"/>
    </row>
    <row r="49" spans="1:44" s="242" customFormat="1" ht="9.75">
      <c r="A49" s="256"/>
      <c r="B49" s="238" t="s">
        <v>422</v>
      </c>
      <c r="C49" s="245"/>
      <c r="D49" s="238"/>
      <c r="E49" s="238"/>
      <c r="F49" s="238"/>
      <c r="G49" s="238"/>
      <c r="H49" s="1298"/>
      <c r="I49" s="1298"/>
      <c r="J49" s="1298"/>
      <c r="K49" s="1303" t="s">
        <v>329</v>
      </c>
      <c r="L49" s="1303"/>
      <c r="M49" s="1298"/>
      <c r="N49" s="1298"/>
      <c r="O49" s="1303" t="s">
        <v>330</v>
      </c>
      <c r="P49" s="1303"/>
      <c r="Q49" s="1298"/>
      <c r="R49" s="1298"/>
      <c r="S49" s="240" t="s">
        <v>331</v>
      </c>
      <c r="T49" s="238"/>
      <c r="U49" s="238"/>
      <c r="V49" s="238" t="s">
        <v>423</v>
      </c>
      <c r="W49" s="238"/>
      <c r="X49" s="245"/>
      <c r="Y49" s="245"/>
      <c r="Z49" s="245"/>
      <c r="AA49" s="1298"/>
      <c r="AB49" s="1298"/>
      <c r="AC49" s="1298"/>
      <c r="AD49" s="1298"/>
      <c r="AE49" s="1298"/>
      <c r="AF49" s="1298"/>
      <c r="AG49" s="1298"/>
      <c r="AH49" s="1298"/>
      <c r="AI49" s="1298"/>
      <c r="AJ49" s="1298"/>
      <c r="AK49" s="1298"/>
      <c r="AL49" s="1298"/>
      <c r="AM49" s="241"/>
    </row>
    <row r="50" spans="1:44" ht="1.5" customHeight="1">
      <c r="A50" s="251"/>
      <c r="B50" s="252"/>
      <c r="C50" s="211"/>
      <c r="D50" s="252"/>
      <c r="E50" s="252"/>
      <c r="F50" s="252"/>
      <c r="G50" s="252"/>
      <c r="H50" s="265"/>
      <c r="I50" s="265"/>
      <c r="J50" s="265"/>
      <c r="K50" s="266"/>
      <c r="L50" s="266"/>
      <c r="M50" s="265"/>
      <c r="N50" s="265"/>
      <c r="O50" s="266"/>
      <c r="P50" s="266"/>
      <c r="Q50" s="265"/>
      <c r="R50" s="265"/>
      <c r="S50" s="267"/>
      <c r="T50" s="252"/>
      <c r="U50" s="252"/>
      <c r="V50" s="252"/>
      <c r="W50" s="252"/>
      <c r="X50" s="211"/>
      <c r="Y50" s="211"/>
      <c r="Z50" s="211"/>
      <c r="AA50" s="265"/>
      <c r="AB50" s="265"/>
      <c r="AC50" s="265"/>
      <c r="AD50" s="265"/>
      <c r="AE50" s="265"/>
      <c r="AF50" s="265"/>
      <c r="AG50" s="265"/>
      <c r="AH50" s="265"/>
      <c r="AI50" s="265"/>
      <c r="AJ50" s="265"/>
      <c r="AK50" s="265"/>
      <c r="AL50" s="265"/>
      <c r="AM50" s="253"/>
    </row>
    <row r="51" spans="1:44">
      <c r="A51" s="233" t="s">
        <v>424</v>
      </c>
      <c r="B51" s="234"/>
      <c r="C51" s="234"/>
      <c r="D51" s="234"/>
      <c r="E51" s="234"/>
      <c r="F51" s="234"/>
      <c r="G51" s="234"/>
      <c r="H51" s="1322" t="str">
        <f>IF(初期設定!B4="1年半コース","1年6月",IF(初期設定!B4="1年9ヶ月コース","1年9月",IF(初期設定!B4="2年コース","2年","未記入")))</f>
        <v>1年6月</v>
      </c>
      <c r="I51" s="1297"/>
      <c r="J51" s="1297"/>
      <c r="K51" s="1297"/>
      <c r="L51" s="1297"/>
      <c r="M51" s="1297"/>
      <c r="N51" s="1297"/>
      <c r="O51" s="1297"/>
      <c r="P51" s="1297"/>
      <c r="Q51" s="1297"/>
      <c r="R51" s="1297"/>
      <c r="S51" s="1297"/>
      <c r="T51" s="234"/>
      <c r="U51" s="234" t="s">
        <v>425</v>
      </c>
      <c r="V51" s="234"/>
      <c r="W51" s="234"/>
      <c r="X51" s="234"/>
      <c r="Y51" s="234"/>
      <c r="Z51" s="234"/>
      <c r="AA51" s="234"/>
      <c r="AB51" s="234"/>
      <c r="AC51" s="234"/>
      <c r="AD51" s="235"/>
      <c r="AE51" s="1319" t="s">
        <v>341</v>
      </c>
      <c r="AF51" s="1319"/>
      <c r="AG51" s="1319"/>
      <c r="AH51" s="1319"/>
      <c r="AI51" s="234"/>
      <c r="AJ51" s="234"/>
      <c r="AK51" s="234"/>
      <c r="AL51" s="234"/>
      <c r="AM51" s="236"/>
    </row>
    <row r="52" spans="1:44" s="242" customFormat="1" ht="9.75">
      <c r="A52" s="256"/>
      <c r="B52" s="238" t="s">
        <v>426</v>
      </c>
      <c r="C52" s="245"/>
      <c r="D52" s="238"/>
      <c r="E52" s="238"/>
      <c r="F52" s="238"/>
      <c r="G52" s="238"/>
      <c r="H52" s="1298"/>
      <c r="I52" s="1298"/>
      <c r="J52" s="1298"/>
      <c r="K52" s="1298"/>
      <c r="L52" s="1298"/>
      <c r="M52" s="1298"/>
      <c r="N52" s="1298"/>
      <c r="O52" s="1298"/>
      <c r="P52" s="1298"/>
      <c r="Q52" s="1298"/>
      <c r="R52" s="1298"/>
      <c r="S52" s="1298"/>
      <c r="T52" s="238"/>
      <c r="U52" s="238"/>
      <c r="V52" s="238" t="s">
        <v>427</v>
      </c>
      <c r="W52" s="238"/>
      <c r="X52" s="238"/>
      <c r="Y52" s="238"/>
      <c r="Z52" s="238"/>
      <c r="AA52" s="238"/>
      <c r="AB52" s="238"/>
      <c r="AC52" s="238"/>
      <c r="AD52" s="238"/>
      <c r="AE52" s="1313" t="s">
        <v>428</v>
      </c>
      <c r="AF52" s="1313"/>
      <c r="AG52" s="1313"/>
      <c r="AH52" s="1313"/>
      <c r="AI52" s="238"/>
      <c r="AJ52" s="238"/>
      <c r="AK52" s="245"/>
      <c r="AL52" s="245"/>
      <c r="AM52" s="241"/>
    </row>
    <row r="53" spans="1:44" ht="3" customHeight="1">
      <c r="A53" s="251"/>
      <c r="B53" s="252"/>
      <c r="C53" s="211"/>
      <c r="D53" s="252"/>
      <c r="E53" s="252"/>
      <c r="F53" s="252"/>
      <c r="G53" s="252"/>
      <c r="H53" s="265"/>
      <c r="I53" s="265"/>
      <c r="J53" s="265"/>
      <c r="K53" s="265"/>
      <c r="L53" s="265"/>
      <c r="M53" s="265"/>
      <c r="N53" s="265"/>
      <c r="O53" s="265"/>
      <c r="P53" s="265"/>
      <c r="Q53" s="265"/>
      <c r="R53" s="265"/>
      <c r="S53" s="265"/>
      <c r="T53" s="252"/>
      <c r="U53" s="252"/>
      <c r="V53" s="252"/>
      <c r="W53" s="252"/>
      <c r="X53" s="252"/>
      <c r="Y53" s="252"/>
      <c r="Z53" s="252"/>
      <c r="AA53" s="252"/>
      <c r="AB53" s="252"/>
      <c r="AC53" s="252"/>
      <c r="AD53" s="252"/>
      <c r="AE53" s="266"/>
      <c r="AF53" s="266"/>
      <c r="AG53" s="266"/>
      <c r="AH53" s="266"/>
      <c r="AI53" s="252"/>
      <c r="AJ53" s="252"/>
      <c r="AK53" s="211"/>
      <c r="AL53" s="211"/>
      <c r="AM53" s="253"/>
    </row>
    <row r="54" spans="1:44">
      <c r="A54" s="233" t="s">
        <v>429</v>
      </c>
      <c r="B54" s="234"/>
      <c r="C54" s="234"/>
      <c r="D54" s="234"/>
      <c r="E54" s="234"/>
      <c r="F54" s="234"/>
      <c r="G54" s="234"/>
      <c r="H54" s="1320"/>
      <c r="I54" s="1320"/>
      <c r="J54" s="1320"/>
      <c r="K54" s="1320"/>
      <c r="L54" s="1320"/>
      <c r="M54" s="1320"/>
      <c r="N54" s="1320"/>
      <c r="O54" s="1320"/>
      <c r="P54" s="1320"/>
      <c r="Q54" s="1320"/>
      <c r="R54" s="1320"/>
      <c r="S54" s="1320"/>
      <c r="T54" s="1320"/>
      <c r="U54" s="1320"/>
      <c r="V54" s="234"/>
      <c r="W54" s="234"/>
      <c r="X54" s="234"/>
      <c r="Y54" s="234"/>
      <c r="Z54" s="234"/>
      <c r="AA54" s="234"/>
      <c r="AB54" s="234"/>
      <c r="AC54" s="1309"/>
      <c r="AD54" s="1309"/>
      <c r="AE54" s="1309"/>
      <c r="AF54" s="1309"/>
      <c r="AG54" s="1309"/>
      <c r="AH54" s="1309"/>
      <c r="AI54" s="1309"/>
      <c r="AJ54" s="1309"/>
      <c r="AK54" s="1309"/>
      <c r="AL54" s="1309"/>
      <c r="AM54" s="236"/>
    </row>
    <row r="55" spans="1:44" s="242" customFormat="1" ht="9.75">
      <c r="A55" s="256"/>
      <c r="B55" s="238" t="s">
        <v>431</v>
      </c>
      <c r="C55" s="245"/>
      <c r="D55" s="245"/>
      <c r="E55" s="245"/>
      <c r="F55" s="245"/>
      <c r="G55" s="245"/>
      <c r="H55" s="1321"/>
      <c r="I55" s="1321"/>
      <c r="J55" s="1321"/>
      <c r="K55" s="1321"/>
      <c r="L55" s="1321"/>
      <c r="M55" s="1321"/>
      <c r="N55" s="1321"/>
      <c r="O55" s="1321"/>
      <c r="P55" s="1321"/>
      <c r="Q55" s="1321"/>
      <c r="R55" s="1321"/>
      <c r="S55" s="1321"/>
      <c r="T55" s="1321"/>
      <c r="U55" s="1321"/>
      <c r="V55" s="245"/>
      <c r="W55" s="245"/>
      <c r="X55" s="245"/>
      <c r="Y55" s="245"/>
      <c r="Z55" s="245"/>
      <c r="AA55" s="245"/>
      <c r="AB55" s="245"/>
      <c r="AC55" s="245"/>
      <c r="AD55" s="245"/>
      <c r="AE55" s="245"/>
      <c r="AF55" s="245"/>
      <c r="AG55" s="245"/>
      <c r="AH55" s="245"/>
      <c r="AI55" s="245"/>
      <c r="AJ55" s="245"/>
      <c r="AK55" s="245"/>
      <c r="AL55" s="245"/>
      <c r="AM55" s="241"/>
    </row>
    <row r="56" spans="1:44" ht="3" customHeight="1">
      <c r="A56" s="251"/>
      <c r="B56" s="252"/>
      <c r="C56" s="211"/>
      <c r="D56" s="211"/>
      <c r="E56" s="211"/>
      <c r="F56" s="211"/>
      <c r="G56" s="211"/>
      <c r="H56" s="235"/>
      <c r="I56" s="235"/>
      <c r="J56" s="235"/>
      <c r="K56" s="235"/>
      <c r="L56" s="235"/>
      <c r="M56" s="235"/>
      <c r="N56" s="235"/>
      <c r="O56" s="235"/>
      <c r="P56" s="235"/>
      <c r="Q56" s="235"/>
      <c r="R56" s="235"/>
      <c r="S56" s="235"/>
      <c r="T56" s="235"/>
      <c r="U56" s="235"/>
      <c r="V56" s="211"/>
      <c r="W56" s="211"/>
      <c r="X56" s="211"/>
      <c r="Y56" s="211"/>
      <c r="Z56" s="211"/>
      <c r="AA56" s="211"/>
      <c r="AB56" s="211"/>
      <c r="AC56" s="211"/>
      <c r="AD56" s="211"/>
      <c r="AE56" s="211"/>
      <c r="AF56" s="211"/>
      <c r="AG56" s="211"/>
      <c r="AH56" s="211"/>
      <c r="AI56" s="211"/>
      <c r="AJ56" s="211"/>
      <c r="AK56" s="211"/>
      <c r="AL56" s="211"/>
      <c r="AM56" s="253"/>
    </row>
    <row r="57" spans="1:44">
      <c r="A57" s="233" t="s">
        <v>433</v>
      </c>
      <c r="B57" s="234"/>
      <c r="C57" s="234"/>
      <c r="D57" s="234"/>
      <c r="E57" s="234"/>
      <c r="F57" s="234"/>
      <c r="G57" s="234"/>
      <c r="H57" s="234"/>
      <c r="I57" s="1302"/>
      <c r="J57" s="1302"/>
      <c r="K57" s="1302"/>
      <c r="L57" s="234"/>
      <c r="M57" s="1319" t="s">
        <v>341</v>
      </c>
      <c r="N57" s="1319"/>
      <c r="O57" s="1319"/>
      <c r="P57" s="1319"/>
      <c r="Q57" s="263"/>
      <c r="R57" s="263"/>
      <c r="S57" s="263"/>
      <c r="T57" s="234"/>
      <c r="U57" s="234"/>
      <c r="V57" s="234"/>
      <c r="W57" s="234"/>
      <c r="X57" s="234"/>
      <c r="Y57" s="234"/>
      <c r="Z57" s="234"/>
      <c r="AA57" s="234"/>
      <c r="AB57" s="234"/>
      <c r="AC57" s="234"/>
      <c r="AD57" s="234"/>
      <c r="AE57" s="234"/>
      <c r="AF57" s="234"/>
      <c r="AG57" s="234"/>
      <c r="AH57" s="234"/>
      <c r="AI57" s="234"/>
      <c r="AJ57" s="234"/>
      <c r="AK57" s="234"/>
      <c r="AL57" s="234"/>
      <c r="AM57" s="236"/>
      <c r="AO57" s="610" t="s">
        <v>962</v>
      </c>
      <c r="AR57" s="609" t="str">
        <f>IF('01.入学願書'!P59="■","有",IF('01.入学願書'!D107="■","無","未記入"))</f>
        <v>無</v>
      </c>
    </row>
    <row r="58" spans="1:44" s="242" customFormat="1" ht="9.75">
      <c r="A58" s="256"/>
      <c r="B58" s="238" t="s">
        <v>435</v>
      </c>
      <c r="C58" s="245"/>
      <c r="D58" s="238"/>
      <c r="E58" s="238"/>
      <c r="F58" s="238"/>
      <c r="G58" s="238"/>
      <c r="H58" s="238"/>
      <c r="I58" s="1302"/>
      <c r="J58" s="1302"/>
      <c r="K58" s="1302"/>
      <c r="L58" s="245"/>
      <c r="M58" s="1313" t="s">
        <v>428</v>
      </c>
      <c r="N58" s="1313"/>
      <c r="O58" s="1313"/>
      <c r="P58" s="1313"/>
      <c r="Q58" s="268"/>
      <c r="R58" s="268"/>
      <c r="S58" s="268"/>
      <c r="T58" s="245"/>
      <c r="U58" s="245"/>
      <c r="V58" s="245"/>
      <c r="W58" s="245"/>
      <c r="X58" s="245"/>
      <c r="Y58" s="245"/>
      <c r="Z58" s="245"/>
      <c r="AA58" s="245"/>
      <c r="AB58" s="245"/>
      <c r="AC58" s="245"/>
      <c r="AD58" s="245"/>
      <c r="AE58" s="245"/>
      <c r="AF58" s="245"/>
      <c r="AG58" s="245"/>
      <c r="AH58" s="245"/>
      <c r="AI58" s="245"/>
      <c r="AJ58" s="245"/>
      <c r="AK58" s="245"/>
      <c r="AL58" s="245"/>
      <c r="AM58" s="241"/>
    </row>
    <row r="59" spans="1:44" s="242" customFormat="1" ht="9.75">
      <c r="A59" s="256"/>
      <c r="B59" s="245"/>
      <c r="C59" s="245" t="s">
        <v>437</v>
      </c>
      <c r="D59" s="245"/>
      <c r="E59" s="245"/>
      <c r="F59" s="245"/>
      <c r="G59" s="245"/>
      <c r="H59" s="245"/>
      <c r="I59" s="245"/>
      <c r="J59" s="238" t="s">
        <v>438</v>
      </c>
      <c r="K59" s="245"/>
      <c r="L59" s="238"/>
      <c r="M59" s="245"/>
      <c r="N59" s="245"/>
      <c r="O59" s="245"/>
      <c r="P59" s="245"/>
      <c r="Q59" s="245"/>
      <c r="R59" s="245"/>
      <c r="S59" s="245"/>
      <c r="T59" s="245"/>
      <c r="U59" s="245"/>
      <c r="V59" s="245"/>
      <c r="W59" s="245"/>
      <c r="X59" s="245"/>
      <c r="Y59" s="245"/>
      <c r="Z59" s="245"/>
      <c r="AA59" s="245"/>
      <c r="AB59" s="245"/>
      <c r="AC59" s="245"/>
      <c r="AD59" s="245"/>
      <c r="AE59" s="245"/>
      <c r="AF59" s="245"/>
      <c r="AG59" s="245"/>
      <c r="AH59" s="245"/>
      <c r="AI59" s="245"/>
      <c r="AJ59" s="245"/>
      <c r="AK59" s="245"/>
      <c r="AL59" s="245"/>
      <c r="AM59" s="241"/>
    </row>
    <row r="60" spans="1:44">
      <c r="A60" s="233"/>
      <c r="B60" s="234"/>
      <c r="C60" s="234" t="s">
        <v>440</v>
      </c>
      <c r="D60" s="234"/>
      <c r="E60" s="1320" t="str">
        <f>IF('01.入学願書'!S59="","",'01.入学願書'!S59)</f>
        <v/>
      </c>
      <c r="F60" s="1320"/>
      <c r="G60" s="234" t="s">
        <v>441</v>
      </c>
      <c r="H60" s="210"/>
      <c r="I60" s="210" t="s">
        <v>442</v>
      </c>
      <c r="J60" s="269"/>
      <c r="K60" s="269"/>
      <c r="L60" s="269"/>
      <c r="M60" s="269"/>
      <c r="N60" s="234"/>
      <c r="O60" s="1320"/>
      <c r="P60" s="1320"/>
      <c r="Q60" s="1309" t="s">
        <v>4</v>
      </c>
      <c r="R60" s="1309"/>
      <c r="S60" s="1320"/>
      <c r="T60" s="1320"/>
      <c r="U60" s="1309" t="s">
        <v>34</v>
      </c>
      <c r="V60" s="1309"/>
      <c r="W60" s="1320"/>
      <c r="X60" s="1320"/>
      <c r="Y60" s="235" t="s">
        <v>6</v>
      </c>
      <c r="Z60" s="1309" t="s">
        <v>443</v>
      </c>
      <c r="AA60" s="1309"/>
      <c r="AB60" s="1320"/>
      <c r="AC60" s="1320"/>
      <c r="AD60" s="1309" t="s">
        <v>4</v>
      </c>
      <c r="AE60" s="1309"/>
      <c r="AF60" s="1320"/>
      <c r="AG60" s="1320"/>
      <c r="AH60" s="1309" t="s">
        <v>34</v>
      </c>
      <c r="AI60" s="1309"/>
      <c r="AJ60" s="1320"/>
      <c r="AK60" s="1320"/>
      <c r="AL60" s="235" t="s">
        <v>6</v>
      </c>
      <c r="AM60" s="236"/>
    </row>
    <row r="61" spans="1:44" s="242" customFormat="1" ht="9.75">
      <c r="A61" s="256"/>
      <c r="B61" s="245"/>
      <c r="C61" s="245"/>
      <c r="D61" s="245"/>
      <c r="E61" s="1321"/>
      <c r="F61" s="1321"/>
      <c r="G61" s="246" t="s">
        <v>445</v>
      </c>
      <c r="H61" s="245"/>
      <c r="I61" s="238" t="s">
        <v>446</v>
      </c>
      <c r="J61" s="238"/>
      <c r="K61" s="245"/>
      <c r="L61" s="238"/>
      <c r="M61" s="1323" t="s">
        <v>447</v>
      </c>
      <c r="N61" s="1323"/>
      <c r="O61" s="1321"/>
      <c r="P61" s="1321"/>
      <c r="Q61" s="1303" t="s">
        <v>329</v>
      </c>
      <c r="R61" s="1303"/>
      <c r="S61" s="1321"/>
      <c r="T61" s="1321"/>
      <c r="U61" s="1303" t="s">
        <v>330</v>
      </c>
      <c r="V61" s="1303"/>
      <c r="W61" s="1321"/>
      <c r="X61" s="1321"/>
      <c r="Y61" s="240" t="s">
        <v>331</v>
      </c>
      <c r="Z61" s="1313" t="s">
        <v>448</v>
      </c>
      <c r="AA61" s="1313"/>
      <c r="AB61" s="1321"/>
      <c r="AC61" s="1321"/>
      <c r="AD61" s="1303" t="s">
        <v>329</v>
      </c>
      <c r="AE61" s="1303"/>
      <c r="AF61" s="1321"/>
      <c r="AG61" s="1321"/>
      <c r="AH61" s="1303" t="s">
        <v>330</v>
      </c>
      <c r="AI61" s="1303"/>
      <c r="AJ61" s="1321"/>
      <c r="AK61" s="1321"/>
      <c r="AL61" s="240" t="s">
        <v>331</v>
      </c>
      <c r="AM61" s="270"/>
    </row>
    <row r="62" spans="1:44" ht="3" customHeight="1">
      <c r="A62" s="251"/>
      <c r="B62" s="211"/>
      <c r="C62" s="211"/>
      <c r="D62" s="211"/>
      <c r="E62" s="211"/>
      <c r="F62" s="211"/>
      <c r="G62" s="211"/>
      <c r="H62" s="252"/>
      <c r="I62" s="252"/>
      <c r="J62" s="252"/>
      <c r="K62" s="252"/>
      <c r="L62" s="252"/>
      <c r="M62" s="252"/>
      <c r="N62" s="252"/>
      <c r="O62" s="252"/>
      <c r="P62" s="252"/>
      <c r="Q62" s="252"/>
      <c r="R62" s="252"/>
      <c r="S62" s="252"/>
      <c r="T62" s="252"/>
      <c r="U62" s="252"/>
      <c r="V62" s="252"/>
      <c r="W62" s="252"/>
      <c r="X62" s="252"/>
      <c r="Y62" s="252"/>
      <c r="Z62" s="252"/>
      <c r="AA62" s="252"/>
      <c r="AB62" s="252"/>
      <c r="AC62" s="252"/>
      <c r="AD62" s="252"/>
      <c r="AE62" s="252"/>
      <c r="AF62" s="252"/>
      <c r="AG62" s="252"/>
      <c r="AH62" s="252"/>
      <c r="AI62" s="252"/>
      <c r="AJ62" s="252"/>
      <c r="AK62" s="252"/>
      <c r="AL62" s="252"/>
      <c r="AM62" s="271"/>
    </row>
    <row r="63" spans="1:44">
      <c r="A63" s="233" t="s">
        <v>451</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52" t="s">
        <v>452</v>
      </c>
      <c r="AB63" s="234"/>
      <c r="AC63" s="234"/>
      <c r="AD63" s="234"/>
      <c r="AE63" s="234"/>
      <c r="AF63" s="234"/>
      <c r="AG63" s="234"/>
      <c r="AH63" s="234"/>
      <c r="AI63" s="234"/>
      <c r="AJ63" s="234"/>
      <c r="AK63" s="234"/>
      <c r="AL63" s="234"/>
      <c r="AM63" s="236"/>
    </row>
    <row r="64" spans="1:44">
      <c r="A64" s="233"/>
      <c r="B64" s="234"/>
      <c r="C64" s="210" t="s">
        <v>454</v>
      </c>
      <c r="D64" s="210" t="s">
        <v>455</v>
      </c>
      <c r="E64" s="210"/>
      <c r="F64" s="210"/>
      <c r="G64" s="210"/>
      <c r="H64" s="234"/>
      <c r="I64" s="1320"/>
      <c r="J64" s="1320"/>
      <c r="K64" s="1320"/>
      <c r="L64" s="1320"/>
      <c r="M64" s="1320"/>
      <c r="N64" s="1320"/>
      <c r="O64" s="1320"/>
      <c r="P64" s="1320"/>
      <c r="Q64" s="1320"/>
      <c r="R64" s="1320"/>
      <c r="S64" s="1320"/>
      <c r="T64" s="1320"/>
      <c r="U64" s="1320"/>
      <c r="V64" s="1320"/>
      <c r="W64" s="1320"/>
      <c r="X64" s="1320"/>
      <c r="Y64" s="1320"/>
      <c r="Z64" s="1320"/>
      <c r="AA64" s="1320"/>
      <c r="AB64" s="1320"/>
      <c r="AC64" s="1320"/>
      <c r="AD64" s="1320"/>
      <c r="AE64" s="1320"/>
      <c r="AF64" s="1320"/>
      <c r="AG64" s="1320"/>
      <c r="AH64" s="234" t="s">
        <v>456</v>
      </c>
      <c r="AI64" s="234"/>
      <c r="AJ64" s="234"/>
      <c r="AK64" s="234"/>
      <c r="AL64" s="234"/>
      <c r="AM64" s="236"/>
      <c r="AO64" s="610" t="s">
        <v>963</v>
      </c>
      <c r="AR64" s="609" t="str">
        <f>IF('01.入学願書'!V68="■","無",IF('01.入学願書'!AB68="■","有","未記入"))</f>
        <v>無</v>
      </c>
    </row>
    <row r="65" spans="1:51" s="242" customFormat="1" ht="9.75">
      <c r="A65" s="256"/>
      <c r="B65" s="245"/>
      <c r="C65" s="238" t="s">
        <v>458</v>
      </c>
      <c r="D65" s="238" t="s">
        <v>459</v>
      </c>
      <c r="E65" s="245"/>
      <c r="F65" s="238"/>
      <c r="G65" s="238"/>
      <c r="H65" s="238"/>
      <c r="I65" s="1321"/>
      <c r="J65" s="1321"/>
      <c r="K65" s="1321"/>
      <c r="L65" s="1321"/>
      <c r="M65" s="1321"/>
      <c r="N65" s="1321"/>
      <c r="O65" s="1321"/>
      <c r="P65" s="1321"/>
      <c r="Q65" s="1321"/>
      <c r="R65" s="1321"/>
      <c r="S65" s="1321"/>
      <c r="T65" s="1321"/>
      <c r="U65" s="1321"/>
      <c r="V65" s="1321"/>
      <c r="W65" s="1321"/>
      <c r="X65" s="1321"/>
      <c r="Y65" s="1321"/>
      <c r="Z65" s="1321"/>
      <c r="AA65" s="1321"/>
      <c r="AB65" s="1321"/>
      <c r="AC65" s="1321"/>
      <c r="AD65" s="1321"/>
      <c r="AE65" s="1321"/>
      <c r="AF65" s="1321"/>
      <c r="AG65" s="1321"/>
      <c r="AH65" s="238" t="s">
        <v>460</v>
      </c>
      <c r="AI65" s="238" t="s">
        <v>461</v>
      </c>
      <c r="AJ65" s="245"/>
      <c r="AK65" s="245"/>
      <c r="AL65" s="245"/>
      <c r="AM65" s="241"/>
    </row>
    <row r="66" spans="1:51" ht="3" customHeight="1">
      <c r="A66" s="251"/>
      <c r="B66" s="211"/>
      <c r="C66" s="252"/>
      <c r="D66" s="252"/>
      <c r="E66" s="252"/>
      <c r="F66" s="252"/>
      <c r="G66" s="252"/>
      <c r="H66" s="252"/>
      <c r="I66" s="252"/>
      <c r="J66" s="252"/>
      <c r="K66" s="252"/>
      <c r="L66" s="252"/>
      <c r="M66" s="252"/>
      <c r="N66" s="252"/>
      <c r="O66" s="252"/>
      <c r="P66" s="252"/>
      <c r="Q66" s="252"/>
      <c r="R66" s="252"/>
      <c r="S66" s="252"/>
      <c r="T66" s="252"/>
      <c r="U66" s="252"/>
      <c r="V66" s="252"/>
      <c r="W66" s="252"/>
      <c r="X66" s="252"/>
      <c r="Y66" s="252"/>
      <c r="Z66" s="252"/>
      <c r="AA66" s="252"/>
      <c r="AB66" s="252"/>
      <c r="AC66" s="252"/>
      <c r="AD66" s="252"/>
      <c r="AE66" s="252"/>
      <c r="AF66" s="252"/>
      <c r="AG66" s="252"/>
      <c r="AH66" s="252"/>
      <c r="AI66" s="252"/>
      <c r="AJ66" s="211"/>
      <c r="AK66" s="211"/>
      <c r="AL66" s="211"/>
      <c r="AM66" s="253"/>
    </row>
    <row r="67" spans="1:51">
      <c r="A67" s="233" t="s">
        <v>463</v>
      </c>
      <c r="B67" s="234"/>
      <c r="C67" s="234"/>
      <c r="D67" s="234"/>
      <c r="E67" s="234"/>
      <c r="F67" s="234"/>
      <c r="G67" s="234"/>
      <c r="H67" s="234"/>
      <c r="I67" s="234"/>
      <c r="J67" s="234"/>
      <c r="K67" s="234"/>
      <c r="L67" s="234"/>
      <c r="M67" s="234"/>
      <c r="N67" s="263"/>
      <c r="O67" s="263"/>
      <c r="P67" s="272"/>
      <c r="Q67" s="263"/>
      <c r="R67" s="263"/>
      <c r="S67" s="263"/>
      <c r="T67" s="1319" t="s">
        <v>464</v>
      </c>
      <c r="U67" s="1327"/>
      <c r="V67" s="1327"/>
      <c r="W67" s="234"/>
      <c r="X67" s="234"/>
      <c r="Y67" s="234"/>
      <c r="Z67" s="234"/>
      <c r="AA67" s="234"/>
      <c r="AB67" s="234"/>
      <c r="AC67" s="234"/>
      <c r="AD67" s="234"/>
      <c r="AE67" s="234"/>
      <c r="AF67" s="234"/>
      <c r="AG67" s="234"/>
      <c r="AH67" s="234"/>
      <c r="AI67" s="234"/>
      <c r="AJ67" s="234"/>
      <c r="AK67" s="234"/>
      <c r="AL67" s="234"/>
      <c r="AM67" s="236"/>
      <c r="AN67" s="273"/>
      <c r="AO67" s="273"/>
      <c r="AP67" s="273"/>
      <c r="AQ67" s="273"/>
      <c r="AR67" s="273"/>
      <c r="AS67" s="273"/>
      <c r="AT67" s="273"/>
      <c r="AU67" s="273"/>
      <c r="AV67" s="273"/>
      <c r="AW67" s="273"/>
    </row>
    <row r="68" spans="1:51" s="242" customFormat="1" ht="9">
      <c r="A68" s="237"/>
      <c r="B68" s="238" t="s">
        <v>465</v>
      </c>
      <c r="C68" s="238"/>
      <c r="D68" s="238"/>
      <c r="E68" s="238"/>
      <c r="F68" s="238"/>
      <c r="G68" s="238"/>
      <c r="H68" s="238"/>
      <c r="I68" s="238"/>
      <c r="J68" s="238"/>
      <c r="K68" s="238"/>
      <c r="L68" s="238"/>
      <c r="M68" s="238"/>
      <c r="N68" s="275"/>
      <c r="O68" s="275"/>
      <c r="P68" s="275"/>
      <c r="Q68" s="275"/>
      <c r="R68" s="275"/>
      <c r="S68" s="275"/>
      <c r="T68" s="1328" t="s">
        <v>428</v>
      </c>
      <c r="U68" s="1328"/>
      <c r="V68" s="1328"/>
      <c r="W68" s="238"/>
      <c r="X68" s="238"/>
      <c r="Y68" s="238"/>
      <c r="Z68" s="238"/>
      <c r="AA68" s="238"/>
      <c r="AB68" s="238"/>
      <c r="AC68" s="238"/>
      <c r="AD68" s="238"/>
      <c r="AE68" s="238"/>
      <c r="AF68" s="238"/>
      <c r="AG68" s="238"/>
      <c r="AH68" s="238"/>
      <c r="AI68" s="238"/>
      <c r="AJ68" s="238"/>
      <c r="AK68" s="238"/>
      <c r="AL68" s="238"/>
      <c r="AM68" s="270"/>
      <c r="AN68" s="276"/>
      <c r="AO68" s="276"/>
      <c r="AP68" s="276"/>
      <c r="AQ68" s="276"/>
      <c r="AR68" s="276"/>
      <c r="AS68" s="276"/>
      <c r="AT68" s="276"/>
      <c r="AU68" s="276"/>
      <c r="AV68" s="276"/>
      <c r="AW68" s="276"/>
      <c r="AX68" s="276"/>
    </row>
    <row r="69" spans="1:51">
      <c r="A69" s="233"/>
      <c r="B69" s="234"/>
      <c r="C69" s="211" t="s">
        <v>437</v>
      </c>
      <c r="D69" s="234"/>
      <c r="E69" s="234"/>
      <c r="F69" s="234"/>
      <c r="G69" s="234"/>
      <c r="H69" s="234"/>
      <c r="I69" s="234"/>
      <c r="J69" s="234"/>
      <c r="K69" s="234"/>
      <c r="L69" s="234"/>
      <c r="M69" s="234"/>
      <c r="N69" s="234" t="s">
        <v>440</v>
      </c>
      <c r="O69" s="234"/>
      <c r="P69" s="1297"/>
      <c r="Q69" s="1297"/>
      <c r="R69" s="1309" t="s">
        <v>441</v>
      </c>
      <c r="S69" s="1309"/>
      <c r="T69" s="234"/>
      <c r="U69" s="234" t="s">
        <v>466</v>
      </c>
      <c r="V69" s="234"/>
      <c r="W69" s="234"/>
      <c r="X69" s="234"/>
      <c r="Y69" s="234"/>
      <c r="Z69" s="234"/>
      <c r="AA69" s="234"/>
      <c r="AB69" s="1324"/>
      <c r="AC69" s="1324"/>
      <c r="AD69" s="1309" t="s">
        <v>4</v>
      </c>
      <c r="AE69" s="1309"/>
      <c r="AF69" s="1297"/>
      <c r="AG69" s="1297"/>
      <c r="AH69" s="1309" t="s">
        <v>34</v>
      </c>
      <c r="AI69" s="1309"/>
      <c r="AJ69" s="1324"/>
      <c r="AK69" s="1324"/>
      <c r="AL69" s="235" t="s">
        <v>6</v>
      </c>
      <c r="AM69" s="236"/>
      <c r="AN69" s="234"/>
      <c r="AO69" s="234"/>
      <c r="AP69" s="234"/>
      <c r="AQ69" s="234"/>
      <c r="AR69" s="234"/>
      <c r="AS69" s="234"/>
      <c r="AT69" s="234"/>
      <c r="AU69" s="234"/>
      <c r="AV69" s="234"/>
      <c r="AW69" s="234"/>
      <c r="AX69" s="234"/>
    </row>
    <row r="70" spans="1:51" s="242" customFormat="1" ht="9.75">
      <c r="A70" s="256"/>
      <c r="B70" s="245"/>
      <c r="C70" s="246" t="s">
        <v>467</v>
      </c>
      <c r="D70" s="277"/>
      <c r="E70" s="277"/>
      <c r="F70" s="277"/>
      <c r="G70" s="277"/>
      <c r="H70" s="245"/>
      <c r="I70" s="245"/>
      <c r="J70" s="245"/>
      <c r="K70" s="245"/>
      <c r="L70" s="245"/>
      <c r="M70" s="245"/>
      <c r="N70" s="245"/>
      <c r="O70" s="245"/>
      <c r="P70" s="1298"/>
      <c r="Q70" s="1298"/>
      <c r="R70" s="1313" t="s">
        <v>468</v>
      </c>
      <c r="S70" s="1313"/>
      <c r="T70" s="245"/>
      <c r="U70" s="1326" t="s">
        <v>469</v>
      </c>
      <c r="V70" s="1326"/>
      <c r="W70" s="1326"/>
      <c r="X70" s="1326"/>
      <c r="Y70" s="1326"/>
      <c r="Z70" s="1326"/>
      <c r="AA70" s="1326"/>
      <c r="AB70" s="1325"/>
      <c r="AC70" s="1325"/>
      <c r="AD70" s="1303" t="s">
        <v>329</v>
      </c>
      <c r="AE70" s="1303"/>
      <c r="AF70" s="1298"/>
      <c r="AG70" s="1298"/>
      <c r="AH70" s="1303" t="s">
        <v>330</v>
      </c>
      <c r="AI70" s="1303"/>
      <c r="AJ70" s="1325"/>
      <c r="AK70" s="1325"/>
      <c r="AL70" s="240" t="s">
        <v>331</v>
      </c>
      <c r="AM70" s="241"/>
      <c r="AN70" s="278"/>
      <c r="AO70" s="278"/>
      <c r="AP70" s="278"/>
      <c r="AQ70" s="278"/>
      <c r="AR70" s="278"/>
      <c r="AS70" s="278"/>
      <c r="AT70" s="278"/>
      <c r="AU70" s="278"/>
      <c r="AV70" s="278"/>
      <c r="AW70" s="278"/>
      <c r="AX70" s="278"/>
    </row>
    <row r="71" spans="1:51" ht="3" customHeight="1">
      <c r="A71" s="251"/>
      <c r="B71" s="211"/>
      <c r="C71" s="279"/>
      <c r="D71" s="279"/>
      <c r="E71" s="279"/>
      <c r="F71" s="279"/>
      <c r="G71" s="279"/>
      <c r="H71" s="211"/>
      <c r="I71" s="211"/>
      <c r="J71" s="211"/>
      <c r="K71" s="211"/>
      <c r="L71" s="211"/>
      <c r="M71" s="211"/>
      <c r="N71" s="211"/>
      <c r="O71" s="211"/>
      <c r="P71" s="211"/>
      <c r="Q71" s="211"/>
      <c r="R71" s="211"/>
      <c r="S71" s="211"/>
      <c r="T71" s="211"/>
      <c r="U71" s="211"/>
      <c r="V71" s="211"/>
      <c r="W71" s="211"/>
      <c r="X71" s="211"/>
      <c r="Y71" s="211"/>
      <c r="Z71" s="211"/>
      <c r="AA71" s="211"/>
      <c r="AB71" s="211"/>
      <c r="AC71" s="211"/>
      <c r="AD71" s="211"/>
      <c r="AE71" s="211"/>
      <c r="AF71" s="211"/>
      <c r="AG71" s="211"/>
      <c r="AH71" s="211"/>
      <c r="AI71" s="211"/>
      <c r="AJ71" s="211"/>
      <c r="AK71" s="211"/>
      <c r="AL71" s="211"/>
      <c r="AM71" s="253"/>
      <c r="AN71" s="280"/>
      <c r="AO71" s="280"/>
      <c r="AP71" s="280"/>
      <c r="AQ71" s="280"/>
      <c r="AR71" s="280"/>
      <c r="AS71" s="280"/>
      <c r="AT71" s="280"/>
      <c r="AU71" s="280"/>
      <c r="AV71" s="280"/>
      <c r="AW71" s="280"/>
      <c r="AX71" s="280"/>
    </row>
    <row r="72" spans="1:51">
      <c r="A72" s="233" t="s">
        <v>470</v>
      </c>
      <c r="B72" s="234"/>
      <c r="C72" s="234"/>
      <c r="D72" s="234"/>
      <c r="E72" s="234"/>
      <c r="F72" s="234"/>
      <c r="G72" s="234"/>
      <c r="H72" s="234"/>
      <c r="I72" s="234"/>
      <c r="J72" s="234"/>
      <c r="K72" s="234"/>
      <c r="L72" s="234"/>
      <c r="M72" s="234"/>
      <c r="N72" s="234"/>
      <c r="O72" s="234"/>
      <c r="P72" s="234"/>
      <c r="Q72" s="234"/>
      <c r="R72" s="234"/>
      <c r="S72" s="234"/>
      <c r="T72" s="234"/>
      <c r="U72" s="234"/>
      <c r="V72" s="234"/>
      <c r="W72" s="234"/>
      <c r="X72" s="234"/>
      <c r="Y72" s="234"/>
      <c r="Z72" s="234"/>
      <c r="AA72" s="234"/>
      <c r="AB72" s="234"/>
      <c r="AC72" s="234"/>
      <c r="AD72" s="234"/>
      <c r="AE72" s="234"/>
      <c r="AF72" s="234"/>
      <c r="AG72" s="234"/>
      <c r="AH72" s="234"/>
      <c r="AI72" s="234"/>
      <c r="AJ72" s="234"/>
      <c r="AK72" s="234"/>
      <c r="AL72" s="234"/>
      <c r="AM72" s="236"/>
      <c r="AN72" s="273"/>
      <c r="AO72" s="273"/>
      <c r="AP72" s="273"/>
      <c r="AQ72" s="273"/>
      <c r="AR72" s="273"/>
      <c r="AS72" s="273"/>
      <c r="AT72" s="273"/>
      <c r="AU72" s="273"/>
      <c r="AV72" s="273"/>
      <c r="AW72" s="273"/>
      <c r="AX72" s="273"/>
    </row>
    <row r="73" spans="1:51" s="242" customFormat="1" ht="9.75">
      <c r="A73" s="256"/>
      <c r="B73" s="238" t="s">
        <v>471</v>
      </c>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245"/>
      <c r="AL73" s="245"/>
      <c r="AM73" s="241"/>
      <c r="AN73" s="278"/>
      <c r="AO73" s="278"/>
      <c r="AP73" s="278"/>
      <c r="AQ73" s="278"/>
      <c r="AR73" s="278"/>
      <c r="AS73" s="278"/>
      <c r="AT73" s="278"/>
      <c r="AU73" s="278"/>
      <c r="AV73" s="278"/>
      <c r="AW73" s="278"/>
      <c r="AX73" s="278"/>
    </row>
    <row r="74" spans="1:51" ht="23.25" customHeight="1">
      <c r="A74" s="1341" t="s">
        <v>472</v>
      </c>
      <c r="B74" s="1342"/>
      <c r="C74" s="1342"/>
      <c r="D74" s="1343"/>
      <c r="E74" s="1341" t="s">
        <v>473</v>
      </c>
      <c r="F74" s="1342"/>
      <c r="G74" s="1342"/>
      <c r="H74" s="1342"/>
      <c r="I74" s="1342"/>
      <c r="J74" s="1342"/>
      <c r="K74" s="1342"/>
      <c r="L74" s="1343"/>
      <c r="M74" s="1341" t="s">
        <v>474</v>
      </c>
      <c r="N74" s="1342"/>
      <c r="O74" s="1342"/>
      <c r="P74" s="1343"/>
      <c r="Q74" s="1344" t="s">
        <v>475</v>
      </c>
      <c r="R74" s="1345"/>
      <c r="S74" s="1345"/>
      <c r="T74" s="1346"/>
      <c r="U74" s="1344" t="s">
        <v>174</v>
      </c>
      <c r="V74" s="1345"/>
      <c r="W74" s="1345"/>
      <c r="X74" s="1346"/>
      <c r="Y74" s="1341" t="s">
        <v>476</v>
      </c>
      <c r="Z74" s="1342"/>
      <c r="AA74" s="1342"/>
      <c r="AB74" s="1342"/>
      <c r="AC74" s="1342"/>
      <c r="AD74" s="1342"/>
      <c r="AE74" s="1343"/>
      <c r="AF74" s="1329" t="s">
        <v>477</v>
      </c>
      <c r="AG74" s="1330"/>
      <c r="AH74" s="1330"/>
      <c r="AI74" s="1330"/>
      <c r="AJ74" s="1330"/>
      <c r="AK74" s="1330"/>
      <c r="AL74" s="1330"/>
      <c r="AM74" s="1331"/>
      <c r="AN74" s="273"/>
      <c r="AO74" s="273"/>
      <c r="AP74" s="273"/>
      <c r="AQ74" s="273"/>
      <c r="AR74" s="273"/>
      <c r="AS74" s="273"/>
      <c r="AT74" s="273"/>
      <c r="AU74" s="273"/>
      <c r="AV74" s="273"/>
      <c r="AW74" s="273"/>
      <c r="AX74" s="273"/>
    </row>
    <row r="75" spans="1:51" ht="24.75" customHeight="1">
      <c r="A75" s="1332" t="s">
        <v>478</v>
      </c>
      <c r="B75" s="1333"/>
      <c r="C75" s="1333"/>
      <c r="D75" s="1334"/>
      <c r="E75" s="1332" t="s">
        <v>479</v>
      </c>
      <c r="F75" s="1333"/>
      <c r="G75" s="1333"/>
      <c r="H75" s="1333"/>
      <c r="I75" s="1333"/>
      <c r="J75" s="1333"/>
      <c r="K75" s="1333"/>
      <c r="L75" s="1334"/>
      <c r="M75" s="1332" t="s">
        <v>328</v>
      </c>
      <c r="N75" s="1333"/>
      <c r="O75" s="1333"/>
      <c r="P75" s="1334"/>
      <c r="Q75" s="1332" t="s">
        <v>480</v>
      </c>
      <c r="R75" s="1333"/>
      <c r="S75" s="1333"/>
      <c r="T75" s="1334"/>
      <c r="U75" s="1335" t="s">
        <v>481</v>
      </c>
      <c r="V75" s="1336"/>
      <c r="W75" s="1336"/>
      <c r="X75" s="1337"/>
      <c r="Y75" s="1332" t="s">
        <v>948</v>
      </c>
      <c r="Z75" s="1333"/>
      <c r="AA75" s="1333"/>
      <c r="AB75" s="1333"/>
      <c r="AC75" s="1333"/>
      <c r="AD75" s="1333"/>
      <c r="AE75" s="1334"/>
      <c r="AF75" s="1338" t="s">
        <v>482</v>
      </c>
      <c r="AG75" s="1339"/>
      <c r="AH75" s="1339"/>
      <c r="AI75" s="1339"/>
      <c r="AJ75" s="1339"/>
      <c r="AK75" s="1339"/>
      <c r="AL75" s="1339"/>
      <c r="AM75" s="1340"/>
      <c r="AN75" s="281"/>
      <c r="AO75" s="281"/>
      <c r="AP75" s="281"/>
      <c r="AQ75" s="281"/>
      <c r="AR75" s="281"/>
      <c r="AS75" s="281"/>
      <c r="AT75" s="281"/>
      <c r="AU75" s="281"/>
      <c r="AV75" s="281"/>
      <c r="AW75" s="281"/>
      <c r="AX75" s="281"/>
    </row>
    <row r="76" spans="1:51" ht="11.25" customHeight="1">
      <c r="A76" s="1347" t="str">
        <f>IF('01.入学願書'!B49="","なし",'01.入学願書'!B49)</f>
        <v>なし</v>
      </c>
      <c r="B76" s="1348"/>
      <c r="C76" s="1348"/>
      <c r="D76" s="1349"/>
      <c r="E76" s="1347" t="str">
        <f>IF('01.入学願書'!G49="","",'01.入学願書'!G49)</f>
        <v/>
      </c>
      <c r="F76" s="1348"/>
      <c r="G76" s="1348"/>
      <c r="H76" s="1348"/>
      <c r="I76" s="1348"/>
      <c r="J76" s="1348"/>
      <c r="K76" s="1348"/>
      <c r="L76" s="1349"/>
      <c r="M76" s="1347" t="str">
        <f>IF('01.入学願書'!O49="","",'01.入学願書'!O49&amp;"/"&amp;'01.入学願書'!T49&amp;"/"&amp;'01.入学願書'!W49)</f>
        <v/>
      </c>
      <c r="N76" s="1348"/>
      <c r="O76" s="1348"/>
      <c r="P76" s="1349"/>
      <c r="Q76" s="1347" t="str">
        <f>IF('01.入学願書'!AH49="","",'01.入学願書'!AH49)</f>
        <v/>
      </c>
      <c r="R76" s="1348"/>
      <c r="S76" s="1348"/>
      <c r="T76" s="1349"/>
      <c r="U76" s="1364" t="s">
        <v>483</v>
      </c>
      <c r="V76" s="1365"/>
      <c r="W76" s="1365"/>
      <c r="X76" s="1366"/>
      <c r="Y76" s="1347" t="str">
        <f>IF('01.入学願書'!AM49="","",'01.入学願書'!AM49)</f>
        <v/>
      </c>
      <c r="Z76" s="1348"/>
      <c r="AA76" s="1348"/>
      <c r="AB76" s="1348"/>
      <c r="AC76" s="1348"/>
      <c r="AD76" s="1348"/>
      <c r="AE76" s="1349"/>
      <c r="AF76" s="1347" t="str">
        <f>IF('01.入学願書'!AY49="","",'01.入学願書'!AY49)</f>
        <v/>
      </c>
      <c r="AG76" s="1348"/>
      <c r="AH76" s="1348"/>
      <c r="AI76" s="1348"/>
      <c r="AJ76" s="1348"/>
      <c r="AK76" s="1348"/>
      <c r="AL76" s="1348"/>
      <c r="AM76" s="1349"/>
      <c r="AN76" s="280"/>
      <c r="AO76" s="280" t="s">
        <v>959</v>
      </c>
      <c r="AP76" s="280"/>
      <c r="AQ76" s="280"/>
      <c r="AR76" s="611" t="str">
        <f>IF('01.入学願書'!AB49="■","有",IF('01.入学願書'!AE49="■","無","未記入"))</f>
        <v>未記入</v>
      </c>
      <c r="AS76" s="280"/>
      <c r="AT76" s="280"/>
      <c r="AU76" s="280"/>
      <c r="AV76" s="280"/>
      <c r="AW76" s="280"/>
      <c r="AY76" s="609" t="str">
        <f>IF('01.入学願書'!AB49="■","有",IF('01.入学願書'!AE49="■","無","未記入"))</f>
        <v>未記入</v>
      </c>
    </row>
    <row r="77" spans="1:51" ht="11.25" customHeight="1">
      <c r="A77" s="1350"/>
      <c r="B77" s="1351"/>
      <c r="C77" s="1351"/>
      <c r="D77" s="1352"/>
      <c r="E77" s="1350"/>
      <c r="F77" s="1351"/>
      <c r="G77" s="1351"/>
      <c r="H77" s="1351"/>
      <c r="I77" s="1351"/>
      <c r="J77" s="1351"/>
      <c r="K77" s="1351"/>
      <c r="L77" s="1352"/>
      <c r="M77" s="1350"/>
      <c r="N77" s="1351"/>
      <c r="O77" s="1351"/>
      <c r="P77" s="1352"/>
      <c r="Q77" s="1350"/>
      <c r="R77" s="1351"/>
      <c r="S77" s="1351"/>
      <c r="T77" s="1352"/>
      <c r="U77" s="1353" t="s">
        <v>428</v>
      </c>
      <c r="V77" s="1354"/>
      <c r="W77" s="1354"/>
      <c r="X77" s="1355"/>
      <c r="Y77" s="1350"/>
      <c r="Z77" s="1351"/>
      <c r="AA77" s="1351"/>
      <c r="AB77" s="1351"/>
      <c r="AC77" s="1351"/>
      <c r="AD77" s="1351"/>
      <c r="AE77" s="1352"/>
      <c r="AF77" s="1350"/>
      <c r="AG77" s="1351"/>
      <c r="AH77" s="1351"/>
      <c r="AI77" s="1351"/>
      <c r="AJ77" s="1351"/>
      <c r="AK77" s="1351"/>
      <c r="AL77" s="1351"/>
      <c r="AM77" s="1352"/>
      <c r="AN77" s="280"/>
      <c r="AO77" s="280"/>
      <c r="AP77" s="280"/>
      <c r="AQ77" s="280"/>
      <c r="AR77" s="612"/>
      <c r="AS77" s="280"/>
      <c r="AT77" s="280"/>
      <c r="AU77" s="280"/>
      <c r="AV77" s="280"/>
      <c r="AW77" s="280"/>
      <c r="AY77" s="609"/>
    </row>
    <row r="78" spans="1:51" ht="11.25" customHeight="1">
      <c r="A78" s="1356" t="str">
        <f>IF('01.入学願書'!B51="","",'01.入学願書'!B51)</f>
        <v/>
      </c>
      <c r="B78" s="1357"/>
      <c r="C78" s="1357"/>
      <c r="D78" s="1358"/>
      <c r="E78" s="1359" t="str">
        <f>IF('01.入学願書'!G51="","",'01.入学願書'!G51)</f>
        <v/>
      </c>
      <c r="F78" s="1297"/>
      <c r="G78" s="1297"/>
      <c r="H78" s="1297"/>
      <c r="I78" s="1297"/>
      <c r="J78" s="1297"/>
      <c r="K78" s="1297"/>
      <c r="L78" s="1360"/>
      <c r="M78" s="1359" t="str">
        <f>IF('01.入学願書'!O51="","",'01.入学願書'!O51&amp;"/"&amp;'01.入学願書'!T51&amp;"/"&amp;'01.入学願書'!W51)</f>
        <v/>
      </c>
      <c r="N78" s="1297"/>
      <c r="O78" s="1297"/>
      <c r="P78" s="1360"/>
      <c r="Q78" s="1359" t="str">
        <f>IF('01.入学願書'!AH51="","",'01.入学願書'!AH51)</f>
        <v/>
      </c>
      <c r="R78" s="1297"/>
      <c r="S78" s="1297"/>
      <c r="T78" s="1360"/>
      <c r="U78" s="1361" t="s">
        <v>483</v>
      </c>
      <c r="V78" s="1362"/>
      <c r="W78" s="1362"/>
      <c r="X78" s="1363"/>
      <c r="Y78" s="1359" t="str">
        <f>IF('01.入学願書'!AM51="","",'01.入学願書'!AM51)</f>
        <v/>
      </c>
      <c r="Z78" s="1297"/>
      <c r="AA78" s="1297"/>
      <c r="AB78" s="1297"/>
      <c r="AC78" s="1297"/>
      <c r="AD78" s="1297"/>
      <c r="AE78" s="1360"/>
      <c r="AF78" s="1359" t="str">
        <f>IF('01.入学願書'!AY51="","",'01.入学願書'!AY51)</f>
        <v/>
      </c>
      <c r="AG78" s="1297"/>
      <c r="AH78" s="1297"/>
      <c r="AI78" s="1297"/>
      <c r="AJ78" s="1297"/>
      <c r="AK78" s="1297"/>
      <c r="AL78" s="1297"/>
      <c r="AM78" s="1360"/>
      <c r="AN78" s="280"/>
      <c r="AO78" s="280" t="s">
        <v>959</v>
      </c>
      <c r="AP78" s="280"/>
      <c r="AQ78" s="280"/>
      <c r="AR78" s="611" t="str">
        <f>IF('01.入学願書'!AB51="■","有",IF('01.入学願書'!AE51="■","無","未記入"))</f>
        <v>未記入</v>
      </c>
      <c r="AS78" s="280"/>
      <c r="AT78" s="280"/>
      <c r="AU78" s="280"/>
      <c r="AV78" s="280"/>
      <c r="AW78" s="280"/>
      <c r="AY78" s="609" t="str">
        <f>IF('01.入学願書'!AB51="■","有",IF('01.入学願書'!AE51="■","無","未記入"))</f>
        <v>未記入</v>
      </c>
    </row>
    <row r="79" spans="1:51" ht="11.25" customHeight="1">
      <c r="A79" s="1350"/>
      <c r="B79" s="1351"/>
      <c r="C79" s="1351"/>
      <c r="D79" s="1352"/>
      <c r="E79" s="1350"/>
      <c r="F79" s="1351"/>
      <c r="G79" s="1351"/>
      <c r="H79" s="1351"/>
      <c r="I79" s="1351"/>
      <c r="J79" s="1351"/>
      <c r="K79" s="1351"/>
      <c r="L79" s="1352"/>
      <c r="M79" s="1350"/>
      <c r="N79" s="1351"/>
      <c r="O79" s="1351"/>
      <c r="P79" s="1352"/>
      <c r="Q79" s="1350"/>
      <c r="R79" s="1351"/>
      <c r="S79" s="1351"/>
      <c r="T79" s="1352"/>
      <c r="U79" s="1353" t="s">
        <v>428</v>
      </c>
      <c r="V79" s="1354"/>
      <c r="W79" s="1354"/>
      <c r="X79" s="1355"/>
      <c r="Y79" s="1350"/>
      <c r="Z79" s="1351"/>
      <c r="AA79" s="1351"/>
      <c r="AB79" s="1351"/>
      <c r="AC79" s="1351"/>
      <c r="AD79" s="1351"/>
      <c r="AE79" s="1352"/>
      <c r="AF79" s="1350"/>
      <c r="AG79" s="1351"/>
      <c r="AH79" s="1351"/>
      <c r="AI79" s="1351"/>
      <c r="AJ79" s="1351"/>
      <c r="AK79" s="1351"/>
      <c r="AL79" s="1351"/>
      <c r="AM79" s="1352"/>
      <c r="AN79" s="280"/>
      <c r="AO79" s="280"/>
      <c r="AP79" s="280"/>
      <c r="AQ79" s="280"/>
      <c r="AR79" s="611"/>
      <c r="AS79" s="280"/>
      <c r="AT79" s="280"/>
      <c r="AU79" s="280"/>
      <c r="AV79" s="280"/>
      <c r="AW79" s="280"/>
      <c r="AY79" s="609"/>
    </row>
    <row r="80" spans="1:51" ht="11.25" customHeight="1">
      <c r="A80" s="1359" t="str">
        <f>IF('01.入学願書'!B53="","",'01.入学願書'!B53)</f>
        <v/>
      </c>
      <c r="B80" s="1297"/>
      <c r="C80" s="1297"/>
      <c r="D80" s="1360"/>
      <c r="E80" s="1359" t="str">
        <f>IF('01.入学願書'!G53="","",'01.入学願書'!G53)</f>
        <v/>
      </c>
      <c r="F80" s="1297"/>
      <c r="G80" s="1297"/>
      <c r="H80" s="1297"/>
      <c r="I80" s="1297"/>
      <c r="J80" s="1297"/>
      <c r="K80" s="1297"/>
      <c r="L80" s="1360"/>
      <c r="M80" s="1359" t="str">
        <f>IF('01.入学願書'!O53="","",'01.入学願書'!O53&amp;"/"&amp;'01.入学願書'!T53&amp;"/"&amp;'01.入学願書'!W53)</f>
        <v/>
      </c>
      <c r="N80" s="1297"/>
      <c r="O80" s="1297"/>
      <c r="P80" s="1360"/>
      <c r="Q80" s="1359" t="str">
        <f>IF('01.入学願書'!AH53="","",'01.入学願書'!AH53)</f>
        <v/>
      </c>
      <c r="R80" s="1297"/>
      <c r="S80" s="1297"/>
      <c r="T80" s="1360"/>
      <c r="U80" s="1361" t="s">
        <v>483</v>
      </c>
      <c r="V80" s="1362"/>
      <c r="W80" s="1362"/>
      <c r="X80" s="1363"/>
      <c r="Y80" s="1359" t="str">
        <f>IF('01.入学願書'!AM53="","",'01.入学願書'!AM53)</f>
        <v/>
      </c>
      <c r="Z80" s="1297"/>
      <c r="AA80" s="1297"/>
      <c r="AB80" s="1297"/>
      <c r="AC80" s="1297"/>
      <c r="AD80" s="1297"/>
      <c r="AE80" s="1360"/>
      <c r="AF80" s="1359" t="str">
        <f>IF('01.入学願書'!AY53="","",'01.入学願書'!AY53)</f>
        <v/>
      </c>
      <c r="AG80" s="1297"/>
      <c r="AH80" s="1297"/>
      <c r="AI80" s="1297"/>
      <c r="AJ80" s="1297"/>
      <c r="AK80" s="1297"/>
      <c r="AL80" s="1297"/>
      <c r="AM80" s="1360"/>
      <c r="AN80" s="280"/>
      <c r="AO80" s="280" t="s">
        <v>959</v>
      </c>
      <c r="AP80" s="280"/>
      <c r="AQ80" s="280"/>
      <c r="AR80" s="611" t="str">
        <f>IF('01.入学願書'!AB53="■","有",IF('01.入学願書'!AE53="■","無","未記入"))</f>
        <v>未記入</v>
      </c>
      <c r="AS80" s="280"/>
      <c r="AT80" s="280"/>
      <c r="AU80" s="280"/>
      <c r="AV80" s="280"/>
      <c r="AW80" s="280"/>
      <c r="AY80" s="609" t="str">
        <f>IF('01.入学願書'!AB53="■","有",IF('01.入学願書'!AE53="■","無","未記入"))</f>
        <v>未記入</v>
      </c>
    </row>
    <row r="81" spans="1:50" ht="11.25" customHeight="1">
      <c r="A81" s="1350"/>
      <c r="B81" s="1351"/>
      <c r="C81" s="1351"/>
      <c r="D81" s="1352"/>
      <c r="E81" s="1350"/>
      <c r="F81" s="1351"/>
      <c r="G81" s="1351"/>
      <c r="H81" s="1351"/>
      <c r="I81" s="1351"/>
      <c r="J81" s="1351"/>
      <c r="K81" s="1351"/>
      <c r="L81" s="1352"/>
      <c r="M81" s="1350"/>
      <c r="N81" s="1351"/>
      <c r="O81" s="1351"/>
      <c r="P81" s="1352"/>
      <c r="Q81" s="1350"/>
      <c r="R81" s="1351"/>
      <c r="S81" s="1351"/>
      <c r="T81" s="1352"/>
      <c r="U81" s="1353" t="s">
        <v>428</v>
      </c>
      <c r="V81" s="1354"/>
      <c r="W81" s="1354"/>
      <c r="X81" s="1355"/>
      <c r="Y81" s="1350"/>
      <c r="Z81" s="1351"/>
      <c r="AA81" s="1351"/>
      <c r="AB81" s="1351"/>
      <c r="AC81" s="1351"/>
      <c r="AD81" s="1351"/>
      <c r="AE81" s="1352"/>
      <c r="AF81" s="1350"/>
      <c r="AG81" s="1351"/>
      <c r="AH81" s="1351"/>
      <c r="AI81" s="1351"/>
      <c r="AJ81" s="1351"/>
      <c r="AK81" s="1351"/>
      <c r="AL81" s="1351"/>
      <c r="AM81" s="1352"/>
      <c r="AN81" s="280"/>
      <c r="AO81" s="280"/>
      <c r="AP81" s="280"/>
      <c r="AQ81" s="280"/>
      <c r="AR81" s="280"/>
      <c r="AS81" s="280"/>
      <c r="AT81" s="280"/>
      <c r="AU81" s="280"/>
      <c r="AV81" s="280"/>
      <c r="AW81" s="280"/>
      <c r="AX81" s="608"/>
    </row>
    <row r="82" spans="1:50" ht="11.25" customHeight="1">
      <c r="A82" s="1359"/>
      <c r="B82" s="1297"/>
      <c r="C82" s="1297"/>
      <c r="D82" s="1360"/>
      <c r="E82" s="1359"/>
      <c r="F82" s="1297"/>
      <c r="G82" s="1297"/>
      <c r="H82" s="1297"/>
      <c r="I82" s="1297"/>
      <c r="J82" s="1297"/>
      <c r="K82" s="1297"/>
      <c r="L82" s="1360"/>
      <c r="M82" s="1359"/>
      <c r="N82" s="1297"/>
      <c r="O82" s="1297"/>
      <c r="P82" s="1360"/>
      <c r="Q82" s="1359"/>
      <c r="R82" s="1297"/>
      <c r="S82" s="1297"/>
      <c r="T82" s="1360"/>
      <c r="U82" s="1361" t="s">
        <v>483</v>
      </c>
      <c r="V82" s="1362"/>
      <c r="W82" s="1362"/>
      <c r="X82" s="1363"/>
      <c r="Y82" s="1359"/>
      <c r="Z82" s="1297"/>
      <c r="AA82" s="1297"/>
      <c r="AB82" s="1297"/>
      <c r="AC82" s="1297"/>
      <c r="AD82" s="1297"/>
      <c r="AE82" s="1360"/>
      <c r="AF82" s="1359"/>
      <c r="AG82" s="1297"/>
      <c r="AH82" s="1297"/>
      <c r="AI82" s="1297"/>
      <c r="AJ82" s="1297"/>
      <c r="AK82" s="1297"/>
      <c r="AL82" s="1297"/>
      <c r="AM82" s="1360"/>
      <c r="AN82" s="280"/>
      <c r="AO82" s="280"/>
      <c r="AP82" s="280"/>
      <c r="AQ82" s="280"/>
      <c r="AR82" s="280"/>
      <c r="AS82" s="280"/>
      <c r="AT82" s="280"/>
      <c r="AU82" s="280"/>
      <c r="AV82" s="280"/>
      <c r="AW82" s="280"/>
      <c r="AX82" s="280"/>
    </row>
    <row r="83" spans="1:50" ht="11.25" customHeight="1">
      <c r="A83" s="1370"/>
      <c r="B83" s="1298"/>
      <c r="C83" s="1298"/>
      <c r="D83" s="1371"/>
      <c r="E83" s="1370"/>
      <c r="F83" s="1298"/>
      <c r="G83" s="1298"/>
      <c r="H83" s="1298"/>
      <c r="I83" s="1298"/>
      <c r="J83" s="1298"/>
      <c r="K83" s="1298"/>
      <c r="L83" s="1371"/>
      <c r="M83" s="1370"/>
      <c r="N83" s="1298"/>
      <c r="O83" s="1298"/>
      <c r="P83" s="1371"/>
      <c r="Q83" s="1370"/>
      <c r="R83" s="1298"/>
      <c r="S83" s="1298"/>
      <c r="T83" s="1371"/>
      <c r="U83" s="1372" t="s">
        <v>428</v>
      </c>
      <c r="V83" s="1373"/>
      <c r="W83" s="1373"/>
      <c r="X83" s="1374"/>
      <c r="Y83" s="1370"/>
      <c r="Z83" s="1298"/>
      <c r="AA83" s="1298"/>
      <c r="AB83" s="1298"/>
      <c r="AC83" s="1298"/>
      <c r="AD83" s="1298"/>
      <c r="AE83" s="1371"/>
      <c r="AF83" s="1370"/>
      <c r="AG83" s="1298"/>
      <c r="AH83" s="1298"/>
      <c r="AI83" s="1298"/>
      <c r="AJ83" s="1298"/>
      <c r="AK83" s="1298"/>
      <c r="AL83" s="1298"/>
      <c r="AM83" s="1371"/>
    </row>
    <row r="84" spans="1:50" ht="31.5" customHeight="1">
      <c r="A84" s="1367" t="s">
        <v>484</v>
      </c>
      <c r="B84" s="1368"/>
      <c r="C84" s="1368"/>
      <c r="D84" s="1368"/>
      <c r="E84" s="1368"/>
      <c r="F84" s="1368"/>
      <c r="G84" s="1368"/>
      <c r="H84" s="1368"/>
      <c r="I84" s="1368"/>
      <c r="J84" s="1368"/>
      <c r="K84" s="1368"/>
      <c r="L84" s="1368"/>
      <c r="M84" s="1368"/>
      <c r="N84" s="1368"/>
      <c r="O84" s="1368"/>
      <c r="P84" s="1368"/>
      <c r="Q84" s="1368"/>
      <c r="R84" s="1368"/>
      <c r="S84" s="1368"/>
      <c r="T84" s="1368"/>
      <c r="U84" s="1368"/>
      <c r="V84" s="1368"/>
      <c r="W84" s="1368"/>
      <c r="X84" s="1368"/>
      <c r="Y84" s="1368"/>
      <c r="Z84" s="1368"/>
      <c r="AA84" s="1368"/>
      <c r="AB84" s="1368"/>
      <c r="AC84" s="1368"/>
      <c r="AD84" s="1368"/>
      <c r="AE84" s="1368"/>
      <c r="AF84" s="1368"/>
      <c r="AG84" s="1368"/>
      <c r="AH84" s="1368"/>
      <c r="AI84" s="1368"/>
      <c r="AJ84" s="1368"/>
      <c r="AK84" s="1368"/>
      <c r="AL84" s="1368"/>
      <c r="AM84" s="1369"/>
    </row>
    <row r="85" spans="1:50">
      <c r="A85" s="282" t="s">
        <v>485</v>
      </c>
      <c r="B85" s="283"/>
      <c r="C85" s="283"/>
      <c r="D85" s="283"/>
      <c r="E85" s="283"/>
      <c r="F85" s="283"/>
      <c r="G85" s="283"/>
      <c r="H85" s="283"/>
      <c r="I85" s="283"/>
      <c r="J85" s="283"/>
      <c r="K85" s="283"/>
      <c r="L85" s="283"/>
      <c r="M85" s="283"/>
      <c r="N85" s="283"/>
      <c r="O85" s="283"/>
      <c r="P85" s="283"/>
      <c r="Q85" s="283"/>
      <c r="R85" s="284" t="s">
        <v>486</v>
      </c>
      <c r="S85" s="285"/>
      <c r="T85" s="285"/>
      <c r="U85" s="285"/>
      <c r="V85" s="286"/>
      <c r="W85" s="286"/>
      <c r="X85" s="286"/>
      <c r="Y85" s="286"/>
      <c r="Z85" s="285"/>
      <c r="AA85" s="285"/>
      <c r="AB85" s="285"/>
      <c r="AC85" s="285"/>
      <c r="AD85" s="285"/>
      <c r="AE85" s="285"/>
      <c r="AF85" s="285"/>
      <c r="AG85" s="283"/>
      <c r="AH85" s="283"/>
      <c r="AI85" s="283"/>
      <c r="AJ85" s="283"/>
      <c r="AK85" s="283"/>
      <c r="AL85" s="283"/>
      <c r="AM85" s="283"/>
    </row>
    <row r="86" spans="1:50">
      <c r="A86" s="188"/>
      <c r="B86" s="188"/>
      <c r="C86" s="188"/>
      <c r="D86" s="188"/>
      <c r="E86" s="188"/>
      <c r="F86" s="188"/>
      <c r="G86" s="188"/>
      <c r="H86" s="188"/>
      <c r="I86" s="188"/>
      <c r="J86" s="188"/>
      <c r="K86" s="188"/>
      <c r="L86" s="188"/>
      <c r="M86" s="188"/>
      <c r="N86" s="188"/>
      <c r="O86" s="188"/>
      <c r="P86" s="188"/>
      <c r="Q86" s="188"/>
      <c r="R86" s="188"/>
      <c r="S86" s="188"/>
      <c r="T86" s="188"/>
      <c r="U86" s="188"/>
      <c r="V86" s="188"/>
      <c r="W86" s="188"/>
      <c r="X86" s="188"/>
      <c r="Y86" s="188"/>
      <c r="Z86" s="188"/>
      <c r="AA86" s="188"/>
      <c r="AB86" s="188"/>
      <c r="AC86" s="188"/>
      <c r="AD86" s="188"/>
      <c r="AE86" s="188"/>
      <c r="AF86" s="188"/>
      <c r="AG86" s="188"/>
      <c r="AH86" s="188"/>
      <c r="AI86" s="188"/>
      <c r="AJ86" s="188"/>
      <c r="AK86" s="188"/>
      <c r="AL86" s="188"/>
      <c r="AM86" s="188"/>
    </row>
    <row r="87" spans="1:50">
      <c r="A87" s="188"/>
      <c r="B87" s="188"/>
      <c r="C87" s="188"/>
      <c r="D87" s="188"/>
      <c r="E87" s="188"/>
      <c r="F87" s="188"/>
      <c r="G87" s="188"/>
      <c r="H87" s="188"/>
      <c r="I87" s="188"/>
      <c r="J87" s="188"/>
      <c r="K87" s="188"/>
      <c r="L87" s="188"/>
      <c r="M87" s="188"/>
      <c r="N87" s="188"/>
      <c r="O87" s="188"/>
      <c r="P87" s="188"/>
      <c r="Q87" s="188"/>
      <c r="R87" s="188"/>
      <c r="S87" s="188"/>
      <c r="T87" s="188"/>
      <c r="U87" s="188"/>
      <c r="V87" s="188"/>
      <c r="W87" s="188"/>
      <c r="X87" s="188"/>
      <c r="Y87" s="188"/>
      <c r="Z87" s="188"/>
      <c r="AA87" s="188"/>
      <c r="AB87" s="188"/>
      <c r="AC87" s="188"/>
      <c r="AD87" s="188"/>
      <c r="AE87" s="188"/>
      <c r="AF87" s="188"/>
      <c r="AG87" s="188"/>
      <c r="AH87" s="188"/>
      <c r="AI87" s="188"/>
      <c r="AJ87" s="188"/>
      <c r="AK87" s="188"/>
      <c r="AL87" s="188"/>
      <c r="AM87" s="188"/>
    </row>
    <row r="88" spans="1:50">
      <c r="A88" s="188"/>
      <c r="B88" s="188"/>
      <c r="C88" s="188"/>
      <c r="D88" s="188"/>
      <c r="E88" s="188"/>
      <c r="F88" s="188"/>
      <c r="G88" s="188"/>
      <c r="H88" s="188"/>
      <c r="I88" s="188"/>
      <c r="J88" s="188"/>
      <c r="K88" s="188"/>
      <c r="L88" s="188"/>
      <c r="M88" s="188"/>
      <c r="N88" s="188"/>
      <c r="O88" s="188"/>
      <c r="P88" s="188"/>
      <c r="Q88" s="188"/>
      <c r="R88" s="188"/>
      <c r="S88" s="188"/>
      <c r="T88" s="188"/>
      <c r="U88" s="188"/>
      <c r="V88" s="188"/>
      <c r="W88" s="188"/>
      <c r="X88" s="188"/>
      <c r="Y88" s="188"/>
      <c r="Z88" s="188"/>
      <c r="AA88" s="188"/>
      <c r="AB88" s="188"/>
      <c r="AC88" s="188"/>
      <c r="AD88" s="188"/>
      <c r="AE88" s="188"/>
      <c r="AF88" s="188"/>
      <c r="AG88" s="188"/>
      <c r="AH88" s="188"/>
      <c r="AI88" s="188"/>
      <c r="AJ88" s="188"/>
      <c r="AK88" s="188"/>
      <c r="AL88" s="188"/>
      <c r="AM88" s="188"/>
    </row>
    <row r="89" spans="1:50">
      <c r="A89" s="188"/>
      <c r="B89" s="188"/>
      <c r="C89" s="188"/>
      <c r="D89" s="188"/>
      <c r="E89" s="188"/>
      <c r="F89" s="188"/>
      <c r="G89" s="188"/>
      <c r="H89" s="188"/>
      <c r="I89" s="188"/>
      <c r="J89" s="188"/>
      <c r="K89" s="188"/>
      <c r="L89" s="188"/>
      <c r="M89" s="188"/>
      <c r="N89" s="188"/>
      <c r="O89" s="188"/>
      <c r="P89" s="188"/>
      <c r="Q89" s="188"/>
      <c r="R89" s="188"/>
      <c r="S89" s="188"/>
      <c r="T89" s="188"/>
      <c r="U89" s="188"/>
      <c r="V89" s="188"/>
      <c r="W89" s="188"/>
      <c r="X89" s="188"/>
      <c r="Y89" s="188"/>
      <c r="Z89" s="188"/>
      <c r="AA89" s="188"/>
      <c r="AB89" s="188"/>
      <c r="AC89" s="188"/>
      <c r="AD89" s="188"/>
      <c r="AE89" s="188"/>
      <c r="AF89" s="188"/>
      <c r="AG89" s="188"/>
      <c r="AH89" s="188"/>
      <c r="AI89" s="188"/>
      <c r="AJ89" s="188"/>
      <c r="AK89" s="188"/>
      <c r="AL89" s="188"/>
      <c r="AM89" s="188"/>
    </row>
    <row r="90" spans="1:50">
      <c r="A90" s="188"/>
      <c r="B90" s="188"/>
      <c r="C90" s="188"/>
      <c r="D90" s="188"/>
      <c r="E90" s="188"/>
      <c r="F90" s="188"/>
      <c r="G90" s="188"/>
      <c r="H90" s="188"/>
      <c r="I90" s="188"/>
      <c r="J90" s="188"/>
      <c r="K90" s="188"/>
      <c r="L90" s="188"/>
      <c r="M90" s="188"/>
      <c r="N90" s="188"/>
      <c r="O90" s="188"/>
      <c r="P90" s="188"/>
      <c r="Q90" s="188"/>
      <c r="R90" s="188"/>
      <c r="S90" s="188"/>
      <c r="T90" s="188"/>
      <c r="U90" s="188"/>
      <c r="V90" s="188"/>
      <c r="W90" s="188"/>
      <c r="X90" s="188"/>
      <c r="Y90" s="188"/>
      <c r="Z90" s="188"/>
      <c r="AA90" s="188"/>
      <c r="AB90" s="188"/>
      <c r="AC90" s="188"/>
      <c r="AD90" s="188"/>
      <c r="AE90" s="188"/>
      <c r="AF90" s="188"/>
      <c r="AG90" s="188"/>
      <c r="AH90" s="188"/>
      <c r="AI90" s="188"/>
      <c r="AJ90" s="188"/>
      <c r="AK90" s="188"/>
      <c r="AL90" s="188"/>
      <c r="AM90" s="188"/>
    </row>
    <row r="91" spans="1:50">
      <c r="A91" s="188"/>
      <c r="B91" s="188"/>
      <c r="C91" s="188"/>
      <c r="D91" s="188"/>
      <c r="E91" s="188"/>
      <c r="F91" s="188"/>
      <c r="G91" s="188"/>
      <c r="H91" s="188"/>
      <c r="I91" s="188"/>
      <c r="J91" s="188"/>
      <c r="K91" s="188"/>
      <c r="L91" s="188"/>
      <c r="M91" s="188"/>
      <c r="N91" s="188"/>
      <c r="O91" s="188"/>
      <c r="P91" s="188"/>
      <c r="Q91" s="188"/>
      <c r="R91" s="188"/>
      <c r="S91" s="188"/>
      <c r="T91" s="188"/>
      <c r="U91" s="188"/>
      <c r="V91" s="188"/>
      <c r="W91" s="188"/>
      <c r="X91" s="188"/>
      <c r="Y91" s="188"/>
      <c r="Z91" s="188"/>
      <c r="AA91" s="188"/>
      <c r="AB91" s="188"/>
      <c r="AC91" s="188"/>
      <c r="AD91" s="188"/>
      <c r="AE91" s="188"/>
      <c r="AF91" s="188"/>
      <c r="AG91" s="188"/>
      <c r="AH91" s="188"/>
      <c r="AI91" s="188"/>
      <c r="AJ91" s="188"/>
      <c r="AK91" s="188"/>
      <c r="AL91" s="188"/>
      <c r="AM91" s="188"/>
    </row>
    <row r="92" spans="1:50">
      <c r="A92" s="188"/>
      <c r="B92" s="188"/>
      <c r="C92" s="188"/>
      <c r="D92" s="188"/>
      <c r="E92" s="188"/>
      <c r="F92" s="188"/>
      <c r="G92" s="188"/>
      <c r="H92" s="188"/>
      <c r="I92" s="188"/>
      <c r="J92" s="188"/>
      <c r="K92" s="188"/>
      <c r="L92" s="188"/>
      <c r="M92" s="188"/>
      <c r="N92" s="188"/>
      <c r="O92" s="188"/>
      <c r="P92" s="188"/>
      <c r="Q92" s="188"/>
      <c r="R92" s="188"/>
      <c r="S92" s="188"/>
      <c r="T92" s="188"/>
      <c r="U92" s="188"/>
      <c r="V92" s="188"/>
      <c r="W92" s="188"/>
      <c r="X92" s="188"/>
      <c r="Y92" s="188"/>
      <c r="Z92" s="188"/>
      <c r="AA92" s="188"/>
      <c r="AB92" s="188"/>
      <c r="AC92" s="188"/>
      <c r="AD92" s="188"/>
      <c r="AE92" s="188"/>
      <c r="AF92" s="188"/>
      <c r="AG92" s="188"/>
      <c r="AH92" s="188"/>
      <c r="AI92" s="188"/>
      <c r="AJ92" s="188"/>
      <c r="AK92" s="188"/>
      <c r="AL92" s="188"/>
      <c r="AM92" s="188"/>
    </row>
  </sheetData>
  <mergeCells count="128">
    <mergeCell ref="A84:AM84"/>
    <mergeCell ref="AF80:AM81"/>
    <mergeCell ref="U81:X81"/>
    <mergeCell ref="A82:D83"/>
    <mergeCell ref="E82:L83"/>
    <mergeCell ref="M82:P83"/>
    <mergeCell ref="Q82:T83"/>
    <mergeCell ref="U82:X82"/>
    <mergeCell ref="Y82:AE83"/>
    <mergeCell ref="AF82:AM83"/>
    <mergeCell ref="U83:X83"/>
    <mergeCell ref="A80:D81"/>
    <mergeCell ref="E80:L81"/>
    <mergeCell ref="M80:P81"/>
    <mergeCell ref="Q80:T81"/>
    <mergeCell ref="U80:X80"/>
    <mergeCell ref="Y80:AE81"/>
    <mergeCell ref="AF76:AM77"/>
    <mergeCell ref="U77:X77"/>
    <mergeCell ref="A78:D79"/>
    <mergeCell ref="E78:L79"/>
    <mergeCell ref="M78:P79"/>
    <mergeCell ref="Q78:T79"/>
    <mergeCell ref="U78:X78"/>
    <mergeCell ref="Y78:AE79"/>
    <mergeCell ref="AF78:AM79"/>
    <mergeCell ref="U79:X79"/>
    <mergeCell ref="A76:D77"/>
    <mergeCell ref="E76:L77"/>
    <mergeCell ref="M76:P77"/>
    <mergeCell ref="Q76:T77"/>
    <mergeCell ref="U76:X76"/>
    <mergeCell ref="Y76:AE77"/>
    <mergeCell ref="AF74:AM74"/>
    <mergeCell ref="A75:D75"/>
    <mergeCell ref="E75:L75"/>
    <mergeCell ref="M75:P75"/>
    <mergeCell ref="Q75:T75"/>
    <mergeCell ref="U75:X75"/>
    <mergeCell ref="Y75:AE75"/>
    <mergeCell ref="AF75:AM75"/>
    <mergeCell ref="A74:D74"/>
    <mergeCell ref="E74:L74"/>
    <mergeCell ref="M74:P74"/>
    <mergeCell ref="Q74:T74"/>
    <mergeCell ref="U74:X74"/>
    <mergeCell ref="Y74:AE74"/>
    <mergeCell ref="AH69:AI69"/>
    <mergeCell ref="AJ69:AK70"/>
    <mergeCell ref="R70:S70"/>
    <mergeCell ref="U70:AA70"/>
    <mergeCell ref="AD70:AE70"/>
    <mergeCell ref="AH70:AI70"/>
    <mergeCell ref="I64:AG65"/>
    <mergeCell ref="T67:V67"/>
    <mergeCell ref="T68:V68"/>
    <mergeCell ref="P69:Q70"/>
    <mergeCell ref="R69:S69"/>
    <mergeCell ref="AB69:AC70"/>
    <mergeCell ref="AD69:AE69"/>
    <mergeCell ref="AF69:AG70"/>
    <mergeCell ref="E60:F61"/>
    <mergeCell ref="O60:P61"/>
    <mergeCell ref="Q60:R60"/>
    <mergeCell ref="S60:T61"/>
    <mergeCell ref="O49:P49"/>
    <mergeCell ref="H51:S52"/>
    <mergeCell ref="AE51:AH51"/>
    <mergeCell ref="AE52:AH52"/>
    <mergeCell ref="H54:U55"/>
    <mergeCell ref="AC54:AL54"/>
    <mergeCell ref="AH60:AI60"/>
    <mergeCell ref="AJ60:AK61"/>
    <mergeCell ref="M61:N61"/>
    <mergeCell ref="Q61:R61"/>
    <mergeCell ref="U61:V61"/>
    <mergeCell ref="Z61:AA61"/>
    <mergeCell ref="AD61:AE61"/>
    <mergeCell ref="AH61:AI61"/>
    <mergeCell ref="U60:V60"/>
    <mergeCell ref="W60:X61"/>
    <mergeCell ref="Z60:AA60"/>
    <mergeCell ref="AB60:AC61"/>
    <mergeCell ref="AD60:AE60"/>
    <mergeCell ref="AF60:AG61"/>
    <mergeCell ref="H48:J49"/>
    <mergeCell ref="K48:L48"/>
    <mergeCell ref="M48:N49"/>
    <mergeCell ref="O48:P48"/>
    <mergeCell ref="Q48:R49"/>
    <mergeCell ref="AA48:AL49"/>
    <mergeCell ref="K49:L49"/>
    <mergeCell ref="M57:P57"/>
    <mergeCell ref="M58:P58"/>
    <mergeCell ref="AX20:AX21"/>
    <mergeCell ref="O22:AA23"/>
    <mergeCell ref="AI22:AL22"/>
    <mergeCell ref="AI23:AL23"/>
    <mergeCell ref="C13:AE14"/>
    <mergeCell ref="G16:S17"/>
    <mergeCell ref="Z16:AC17"/>
    <mergeCell ref="AD16:AE16"/>
    <mergeCell ref="AF16:AG17"/>
    <mergeCell ref="AH16:AI16"/>
    <mergeCell ref="H8:K8"/>
    <mergeCell ref="I9:K9"/>
    <mergeCell ref="AH9:AK9"/>
    <mergeCell ref="C11:AD11"/>
    <mergeCell ref="AH11:AK11"/>
    <mergeCell ref="C12:AA12"/>
    <mergeCell ref="I57:K58"/>
    <mergeCell ref="AJ16:AK17"/>
    <mergeCell ref="AD17:AE17"/>
    <mergeCell ref="AH17:AI17"/>
    <mergeCell ref="E19:AL20"/>
    <mergeCell ref="E25:M26"/>
    <mergeCell ref="W25:AL26"/>
    <mergeCell ref="I28:AL29"/>
    <mergeCell ref="F31:R32"/>
    <mergeCell ref="Z31:AL32"/>
    <mergeCell ref="H34:T35"/>
    <mergeCell ref="AA34:AC35"/>
    <mergeCell ref="AD34:AE34"/>
    <mergeCell ref="AF34:AG35"/>
    <mergeCell ref="AH34:AI34"/>
    <mergeCell ref="AJ34:AK35"/>
    <mergeCell ref="AD35:AE35"/>
    <mergeCell ref="AH35:AI35"/>
  </mergeCells>
  <phoneticPr fontId="5"/>
  <dataValidations count="2">
    <dataValidation type="list" allowBlank="1" showInputMessage="1" showErrorMessage="1" sqref="G16:S17">
      <formula1>$AX$10:$AX$18</formula1>
    </dataValidation>
    <dataValidation type="list" allowBlank="1" showInputMessage="1" showErrorMessage="1" sqref="H54:U55">
      <formula1>$BD$12:$BD$24</formula1>
    </dataValidation>
  </dataValidations>
  <printOptions horizontalCentered="1" verticalCentered="1"/>
  <pageMargins left="0.51181102362204722" right="0.51181102362204722" top="0.59055118110236227" bottom="0.59055118110236227" header="0" footer="0"/>
  <pageSetup paperSize="9" scale="8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V65543"/>
  <sheetViews>
    <sheetView view="pageBreakPreview" topLeftCell="A55" zoomScale="115" zoomScaleSheetLayoutView="115" workbookViewId="0">
      <selection activeCell="R4" sqref="R4"/>
    </sheetView>
  </sheetViews>
  <sheetFormatPr defaultColWidth="2.625" defaultRowHeight="12"/>
  <cols>
    <col min="1" max="34" width="2.625" style="288" customWidth="1"/>
    <col min="35" max="41" width="2.625" style="288"/>
    <col min="42" max="43" width="5.625" style="288" bestFit="1" customWidth="1"/>
    <col min="44" max="44" width="2.625" style="288"/>
    <col min="45" max="45" width="10" style="288" bestFit="1" customWidth="1"/>
    <col min="46" max="16384" width="2.625" style="288"/>
  </cols>
  <sheetData>
    <row r="1" spans="1:48" ht="15" customHeight="1">
      <c r="A1" s="287" t="s">
        <v>487</v>
      </c>
      <c r="AA1" s="288" t="s">
        <v>488</v>
      </c>
    </row>
    <row r="2" spans="1:48" ht="12" customHeight="1">
      <c r="A2" s="289" t="s">
        <v>489</v>
      </c>
      <c r="AA2" s="290" t="s">
        <v>490</v>
      </c>
      <c r="AV2" s="325" t="s">
        <v>513</v>
      </c>
    </row>
    <row r="3" spans="1:48" ht="3" customHeight="1">
      <c r="A3" s="291"/>
      <c r="B3" s="292"/>
      <c r="C3" s="292"/>
      <c r="D3" s="292"/>
      <c r="E3" s="292"/>
      <c r="F3" s="292"/>
      <c r="G3" s="292"/>
      <c r="H3" s="292"/>
      <c r="I3" s="292"/>
      <c r="J3" s="292"/>
      <c r="K3" s="292"/>
      <c r="L3" s="292"/>
      <c r="M3" s="292"/>
      <c r="N3" s="292"/>
      <c r="O3" s="292"/>
      <c r="P3" s="292"/>
      <c r="Q3" s="292"/>
      <c r="R3" s="292"/>
      <c r="S3" s="292"/>
      <c r="T3" s="292"/>
      <c r="U3" s="292"/>
      <c r="V3" s="292"/>
      <c r="W3" s="292"/>
      <c r="X3" s="292"/>
      <c r="Y3" s="292"/>
      <c r="Z3" s="293"/>
      <c r="AA3" s="292"/>
      <c r="AB3" s="292"/>
      <c r="AC3" s="292"/>
      <c r="AD3" s="292"/>
      <c r="AE3" s="292"/>
      <c r="AF3" s="292"/>
      <c r="AG3" s="292"/>
      <c r="AH3" s="294"/>
      <c r="AV3" s="325" t="s">
        <v>124</v>
      </c>
    </row>
    <row r="4" spans="1:48" ht="14.25" customHeight="1">
      <c r="A4" s="295" t="s">
        <v>491</v>
      </c>
      <c r="B4" s="296"/>
      <c r="C4" s="296"/>
      <c r="D4" s="296"/>
      <c r="E4" s="297" t="s">
        <v>492</v>
      </c>
      <c r="F4" s="298"/>
      <c r="G4" s="298"/>
      <c r="H4" s="298"/>
      <c r="I4" s="298"/>
      <c r="J4" s="298"/>
      <c r="K4" s="298"/>
      <c r="L4" s="298"/>
      <c r="M4" s="298"/>
      <c r="N4" s="298"/>
      <c r="O4" s="298"/>
      <c r="P4" s="298"/>
      <c r="Q4" s="298"/>
      <c r="R4" s="298"/>
      <c r="S4" s="298"/>
      <c r="T4" s="298"/>
      <c r="U4" s="298"/>
      <c r="V4" s="298"/>
      <c r="W4" s="298"/>
      <c r="X4" s="298"/>
      <c r="Y4" s="298"/>
      <c r="Z4" s="298"/>
      <c r="AA4" s="298"/>
      <c r="AB4" s="298"/>
      <c r="AC4" s="298"/>
      <c r="AD4" s="298"/>
      <c r="AE4" s="298"/>
      <c r="AF4" s="298"/>
      <c r="AG4" s="298"/>
      <c r="AH4" s="299"/>
    </row>
    <row r="5" spans="1:48" ht="13.5" customHeight="1">
      <c r="A5" s="300"/>
      <c r="B5" s="296" t="s">
        <v>493</v>
      </c>
      <c r="C5" s="296"/>
      <c r="D5" s="296"/>
      <c r="E5" s="298"/>
      <c r="F5" s="298"/>
      <c r="G5" s="1392" t="s">
        <v>1261</v>
      </c>
      <c r="H5" s="1392"/>
      <c r="I5" s="1392"/>
      <c r="J5" s="1392"/>
      <c r="K5" s="1392"/>
      <c r="L5" s="1392"/>
      <c r="M5" s="1392"/>
      <c r="N5" s="1392"/>
      <c r="O5" s="1392"/>
      <c r="P5" s="1392"/>
      <c r="Q5" s="1392"/>
      <c r="R5" s="1392"/>
      <c r="S5" s="1392"/>
      <c r="T5" s="1392"/>
      <c r="U5" s="1392"/>
      <c r="V5" s="1392"/>
      <c r="W5" s="1392"/>
      <c r="X5" s="1392"/>
      <c r="Y5" s="1392"/>
      <c r="Z5" s="1392"/>
      <c r="AA5" s="1392"/>
      <c r="AB5" s="1392"/>
      <c r="AC5" s="1392"/>
      <c r="AD5" s="1392"/>
      <c r="AE5" s="1392"/>
      <c r="AF5" s="1392"/>
      <c r="AG5" s="1392"/>
      <c r="AH5" s="299"/>
    </row>
    <row r="6" spans="1:48" s="305" customFormat="1" ht="12.75">
      <c r="A6" s="301"/>
      <c r="B6" s="302"/>
      <c r="C6" s="303" t="s">
        <v>494</v>
      </c>
      <c r="D6" s="302"/>
      <c r="E6" s="302"/>
      <c r="F6" s="302"/>
      <c r="G6" s="1393"/>
      <c r="H6" s="1393"/>
      <c r="I6" s="1393"/>
      <c r="J6" s="1393"/>
      <c r="K6" s="1393"/>
      <c r="L6" s="1393"/>
      <c r="M6" s="1393"/>
      <c r="N6" s="1393"/>
      <c r="O6" s="1393"/>
      <c r="P6" s="1393"/>
      <c r="Q6" s="1393"/>
      <c r="R6" s="1393"/>
      <c r="S6" s="1393"/>
      <c r="T6" s="1393"/>
      <c r="U6" s="1393"/>
      <c r="V6" s="1393"/>
      <c r="W6" s="1393"/>
      <c r="X6" s="1393"/>
      <c r="Y6" s="1393"/>
      <c r="Z6" s="1393"/>
      <c r="AA6" s="1393"/>
      <c r="AB6" s="1393"/>
      <c r="AC6" s="1393"/>
      <c r="AD6" s="1393"/>
      <c r="AE6" s="1393"/>
      <c r="AF6" s="1393"/>
      <c r="AG6" s="1393"/>
      <c r="AH6" s="304"/>
      <c r="AS6" s="288"/>
    </row>
    <row r="7" spans="1:48" ht="1.5" customHeight="1">
      <c r="A7" s="300"/>
      <c r="B7" s="298"/>
      <c r="C7" s="297"/>
      <c r="D7" s="298"/>
      <c r="E7" s="298"/>
      <c r="F7" s="298"/>
      <c r="G7" s="298"/>
      <c r="H7" s="298"/>
      <c r="I7" s="298"/>
      <c r="J7" s="298"/>
      <c r="K7" s="298"/>
      <c r="L7" s="298"/>
      <c r="M7" s="298"/>
      <c r="N7" s="298"/>
      <c r="O7" s="298"/>
      <c r="P7" s="298"/>
      <c r="Q7" s="298"/>
      <c r="R7" s="298"/>
      <c r="S7" s="298"/>
      <c r="T7" s="298"/>
      <c r="U7" s="298"/>
      <c r="V7" s="298"/>
      <c r="W7" s="298"/>
      <c r="X7" s="298"/>
      <c r="Y7" s="298"/>
      <c r="Z7" s="298"/>
      <c r="AA7" s="298"/>
      <c r="AB7" s="298"/>
      <c r="AC7" s="298"/>
      <c r="AD7" s="298"/>
      <c r="AE7" s="298"/>
      <c r="AF7" s="298"/>
      <c r="AG7" s="298"/>
      <c r="AH7" s="299"/>
    </row>
    <row r="8" spans="1:48" ht="13.5" customHeight="1">
      <c r="A8" s="300"/>
      <c r="B8" s="296" t="s">
        <v>495</v>
      </c>
      <c r="C8" s="296"/>
      <c r="D8" s="296"/>
      <c r="E8" s="298"/>
      <c r="F8" s="1392" t="s">
        <v>1271</v>
      </c>
      <c r="G8" s="1392"/>
      <c r="H8" s="1392"/>
      <c r="I8" s="1392"/>
      <c r="J8" s="1392"/>
      <c r="K8" s="1392"/>
      <c r="L8" s="1392"/>
      <c r="M8" s="1392"/>
      <c r="N8" s="1392"/>
      <c r="O8" s="1392"/>
      <c r="P8" s="1392"/>
      <c r="Q8" s="1392"/>
      <c r="R8" s="1392"/>
      <c r="S8" s="298"/>
      <c r="T8" s="296" t="s">
        <v>496</v>
      </c>
      <c r="U8" s="296"/>
      <c r="V8" s="296"/>
      <c r="W8" s="298"/>
      <c r="X8" s="298"/>
      <c r="Y8" s="1392" t="s">
        <v>1268</v>
      </c>
      <c r="Z8" s="1392"/>
      <c r="AA8" s="1392"/>
      <c r="AB8" s="1392"/>
      <c r="AC8" s="1392"/>
      <c r="AD8" s="1392"/>
      <c r="AE8" s="1392"/>
      <c r="AF8" s="1392"/>
      <c r="AG8" s="1392"/>
      <c r="AH8" s="299"/>
    </row>
    <row r="9" spans="1:48" s="305" customFormat="1" ht="12.75">
      <c r="A9" s="306"/>
      <c r="B9" s="307"/>
      <c r="C9" s="303" t="s">
        <v>497</v>
      </c>
      <c r="D9" s="302"/>
      <c r="E9" s="302"/>
      <c r="F9" s="1393"/>
      <c r="G9" s="1393"/>
      <c r="H9" s="1393"/>
      <c r="I9" s="1393"/>
      <c r="J9" s="1393"/>
      <c r="K9" s="1393"/>
      <c r="L9" s="1393"/>
      <c r="M9" s="1393"/>
      <c r="N9" s="1393"/>
      <c r="O9" s="1393"/>
      <c r="P9" s="1393"/>
      <c r="Q9" s="1393"/>
      <c r="R9" s="1393"/>
      <c r="S9" s="308"/>
      <c r="T9" s="309"/>
      <c r="U9" s="308" t="s">
        <v>498</v>
      </c>
      <c r="V9" s="308"/>
      <c r="W9" s="308"/>
      <c r="X9" s="308"/>
      <c r="Y9" s="1393"/>
      <c r="Z9" s="1393"/>
      <c r="AA9" s="1393"/>
      <c r="AB9" s="1393"/>
      <c r="AC9" s="1393"/>
      <c r="AD9" s="1393"/>
      <c r="AE9" s="1393"/>
      <c r="AF9" s="1393"/>
      <c r="AG9" s="1393"/>
      <c r="AH9" s="304"/>
      <c r="AS9" s="288"/>
    </row>
    <row r="10" spans="1:48" ht="1.5" customHeight="1">
      <c r="A10" s="310"/>
      <c r="B10" s="311"/>
      <c r="C10" s="297"/>
      <c r="D10" s="297"/>
      <c r="E10" s="297"/>
      <c r="F10" s="297"/>
      <c r="G10" s="297"/>
      <c r="H10" s="297"/>
      <c r="I10" s="297"/>
      <c r="J10" s="297"/>
      <c r="K10" s="297"/>
      <c r="L10" s="297"/>
      <c r="M10" s="297"/>
      <c r="N10" s="297"/>
      <c r="O10" s="297"/>
      <c r="P10" s="297"/>
      <c r="Q10" s="297"/>
      <c r="R10" s="297"/>
      <c r="S10" s="297"/>
      <c r="T10" s="297"/>
      <c r="U10" s="297"/>
      <c r="V10" s="297"/>
      <c r="W10" s="311"/>
      <c r="X10" s="311"/>
      <c r="Y10" s="311"/>
      <c r="Z10" s="311"/>
      <c r="AA10" s="311"/>
      <c r="AB10" s="311"/>
      <c r="AC10" s="311"/>
      <c r="AD10" s="311"/>
      <c r="AE10" s="311"/>
      <c r="AF10" s="311"/>
      <c r="AG10" s="311"/>
      <c r="AH10" s="312"/>
    </row>
    <row r="11" spans="1:48" s="315" customFormat="1" ht="13.5" customHeight="1">
      <c r="A11" s="313" t="s">
        <v>499</v>
      </c>
      <c r="B11" s="314"/>
      <c r="C11" s="314"/>
      <c r="D11" s="314"/>
      <c r="E11" s="314"/>
      <c r="F11" s="314"/>
      <c r="G11" s="314"/>
      <c r="H11" s="314"/>
      <c r="I11" s="314"/>
      <c r="J11" s="314"/>
      <c r="K11" s="314"/>
      <c r="L11" s="314"/>
      <c r="M11" s="314"/>
      <c r="N11" s="314"/>
      <c r="O11" s="314"/>
      <c r="P11" s="314"/>
      <c r="R11" s="314"/>
      <c r="U11" s="314"/>
      <c r="V11" s="1394"/>
      <c r="W11" s="1394"/>
      <c r="X11" s="1394"/>
      <c r="Y11" s="1394"/>
      <c r="Z11" s="1394"/>
      <c r="AA11" s="316" t="s">
        <v>4</v>
      </c>
      <c r="AC11" s="314"/>
      <c r="AD11" s="314"/>
      <c r="AE11" s="314"/>
      <c r="AF11" s="314"/>
      <c r="AG11" s="314"/>
      <c r="AH11" s="317"/>
    </row>
    <row r="12" spans="1:48" s="322" customFormat="1" ht="14.25" customHeight="1">
      <c r="A12" s="318"/>
      <c r="B12" s="319"/>
      <c r="C12" s="320" t="s">
        <v>500</v>
      </c>
      <c r="D12" s="319"/>
      <c r="E12" s="319"/>
      <c r="F12" s="319"/>
      <c r="G12" s="319"/>
      <c r="H12" s="319"/>
      <c r="I12" s="319"/>
      <c r="J12" s="319"/>
      <c r="K12" s="319"/>
      <c r="L12" s="319"/>
      <c r="M12" s="319"/>
      <c r="N12" s="319"/>
      <c r="O12" s="319"/>
      <c r="P12" s="319"/>
      <c r="Q12" s="321"/>
      <c r="R12" s="321"/>
      <c r="S12" s="321"/>
      <c r="T12" s="321"/>
      <c r="U12" s="321"/>
      <c r="V12" s="1395"/>
      <c r="W12" s="1395"/>
      <c r="X12" s="1395"/>
      <c r="Y12" s="1395"/>
      <c r="Z12" s="1395"/>
      <c r="AA12" s="320" t="s">
        <v>501</v>
      </c>
      <c r="AC12" s="319"/>
      <c r="AD12" s="319"/>
      <c r="AE12" s="319"/>
      <c r="AF12" s="319"/>
      <c r="AG12" s="319"/>
      <c r="AH12" s="323"/>
    </row>
    <row r="13" spans="1:48" s="315" customFormat="1" ht="1.5" customHeight="1">
      <c r="A13" s="324"/>
      <c r="B13" s="314"/>
      <c r="C13" s="297"/>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c r="AC13" s="314"/>
      <c r="AD13" s="314"/>
      <c r="AE13" s="314"/>
      <c r="AF13" s="314"/>
      <c r="AG13" s="314"/>
      <c r="AH13" s="317"/>
    </row>
    <row r="14" spans="1:48" s="315" customFormat="1" ht="13.5" customHeight="1">
      <c r="A14" s="324" t="s">
        <v>502</v>
      </c>
      <c r="B14" s="314"/>
      <c r="C14" s="314"/>
      <c r="D14" s="314"/>
      <c r="E14" s="314"/>
      <c r="F14" s="314"/>
      <c r="G14" s="314"/>
      <c r="H14" s="314"/>
      <c r="I14" s="314"/>
      <c r="J14" s="314"/>
      <c r="K14" s="314"/>
      <c r="M14" s="297" t="s">
        <v>503</v>
      </c>
      <c r="N14" s="314"/>
      <c r="O14" s="314"/>
      <c r="P14" s="314"/>
      <c r="Q14" s="314"/>
      <c r="R14" s="314"/>
      <c r="S14" s="314"/>
      <c r="T14" s="314"/>
      <c r="U14" s="314"/>
      <c r="V14" s="314"/>
      <c r="W14" s="314"/>
      <c r="X14" s="314"/>
      <c r="Y14" s="314"/>
      <c r="Z14" s="314"/>
      <c r="AA14" s="314"/>
      <c r="AB14" s="314"/>
      <c r="AC14" s="314"/>
      <c r="AD14" s="314"/>
      <c r="AE14" s="314"/>
      <c r="AF14" s="314"/>
      <c r="AG14" s="314"/>
      <c r="AH14" s="317"/>
    </row>
    <row r="15" spans="1:48" s="315" customFormat="1" ht="13.5" customHeight="1">
      <c r="A15" s="324"/>
      <c r="B15" s="314" t="s">
        <v>504</v>
      </c>
      <c r="C15" s="314"/>
      <c r="D15" s="314"/>
      <c r="E15" s="314"/>
      <c r="F15" s="314"/>
      <c r="G15" s="314"/>
      <c r="H15" s="831" t="s">
        <v>296</v>
      </c>
      <c r="I15" s="314" t="s">
        <v>128</v>
      </c>
      <c r="J15" s="314"/>
      <c r="K15" s="314"/>
      <c r="M15" s="831" t="s">
        <v>124</v>
      </c>
      <c r="N15" s="314" t="s">
        <v>505</v>
      </c>
      <c r="O15" s="314"/>
      <c r="P15" s="314"/>
      <c r="R15" s="831" t="s">
        <v>124</v>
      </c>
      <c r="S15" s="314" t="s">
        <v>506</v>
      </c>
      <c r="T15" s="314"/>
      <c r="U15" s="314"/>
      <c r="X15" s="831" t="s">
        <v>124</v>
      </c>
      <c r="Y15" s="314" t="s">
        <v>507</v>
      </c>
      <c r="Z15" s="314"/>
      <c r="AA15" s="314"/>
      <c r="AB15" s="314"/>
      <c r="AC15" s="314"/>
      <c r="AD15" s="314"/>
      <c r="AE15" s="314"/>
      <c r="AF15" s="314"/>
      <c r="AG15" s="314"/>
      <c r="AH15" s="317"/>
      <c r="AL15" s="315" t="s">
        <v>1060</v>
      </c>
      <c r="AP15" s="315" t="s">
        <v>1259</v>
      </c>
    </row>
    <row r="16" spans="1:48" s="322" customFormat="1" ht="12.75">
      <c r="A16" s="318"/>
      <c r="B16" s="319"/>
      <c r="C16" s="326" t="s">
        <v>508</v>
      </c>
      <c r="D16" s="326"/>
      <c r="E16" s="326"/>
      <c r="F16" s="326"/>
      <c r="G16" s="326"/>
      <c r="H16" s="320"/>
      <c r="I16" s="320" t="s">
        <v>509</v>
      </c>
      <c r="J16" s="320"/>
      <c r="K16" s="320"/>
      <c r="M16" s="320"/>
      <c r="N16" s="320" t="s">
        <v>510</v>
      </c>
      <c r="O16" s="320"/>
      <c r="P16" s="320"/>
      <c r="R16" s="320"/>
      <c r="S16" s="320" t="s">
        <v>511</v>
      </c>
      <c r="T16" s="320"/>
      <c r="U16" s="320"/>
      <c r="X16" s="320"/>
      <c r="Y16" s="320" t="s">
        <v>512</v>
      </c>
      <c r="Z16" s="319"/>
      <c r="AA16" s="319"/>
      <c r="AB16" s="319"/>
      <c r="AC16" s="319"/>
      <c r="AD16" s="319"/>
      <c r="AE16" s="319"/>
      <c r="AF16" s="319"/>
      <c r="AG16" s="319"/>
      <c r="AH16" s="323"/>
      <c r="AL16" s="1375" t="str">
        <f>'01.入学願書'!CC18</f>
        <v>エラー要確認</v>
      </c>
      <c r="AM16" s="1375"/>
      <c r="AN16" s="1375"/>
      <c r="AO16" s="1375"/>
      <c r="AP16" s="322" t="str">
        <f>IF(AM17=1,AP17,"エラー要確認")</f>
        <v>卒業</v>
      </c>
    </row>
    <row r="17" spans="1:42" s="327" customFormat="1" ht="13.5" customHeight="1">
      <c r="A17" s="324"/>
      <c r="B17" s="315"/>
      <c r="C17" s="325" t="str">
        <f>IF(IFERROR(VLOOKUP(D17,AL16,1,FALSE),"")=D17,"■","□")</f>
        <v>□</v>
      </c>
      <c r="D17" s="314" t="s">
        <v>514</v>
      </c>
      <c r="E17" s="314"/>
      <c r="F17" s="314"/>
      <c r="G17" s="314"/>
      <c r="H17" s="314"/>
      <c r="I17" s="314"/>
      <c r="J17" s="325" t="s">
        <v>124</v>
      </c>
      <c r="K17" s="314" t="s">
        <v>515</v>
      </c>
      <c r="L17" s="314"/>
      <c r="M17" s="314"/>
      <c r="N17" s="314"/>
      <c r="O17" s="314"/>
      <c r="P17" s="314"/>
      <c r="Q17" s="325" t="str">
        <f>IF(IFERROR(VLOOKUP(R17,AL16,1,FALSE),"")=R17,"■","□")</f>
        <v>□</v>
      </c>
      <c r="R17" s="314" t="s">
        <v>139</v>
      </c>
      <c r="S17" s="314"/>
      <c r="T17" s="314"/>
      <c r="U17" s="314"/>
      <c r="V17" s="325" t="str">
        <f>IF(IFERROR(VLOOKUP(W17,AL16,1,FALSE),"")=W17,"■","□")</f>
        <v>□</v>
      </c>
      <c r="W17" s="314" t="s">
        <v>189</v>
      </c>
      <c r="X17" s="314"/>
      <c r="Y17" s="314"/>
      <c r="Z17" s="314"/>
      <c r="AA17" s="314"/>
      <c r="AB17" s="325" t="str">
        <f>IF(IFERROR(VLOOKUP(AC17,AL16,1,FALSE),"")=AC17,"■","□")</f>
        <v>□</v>
      </c>
      <c r="AC17" s="314" t="s">
        <v>188</v>
      </c>
      <c r="AD17" s="314"/>
      <c r="AE17" s="314"/>
      <c r="AF17" s="314"/>
      <c r="AG17" s="314"/>
      <c r="AH17" s="317"/>
      <c r="AM17" s="327">
        <f>COUNTIF(H15,"■")+COUNTIF(M15,"■")+COUNTIF(R15,"■")+COUNTIF(X15,"■")</f>
        <v>1</v>
      </c>
      <c r="AP17" s="830" t="str">
        <f>IF(H15="■","卒業",IF(M15="■","在学中",IF(R15="■","休学中",IF(X15="■","中退"))))</f>
        <v>卒業</v>
      </c>
    </row>
    <row r="18" spans="1:42" s="328" customFormat="1" ht="12.75">
      <c r="A18" s="318"/>
      <c r="B18" s="329"/>
      <c r="C18" s="329"/>
      <c r="D18" s="326" t="s">
        <v>517</v>
      </c>
      <c r="E18" s="326"/>
      <c r="F18" s="326"/>
      <c r="G18" s="326"/>
      <c r="H18" s="326"/>
      <c r="I18" s="326"/>
      <c r="J18" s="326"/>
      <c r="K18" s="326" t="s">
        <v>518</v>
      </c>
      <c r="L18" s="326"/>
      <c r="M18" s="326"/>
      <c r="N18" s="326"/>
      <c r="O18" s="326"/>
      <c r="P18" s="326"/>
      <c r="Q18" s="326"/>
      <c r="R18" s="326" t="s">
        <v>519</v>
      </c>
      <c r="S18" s="326"/>
      <c r="T18" s="326"/>
      <c r="U18" s="326"/>
      <c r="V18" s="326"/>
      <c r="W18" s="326" t="s">
        <v>520</v>
      </c>
      <c r="X18" s="326"/>
      <c r="Y18" s="326"/>
      <c r="Z18" s="326"/>
      <c r="AA18" s="326"/>
      <c r="AB18" s="326"/>
      <c r="AC18" s="326" t="s">
        <v>979</v>
      </c>
      <c r="AD18" s="319"/>
      <c r="AE18" s="319"/>
      <c r="AF18" s="319"/>
      <c r="AG18" s="319"/>
      <c r="AH18" s="323"/>
    </row>
    <row r="19" spans="1:42" s="330" customFormat="1" ht="13.5" customHeight="1">
      <c r="A19" s="331"/>
      <c r="B19" s="332"/>
      <c r="C19" s="325" t="str">
        <f>IF(IFERROR(VLOOKUP(D19,AL16,1,FALSE),"")=D19,"■","□")</f>
        <v>□</v>
      </c>
      <c r="D19" s="314" t="s">
        <v>521</v>
      </c>
      <c r="E19" s="314"/>
      <c r="F19" s="314"/>
      <c r="G19" s="314"/>
      <c r="H19" s="314"/>
      <c r="I19" s="314"/>
      <c r="J19" s="325" t="str">
        <f>IF(IFERROR(VLOOKUP(K19,AL16,1,FALSE),"")=K19,"■","□")</f>
        <v>□</v>
      </c>
      <c r="K19" s="314" t="s">
        <v>522</v>
      </c>
      <c r="L19" s="314"/>
      <c r="M19" s="314"/>
      <c r="N19" s="314"/>
      <c r="O19" s="314"/>
      <c r="P19" s="314"/>
      <c r="Q19" s="325" t="str">
        <f>IF(IFERROR(VLOOKUP(R19,AL16,1,FALSE),"")=R19,"■","□")</f>
        <v>□</v>
      </c>
      <c r="R19" s="314" t="s">
        <v>523</v>
      </c>
      <c r="S19" s="314"/>
      <c r="T19" s="333"/>
      <c r="U19" s="1389" t="str">
        <f>IF(Q19="□","",AL16)</f>
        <v/>
      </c>
      <c r="V19" s="1389"/>
      <c r="W19" s="1389"/>
      <c r="X19" s="1389"/>
      <c r="Y19" s="1389"/>
      <c r="Z19" s="1389"/>
      <c r="AA19" s="333" t="s">
        <v>524</v>
      </c>
      <c r="AB19" s="314"/>
      <c r="AC19" s="314"/>
      <c r="AD19" s="314"/>
      <c r="AE19" s="314"/>
      <c r="AF19" s="314"/>
      <c r="AG19" s="314"/>
      <c r="AH19" s="334"/>
    </row>
    <row r="20" spans="1:42" s="328" customFormat="1" ht="12.75">
      <c r="A20" s="318"/>
      <c r="B20" s="329"/>
      <c r="C20" s="319"/>
      <c r="D20" s="326" t="s">
        <v>525</v>
      </c>
      <c r="E20" s="326"/>
      <c r="F20" s="326"/>
      <c r="G20" s="326"/>
      <c r="H20" s="326"/>
      <c r="I20" s="326"/>
      <c r="J20" s="326"/>
      <c r="K20" s="326" t="s">
        <v>526</v>
      </c>
      <c r="L20" s="326"/>
      <c r="M20" s="326"/>
      <c r="N20" s="326"/>
      <c r="O20" s="326"/>
      <c r="P20" s="326"/>
      <c r="Q20" s="326"/>
      <c r="R20" s="326" t="s">
        <v>527</v>
      </c>
      <c r="S20" s="326"/>
      <c r="T20" s="319"/>
      <c r="U20" s="319"/>
      <c r="V20" s="319"/>
      <c r="W20" s="319"/>
      <c r="X20" s="319"/>
      <c r="Y20" s="319"/>
      <c r="Z20" s="319"/>
      <c r="AA20" s="319"/>
      <c r="AB20" s="319"/>
      <c r="AC20" s="319"/>
      <c r="AD20" s="319"/>
      <c r="AE20" s="319"/>
      <c r="AF20" s="319"/>
      <c r="AG20" s="319"/>
      <c r="AH20" s="323"/>
    </row>
    <row r="21" spans="1:42" s="335" customFormat="1" ht="14.25">
      <c r="A21" s="336"/>
      <c r="B21" s="337" t="s">
        <v>528</v>
      </c>
      <c r="C21" s="337"/>
      <c r="D21" s="337"/>
      <c r="E21" s="337"/>
      <c r="F21" s="337"/>
      <c r="G21" s="1396" t="str">
        <f>IF('01.入学願書'!CD18="","",'01.入学願書'!CD18)</f>
        <v>エラー要確認</v>
      </c>
      <c r="H21" s="1396"/>
      <c r="I21" s="1396"/>
      <c r="J21" s="1396"/>
      <c r="K21" s="1396"/>
      <c r="L21" s="1396"/>
      <c r="M21" s="338" t="s">
        <v>529</v>
      </c>
      <c r="N21" s="339"/>
      <c r="O21" s="339"/>
      <c r="P21" s="340"/>
      <c r="Q21" s="340"/>
      <c r="R21" s="340"/>
      <c r="S21" s="340"/>
      <c r="T21" s="340"/>
      <c r="U21" s="340"/>
      <c r="V21" s="340"/>
      <c r="W21" s="340"/>
      <c r="X21" s="1398"/>
      <c r="Y21" s="1398"/>
      <c r="Z21" s="1398"/>
      <c r="AA21" s="338" t="s">
        <v>4</v>
      </c>
      <c r="AB21" s="1398"/>
      <c r="AC21" s="1398"/>
      <c r="AD21" s="341" t="s">
        <v>34</v>
      </c>
      <c r="AE21" s="1398"/>
      <c r="AF21" s="1398"/>
      <c r="AG21" s="341" t="s">
        <v>530</v>
      </c>
      <c r="AH21" s="342"/>
    </row>
    <row r="22" spans="1:42" s="322" customFormat="1" ht="12.75">
      <c r="A22" s="343"/>
      <c r="B22" s="344" t="s">
        <v>531</v>
      </c>
      <c r="C22" s="345"/>
      <c r="D22" s="346"/>
      <c r="E22" s="347"/>
      <c r="F22" s="348"/>
      <c r="G22" s="1397"/>
      <c r="H22" s="1397"/>
      <c r="I22" s="1397"/>
      <c r="J22" s="1397"/>
      <c r="K22" s="1397"/>
      <c r="L22" s="1397"/>
      <c r="M22" s="349"/>
      <c r="N22" s="349" t="s">
        <v>532</v>
      </c>
      <c r="O22" s="349"/>
      <c r="P22" s="350"/>
      <c r="Q22" s="350"/>
      <c r="R22" s="351"/>
      <c r="S22" s="351"/>
      <c r="T22" s="351"/>
      <c r="U22" s="347"/>
      <c r="V22" s="302"/>
      <c r="W22" s="302"/>
      <c r="X22" s="1399"/>
      <c r="Y22" s="1399"/>
      <c r="Z22" s="1399"/>
      <c r="AA22" s="352"/>
      <c r="AB22" s="1399"/>
      <c r="AC22" s="1399"/>
      <c r="AD22" s="353"/>
      <c r="AE22" s="1399"/>
      <c r="AF22" s="1399"/>
      <c r="AG22" s="353"/>
      <c r="AH22" s="323"/>
    </row>
    <row r="23" spans="1:42" s="315" customFormat="1" ht="3.75" customHeight="1">
      <c r="A23" s="354"/>
      <c r="B23" s="355"/>
      <c r="C23" s="297"/>
      <c r="D23" s="297"/>
      <c r="E23" s="297"/>
      <c r="F23" s="297"/>
      <c r="G23" s="297"/>
      <c r="H23" s="297"/>
      <c r="I23" s="297"/>
      <c r="J23" s="297"/>
      <c r="K23" s="297"/>
      <c r="L23" s="297"/>
      <c r="M23" s="297"/>
      <c r="N23" s="297"/>
      <c r="O23" s="297"/>
      <c r="P23" s="297"/>
      <c r="Q23" s="297"/>
      <c r="R23" s="297"/>
      <c r="S23" s="297"/>
      <c r="T23" s="297"/>
      <c r="U23" s="297"/>
      <c r="V23" s="297"/>
      <c r="W23" s="297"/>
      <c r="X23" s="297"/>
      <c r="Y23" s="297"/>
      <c r="Z23" s="297"/>
      <c r="AA23" s="297"/>
      <c r="AB23" s="297"/>
      <c r="AC23" s="297"/>
      <c r="AD23" s="297"/>
      <c r="AE23" s="297"/>
      <c r="AF23" s="297"/>
      <c r="AG23" s="297"/>
      <c r="AH23" s="317"/>
    </row>
    <row r="24" spans="1:42" s="315" customFormat="1" ht="13.5" customHeight="1">
      <c r="A24" s="354" t="s">
        <v>533</v>
      </c>
      <c r="B24" s="355"/>
      <c r="C24" s="355"/>
      <c r="D24" s="355"/>
      <c r="E24" s="355"/>
      <c r="F24" s="355"/>
      <c r="G24" s="355"/>
      <c r="H24" s="355"/>
      <c r="I24" s="355"/>
      <c r="J24" s="355"/>
      <c r="K24" s="355"/>
      <c r="L24" s="355"/>
      <c r="M24" s="355"/>
      <c r="N24" s="355"/>
      <c r="O24" s="355"/>
      <c r="P24" s="355"/>
      <c r="Q24" s="355"/>
      <c r="R24" s="355"/>
      <c r="S24" s="355"/>
      <c r="T24" s="355"/>
      <c r="U24" s="355"/>
      <c r="V24" s="355"/>
      <c r="W24" s="355"/>
      <c r="X24" s="355"/>
      <c r="Y24" s="355"/>
      <c r="Z24" s="355"/>
      <c r="AA24" s="355"/>
      <c r="AB24" s="355"/>
      <c r="AC24" s="355"/>
      <c r="AD24" s="355"/>
      <c r="AE24" s="355"/>
      <c r="AF24" s="355"/>
      <c r="AG24" s="355"/>
      <c r="AH24" s="317"/>
    </row>
    <row r="25" spans="1:42" s="322" customFormat="1" ht="12" customHeight="1">
      <c r="A25" s="356"/>
      <c r="B25" s="1400" t="s">
        <v>534</v>
      </c>
      <c r="C25" s="1400"/>
      <c r="D25" s="1400"/>
      <c r="E25" s="1400"/>
      <c r="F25" s="1400"/>
      <c r="G25" s="1400"/>
      <c r="H25" s="1400"/>
      <c r="I25" s="1400"/>
      <c r="J25" s="1400"/>
      <c r="K25" s="1400"/>
      <c r="L25" s="1400"/>
      <c r="M25" s="1400"/>
      <c r="N25" s="1400"/>
      <c r="O25" s="1400"/>
      <c r="P25" s="1400"/>
      <c r="Q25" s="1400"/>
      <c r="R25" s="1400"/>
      <c r="S25" s="1400"/>
      <c r="T25" s="1400"/>
      <c r="U25" s="1400"/>
      <c r="V25" s="1400"/>
      <c r="W25" s="1400"/>
      <c r="X25" s="1400"/>
      <c r="Y25" s="1400"/>
      <c r="Z25" s="1400"/>
      <c r="AA25" s="1400"/>
      <c r="AB25" s="1400"/>
      <c r="AC25" s="1400"/>
      <c r="AD25" s="1400"/>
      <c r="AE25" s="1400"/>
      <c r="AF25" s="1400"/>
      <c r="AG25" s="1400"/>
      <c r="AH25" s="323"/>
    </row>
    <row r="26" spans="1:42" s="322" customFormat="1" ht="12" customHeight="1">
      <c r="A26" s="356"/>
      <c r="B26" s="357" t="s">
        <v>535</v>
      </c>
      <c r="C26" s="358"/>
      <c r="D26" s="358"/>
      <c r="E26" s="358"/>
      <c r="F26" s="358"/>
      <c r="G26" s="358"/>
      <c r="H26" s="358"/>
      <c r="I26" s="358"/>
      <c r="J26" s="358"/>
      <c r="K26" s="358"/>
      <c r="L26" s="358"/>
      <c r="M26" s="358"/>
      <c r="N26" s="358"/>
      <c r="O26" s="358"/>
      <c r="P26" s="358"/>
      <c r="Q26" s="358"/>
      <c r="R26" s="358"/>
      <c r="S26" s="358"/>
      <c r="T26" s="358"/>
      <c r="U26" s="358"/>
      <c r="V26" s="358"/>
      <c r="W26" s="358"/>
      <c r="X26" s="358"/>
      <c r="Y26" s="358"/>
      <c r="Z26" s="358"/>
      <c r="AA26" s="358"/>
      <c r="AB26" s="358"/>
      <c r="AC26" s="358"/>
      <c r="AD26" s="358"/>
      <c r="AE26" s="358"/>
      <c r="AF26" s="358"/>
      <c r="AG26" s="358"/>
      <c r="AH26" s="323"/>
    </row>
    <row r="27" spans="1:42" s="315" customFormat="1" ht="13.5" customHeight="1">
      <c r="A27" s="354"/>
      <c r="B27" s="315" t="s">
        <v>536</v>
      </c>
      <c r="C27" s="355" t="s">
        <v>537</v>
      </c>
      <c r="D27" s="359"/>
      <c r="E27" s="359"/>
      <c r="F27" s="359"/>
      <c r="G27" s="359"/>
      <c r="H27" s="360" t="s">
        <v>538</v>
      </c>
      <c r="I27" s="316"/>
      <c r="J27" s="361"/>
      <c r="K27" s="361"/>
      <c r="L27" s="316"/>
      <c r="N27" s="316"/>
      <c r="O27" s="316"/>
      <c r="P27" s="325"/>
      <c r="Q27" s="362"/>
      <c r="R27" s="362"/>
      <c r="S27" s="362"/>
      <c r="T27" s="362"/>
      <c r="U27" s="362"/>
      <c r="V27" s="362"/>
      <c r="W27" s="362"/>
      <c r="X27" s="362"/>
      <c r="Y27" s="362"/>
      <c r="Z27" s="362"/>
      <c r="AA27" s="362"/>
      <c r="AB27" s="362"/>
      <c r="AC27" s="362"/>
      <c r="AD27" s="363"/>
      <c r="AE27" s="364"/>
      <c r="AF27" s="364"/>
      <c r="AG27" s="316"/>
      <c r="AH27" s="317"/>
    </row>
    <row r="28" spans="1:42" s="315" customFormat="1" ht="12" customHeight="1">
      <c r="A28" s="354"/>
      <c r="B28" s="365" t="s">
        <v>539</v>
      </c>
      <c r="C28" s="366"/>
      <c r="D28" s="355"/>
      <c r="E28" s="355"/>
      <c r="F28" s="367" t="s">
        <v>540</v>
      </c>
      <c r="G28" s="355"/>
      <c r="H28" s="355"/>
      <c r="I28" s="355"/>
      <c r="J28" s="355"/>
      <c r="K28" s="355"/>
      <c r="L28" s="355"/>
      <c r="M28" s="355"/>
      <c r="N28" s="355"/>
      <c r="O28" s="355"/>
      <c r="P28" s="355"/>
      <c r="Q28" s="355"/>
      <c r="R28" s="368"/>
      <c r="S28" s="365" t="s">
        <v>541</v>
      </c>
      <c r="T28" s="366"/>
      <c r="U28" s="368"/>
      <c r="V28" s="368"/>
      <c r="W28" s="368"/>
      <c r="X28" s="1379" t="s">
        <v>542</v>
      </c>
      <c r="Y28" s="1379"/>
      <c r="Z28" s="1379"/>
      <c r="AA28" s="1379"/>
      <c r="AB28" s="1379"/>
      <c r="AC28" s="1379"/>
      <c r="AD28" s="363"/>
      <c r="AE28" s="364"/>
      <c r="AF28" s="364"/>
      <c r="AG28" s="367"/>
      <c r="AH28" s="317"/>
    </row>
    <row r="29" spans="1:42" s="315" customFormat="1" ht="11.25" customHeight="1">
      <c r="A29" s="354"/>
      <c r="B29" s="325"/>
      <c r="D29" s="1380"/>
      <c r="E29" s="1380"/>
      <c r="F29" s="1380"/>
      <c r="G29" s="1380"/>
      <c r="H29" s="1380"/>
      <c r="I29" s="1380"/>
      <c r="J29" s="1380"/>
      <c r="K29" s="1380"/>
      <c r="L29" s="1380"/>
      <c r="M29" s="1380"/>
      <c r="N29" s="1380"/>
      <c r="O29" s="1380"/>
      <c r="P29" s="1380"/>
      <c r="Q29" s="1380"/>
      <c r="T29" s="1380"/>
      <c r="U29" s="1380"/>
      <c r="V29" s="1380"/>
      <c r="W29" s="1380"/>
      <c r="X29" s="1380"/>
      <c r="Y29" s="1380"/>
      <c r="Z29" s="1380"/>
      <c r="AA29" s="1380"/>
      <c r="AB29" s="1380"/>
      <c r="AC29" s="1380"/>
      <c r="AD29" s="1380"/>
      <c r="AE29" s="1380"/>
      <c r="AF29" s="1380"/>
      <c r="AG29" s="1380"/>
      <c r="AH29" s="369"/>
    </row>
    <row r="30" spans="1:42" s="360" customFormat="1" ht="11.25" customHeight="1">
      <c r="A30" s="370"/>
      <c r="B30" s="371"/>
      <c r="C30" s="372"/>
      <c r="D30" s="1381"/>
      <c r="E30" s="1381"/>
      <c r="F30" s="1381"/>
      <c r="G30" s="1381"/>
      <c r="H30" s="1381"/>
      <c r="I30" s="1381"/>
      <c r="J30" s="1381"/>
      <c r="K30" s="1381"/>
      <c r="L30" s="1381"/>
      <c r="M30" s="1381"/>
      <c r="N30" s="1381"/>
      <c r="O30" s="1381"/>
      <c r="P30" s="1381"/>
      <c r="Q30" s="1381"/>
      <c r="R30" s="355"/>
      <c r="S30" s="355"/>
      <c r="T30" s="1381"/>
      <c r="U30" s="1381"/>
      <c r="V30" s="1381"/>
      <c r="W30" s="1381"/>
      <c r="X30" s="1381"/>
      <c r="Y30" s="1381"/>
      <c r="Z30" s="1381"/>
      <c r="AA30" s="1381"/>
      <c r="AB30" s="1381"/>
      <c r="AC30" s="1381"/>
      <c r="AD30" s="1381"/>
      <c r="AE30" s="1381"/>
      <c r="AF30" s="1381"/>
      <c r="AG30" s="1381"/>
      <c r="AH30" s="317"/>
    </row>
    <row r="31" spans="1:42" s="373" customFormat="1" ht="13.5" customHeight="1">
      <c r="A31" s="313"/>
      <c r="B31" s="325" t="s">
        <v>543</v>
      </c>
      <c r="C31" s="355" t="s">
        <v>544</v>
      </c>
      <c r="D31" s="355"/>
      <c r="E31" s="355"/>
      <c r="F31" s="355"/>
      <c r="G31" s="355"/>
      <c r="H31" s="355"/>
      <c r="I31" s="355"/>
      <c r="J31" s="355"/>
      <c r="K31" s="355"/>
      <c r="L31" s="355"/>
      <c r="M31" s="355"/>
      <c r="N31" s="355"/>
      <c r="O31" s="366"/>
      <c r="P31" s="297" t="s">
        <v>545</v>
      </c>
      <c r="Q31" s="355"/>
      <c r="R31" s="355"/>
      <c r="S31" s="355"/>
      <c r="T31" s="355"/>
      <c r="U31" s="355"/>
      <c r="V31" s="355"/>
      <c r="W31" s="355"/>
      <c r="X31" s="355"/>
      <c r="Y31" s="355"/>
      <c r="Z31" s="355"/>
      <c r="AA31" s="355"/>
      <c r="AB31" s="355"/>
      <c r="AC31" s="355"/>
      <c r="AD31" s="355"/>
      <c r="AE31" s="355"/>
      <c r="AF31" s="355"/>
      <c r="AG31" s="355"/>
      <c r="AH31" s="317"/>
    </row>
    <row r="32" spans="1:42" s="373" customFormat="1" ht="13.5" customHeight="1">
      <c r="A32" s="313"/>
      <c r="B32" s="316"/>
      <c r="C32" s="316" t="s">
        <v>546</v>
      </c>
      <c r="D32" s="316"/>
      <c r="E32" s="316"/>
      <c r="F32" s="1382"/>
      <c r="G32" s="1382"/>
      <c r="H32" s="1382"/>
      <c r="I32" s="1382"/>
      <c r="J32" s="1382"/>
      <c r="K32" s="1382"/>
      <c r="L32" s="1382"/>
      <c r="M32" s="1382"/>
      <c r="N32" s="1382"/>
      <c r="O32" s="1382"/>
      <c r="P32" s="1382"/>
      <c r="Q32" s="1382"/>
      <c r="R32" s="1382"/>
      <c r="S32" s="316"/>
      <c r="T32" s="316"/>
      <c r="U32" s="316"/>
      <c r="V32" s="316"/>
      <c r="AE32" s="316"/>
      <c r="AF32" s="316"/>
      <c r="AG32" s="316"/>
      <c r="AH32" s="374"/>
    </row>
    <row r="33" spans="1:37" s="375" customFormat="1" ht="12" customHeight="1">
      <c r="A33" s="376"/>
      <c r="B33" s="377"/>
      <c r="C33" s="326" t="s">
        <v>547</v>
      </c>
      <c r="D33" s="377"/>
      <c r="E33" s="377"/>
      <c r="F33" s="1383"/>
      <c r="G33" s="1383"/>
      <c r="H33" s="1383"/>
      <c r="I33" s="1383"/>
      <c r="J33" s="1383"/>
      <c r="K33" s="1383"/>
      <c r="L33" s="1383"/>
      <c r="M33" s="1383"/>
      <c r="N33" s="1383"/>
      <c r="O33" s="1383"/>
      <c r="P33" s="1383"/>
      <c r="Q33" s="1383"/>
      <c r="R33" s="1383"/>
      <c r="S33" s="377"/>
      <c r="T33" s="377"/>
      <c r="U33" s="377"/>
      <c r="V33" s="377"/>
      <c r="AE33" s="377"/>
      <c r="AF33" s="377"/>
      <c r="AG33" s="377"/>
      <c r="AH33" s="378"/>
    </row>
    <row r="34" spans="1:37" s="373" customFormat="1" ht="13.5" customHeight="1">
      <c r="A34" s="313"/>
      <c r="C34" s="316" t="s">
        <v>548</v>
      </c>
      <c r="D34" s="316"/>
      <c r="F34" s="316"/>
      <c r="G34" s="1384"/>
      <c r="H34" s="1384"/>
      <c r="I34" s="1384"/>
      <c r="J34" s="316"/>
      <c r="K34" s="316" t="s">
        <v>4</v>
      </c>
      <c r="L34" s="315"/>
      <c r="M34" s="1384"/>
      <c r="N34" s="1384"/>
      <c r="O34" s="316"/>
      <c r="P34" s="316" t="s">
        <v>34</v>
      </c>
      <c r="Q34" s="316"/>
      <c r="S34" s="316" t="s">
        <v>549</v>
      </c>
      <c r="T34" s="316"/>
      <c r="U34" s="316"/>
      <c r="V34" s="1386"/>
      <c r="W34" s="1386"/>
      <c r="X34" s="1386"/>
      <c r="Y34" s="316"/>
      <c r="Z34" s="316" t="s">
        <v>4</v>
      </c>
      <c r="AA34" s="315"/>
      <c r="AB34" s="1386"/>
      <c r="AC34" s="1386"/>
      <c r="AD34" s="316"/>
      <c r="AE34" s="316" t="s">
        <v>34</v>
      </c>
      <c r="AF34" s="316" t="s">
        <v>550</v>
      </c>
      <c r="AG34" s="316"/>
      <c r="AH34" s="374"/>
    </row>
    <row r="35" spans="1:37" s="322" customFormat="1" ht="12" customHeight="1">
      <c r="A35" s="356"/>
      <c r="B35" s="379"/>
      <c r="C35" s="326" t="s">
        <v>551</v>
      </c>
      <c r="D35" s="326"/>
      <c r="E35" s="326" t="s">
        <v>552</v>
      </c>
      <c r="F35" s="380"/>
      <c r="G35" s="1385"/>
      <c r="H35" s="1385"/>
      <c r="I35" s="1385"/>
      <c r="J35" s="380"/>
      <c r="K35" s="380" t="s">
        <v>553</v>
      </c>
      <c r="L35" s="381"/>
      <c r="M35" s="1385"/>
      <c r="N35" s="1385"/>
      <c r="O35" s="380"/>
      <c r="P35" s="353" t="s">
        <v>554</v>
      </c>
      <c r="Q35" s="326"/>
      <c r="R35" s="326"/>
      <c r="S35" s="382" t="s">
        <v>555</v>
      </c>
      <c r="U35" s="380"/>
      <c r="V35" s="1385"/>
      <c r="W35" s="1385"/>
      <c r="X35" s="1385"/>
      <c r="Y35" s="380"/>
      <c r="Z35" s="380" t="s">
        <v>556</v>
      </c>
      <c r="AA35" s="381"/>
      <c r="AB35" s="1385"/>
      <c r="AC35" s="1385"/>
      <c r="AD35" s="380"/>
      <c r="AE35" s="353" t="s">
        <v>554</v>
      </c>
      <c r="AG35" s="379"/>
      <c r="AH35" s="323"/>
    </row>
    <row r="36" spans="1:37" s="315" customFormat="1" ht="13.5">
      <c r="A36" s="354"/>
      <c r="B36" s="325" t="s">
        <v>516</v>
      </c>
      <c r="C36" s="355" t="s">
        <v>558</v>
      </c>
      <c r="D36" s="355"/>
      <c r="E36" s="355"/>
      <c r="F36" s="1386"/>
      <c r="G36" s="1386"/>
      <c r="H36" s="1386"/>
      <c r="I36" s="1386"/>
      <c r="J36" s="1386"/>
      <c r="K36" s="1386"/>
      <c r="L36" s="1386"/>
      <c r="M36" s="1386"/>
      <c r="N36" s="1386"/>
      <c r="O36" s="1386"/>
      <c r="P36" s="1386"/>
      <c r="Q36" s="1386"/>
      <c r="R36" s="1386"/>
      <c r="S36" s="1386"/>
      <c r="T36" s="1386"/>
      <c r="U36" s="1386"/>
      <c r="V36" s="1386"/>
      <c r="W36" s="1386"/>
      <c r="X36" s="1386"/>
      <c r="Y36" s="1386"/>
      <c r="Z36" s="1386"/>
      <c r="AA36" s="1386"/>
      <c r="AB36" s="1386"/>
      <c r="AC36" s="1386"/>
      <c r="AD36" s="1386"/>
      <c r="AE36" s="1386"/>
      <c r="AF36" s="1386"/>
      <c r="AG36" s="1386"/>
      <c r="AH36" s="317"/>
    </row>
    <row r="37" spans="1:37" s="322" customFormat="1" ht="12.75">
      <c r="A37" s="356"/>
      <c r="C37" s="326" t="s">
        <v>559</v>
      </c>
      <c r="F37" s="1385"/>
      <c r="G37" s="1385"/>
      <c r="H37" s="1385"/>
      <c r="I37" s="1385"/>
      <c r="J37" s="1385"/>
      <c r="K37" s="1385"/>
      <c r="L37" s="1385"/>
      <c r="M37" s="1385"/>
      <c r="N37" s="1385"/>
      <c r="O37" s="1385"/>
      <c r="P37" s="1385"/>
      <c r="Q37" s="1385"/>
      <c r="R37" s="1385"/>
      <c r="S37" s="1385"/>
      <c r="T37" s="1385"/>
      <c r="U37" s="1385"/>
      <c r="V37" s="1385"/>
      <c r="W37" s="1385"/>
      <c r="X37" s="1385"/>
      <c r="Y37" s="1385"/>
      <c r="Z37" s="1385"/>
      <c r="AA37" s="1385"/>
      <c r="AB37" s="1385"/>
      <c r="AC37" s="1385"/>
      <c r="AD37" s="1385"/>
      <c r="AE37" s="1385"/>
      <c r="AF37" s="1385"/>
      <c r="AG37" s="1385"/>
      <c r="AH37" s="323"/>
    </row>
    <row r="38" spans="1:37" s="373" customFormat="1" ht="11.25" customHeight="1">
      <c r="A38" s="313"/>
      <c r="F38" s="1387"/>
      <c r="G38" s="1387"/>
      <c r="H38" s="1387"/>
      <c r="I38" s="1387"/>
      <c r="J38" s="1387"/>
      <c r="K38" s="1387"/>
      <c r="L38" s="1387"/>
      <c r="M38" s="1387"/>
      <c r="N38" s="1387"/>
      <c r="O38" s="1387"/>
      <c r="P38" s="1387"/>
      <c r="Q38" s="1387"/>
      <c r="R38" s="1387"/>
      <c r="S38" s="1387"/>
      <c r="T38" s="1387"/>
      <c r="U38" s="1387"/>
      <c r="V38" s="1387"/>
      <c r="W38" s="1387"/>
      <c r="X38" s="1387"/>
      <c r="Y38" s="1387"/>
      <c r="Z38" s="1387"/>
      <c r="AA38" s="1387"/>
      <c r="AB38" s="1387"/>
      <c r="AC38" s="1387"/>
      <c r="AD38" s="1387"/>
      <c r="AE38" s="1387"/>
      <c r="AF38" s="1387"/>
      <c r="AG38" s="1387"/>
      <c r="AH38" s="374"/>
    </row>
    <row r="39" spans="1:37" s="373" customFormat="1" ht="11.25" customHeight="1">
      <c r="A39" s="313"/>
      <c r="F39" s="1388"/>
      <c r="G39" s="1388"/>
      <c r="H39" s="1388"/>
      <c r="I39" s="1388"/>
      <c r="J39" s="1388"/>
      <c r="K39" s="1388"/>
      <c r="L39" s="1388"/>
      <c r="M39" s="1388"/>
      <c r="N39" s="1388"/>
      <c r="O39" s="1388"/>
      <c r="P39" s="1388"/>
      <c r="Q39" s="1388"/>
      <c r="R39" s="1388"/>
      <c r="S39" s="1388"/>
      <c r="T39" s="1388"/>
      <c r="U39" s="1388"/>
      <c r="V39" s="1388"/>
      <c r="W39" s="1388"/>
      <c r="X39" s="1388"/>
      <c r="Y39" s="1388"/>
      <c r="Z39" s="1388"/>
      <c r="AA39" s="1388"/>
      <c r="AB39" s="1388"/>
      <c r="AC39" s="1388"/>
      <c r="AD39" s="1388"/>
      <c r="AE39" s="1388"/>
      <c r="AF39" s="1388"/>
      <c r="AG39" s="1388"/>
      <c r="AH39" s="374"/>
    </row>
    <row r="40" spans="1:37" s="373" customFormat="1" ht="3" customHeight="1">
      <c r="A40" s="313"/>
      <c r="AH40" s="374"/>
    </row>
    <row r="41" spans="1:37" s="327" customFormat="1" ht="13.5" customHeight="1">
      <c r="A41" s="324" t="s">
        <v>560</v>
      </c>
      <c r="B41" s="315"/>
      <c r="C41" s="315"/>
      <c r="D41" s="315"/>
      <c r="E41" s="315"/>
      <c r="F41" s="315"/>
      <c r="G41" s="315"/>
      <c r="H41" s="315"/>
      <c r="I41" s="315"/>
      <c r="J41" s="315"/>
      <c r="K41" s="315"/>
      <c r="L41" s="315"/>
      <c r="M41" s="315"/>
      <c r="N41" s="315"/>
      <c r="O41" s="315"/>
      <c r="P41" s="315"/>
      <c r="Q41" s="315"/>
      <c r="R41" s="315"/>
      <c r="S41" s="315"/>
      <c r="T41" s="315"/>
      <c r="U41" s="315"/>
      <c r="V41" s="315"/>
      <c r="W41" s="315"/>
      <c r="X41" s="315"/>
      <c r="Y41" s="315"/>
      <c r="Z41" s="315"/>
      <c r="AA41" s="315"/>
      <c r="AB41" s="315"/>
      <c r="AC41" s="315"/>
      <c r="AD41" s="315"/>
      <c r="AE41" s="315"/>
      <c r="AF41" s="315"/>
      <c r="AG41" s="315"/>
      <c r="AH41" s="317"/>
    </row>
    <row r="42" spans="1:37" s="328" customFormat="1" ht="12.75" customHeight="1">
      <c r="A42" s="318"/>
      <c r="B42" s="326" t="s">
        <v>561</v>
      </c>
      <c r="C42" s="322"/>
      <c r="D42" s="322"/>
      <c r="E42" s="322"/>
      <c r="F42" s="322"/>
      <c r="G42" s="322"/>
      <c r="H42" s="322"/>
      <c r="I42" s="322"/>
      <c r="J42" s="322"/>
      <c r="K42" s="322"/>
      <c r="L42" s="322"/>
      <c r="M42" s="322"/>
      <c r="N42" s="322"/>
      <c r="O42" s="322"/>
      <c r="P42" s="322"/>
      <c r="Q42" s="322"/>
      <c r="R42" s="322"/>
      <c r="S42" s="322"/>
      <c r="T42" s="322"/>
      <c r="U42" s="322"/>
      <c r="V42" s="322"/>
      <c r="W42" s="322"/>
      <c r="X42" s="322"/>
      <c r="Y42" s="322"/>
      <c r="Z42" s="322"/>
      <c r="AA42" s="322"/>
      <c r="AB42" s="322"/>
      <c r="AC42" s="322"/>
      <c r="AD42" s="322"/>
      <c r="AE42" s="322"/>
      <c r="AF42" s="322"/>
      <c r="AG42" s="322"/>
      <c r="AH42" s="323"/>
    </row>
    <row r="43" spans="1:37" s="383" customFormat="1" ht="13.5" customHeight="1">
      <c r="A43" s="313"/>
      <c r="B43" s="355" t="s">
        <v>562</v>
      </c>
      <c r="C43" s="355"/>
      <c r="D43" s="355"/>
      <c r="E43" s="355"/>
      <c r="F43" s="355"/>
      <c r="G43" s="384"/>
      <c r="H43" s="355"/>
      <c r="I43" s="355"/>
      <c r="J43" s="355"/>
      <c r="K43" s="355"/>
      <c r="L43" s="355"/>
      <c r="M43" s="355"/>
      <c r="N43" s="355"/>
      <c r="O43" s="355"/>
      <c r="P43" s="355"/>
      <c r="Q43" s="355"/>
      <c r="R43" s="355"/>
      <c r="S43" s="355"/>
      <c r="T43" s="355"/>
      <c r="U43" s="355"/>
      <c r="V43" s="355"/>
      <c r="W43" s="355"/>
      <c r="X43" s="355"/>
      <c r="Y43" s="355"/>
      <c r="Z43" s="384"/>
      <c r="AA43" s="355"/>
      <c r="AB43" s="355"/>
      <c r="AC43" s="355"/>
      <c r="AD43" s="355"/>
      <c r="AE43" s="355"/>
      <c r="AF43" s="355"/>
      <c r="AG43" s="355"/>
      <c r="AH43" s="374"/>
    </row>
    <row r="44" spans="1:37" s="385" customFormat="1" ht="12.75" customHeight="1">
      <c r="A44" s="376"/>
      <c r="B44" s="326" t="s">
        <v>563</v>
      </c>
      <c r="C44" s="379"/>
      <c r="D44" s="379"/>
      <c r="E44" s="379"/>
      <c r="F44" s="379"/>
      <c r="G44" s="386"/>
      <c r="H44" s="379"/>
      <c r="I44" s="379"/>
      <c r="J44" s="379"/>
      <c r="K44" s="379"/>
      <c r="L44" s="379"/>
      <c r="M44" s="379"/>
      <c r="N44" s="379"/>
      <c r="O44" s="379"/>
      <c r="P44" s="379"/>
      <c r="Q44" s="379"/>
      <c r="R44" s="379"/>
      <c r="S44" s="379"/>
      <c r="T44" s="379"/>
      <c r="U44" s="379"/>
      <c r="V44" s="379"/>
      <c r="W44" s="379"/>
      <c r="X44" s="379"/>
      <c r="Y44" s="379"/>
      <c r="Z44" s="386"/>
      <c r="AA44" s="379"/>
      <c r="AB44" s="379"/>
      <c r="AC44" s="379"/>
      <c r="AD44" s="379"/>
      <c r="AE44" s="379"/>
      <c r="AF44" s="379"/>
      <c r="AG44" s="379"/>
      <c r="AH44" s="378"/>
      <c r="AK44" s="322"/>
    </row>
    <row r="45" spans="1:37" s="327" customFormat="1" ht="13.5">
      <c r="A45" s="324"/>
      <c r="B45" s="316"/>
      <c r="C45" s="316" t="s">
        <v>546</v>
      </c>
      <c r="D45" s="316"/>
      <c r="E45" s="316"/>
      <c r="F45" s="1389"/>
      <c r="G45" s="1389"/>
      <c r="H45" s="1389"/>
      <c r="I45" s="1389"/>
      <c r="J45" s="1389"/>
      <c r="K45" s="1389"/>
      <c r="L45" s="1389"/>
      <c r="M45" s="1389"/>
      <c r="N45" s="1389"/>
      <c r="O45" s="1389"/>
      <c r="P45" s="1389"/>
      <c r="Q45" s="1389"/>
      <c r="R45" s="1389"/>
      <c r="S45" s="316"/>
      <c r="T45" s="316"/>
      <c r="U45" s="316"/>
      <c r="V45" s="316"/>
      <c r="W45" s="373"/>
      <c r="X45" s="373"/>
      <c r="Y45" s="373"/>
      <c r="Z45" s="373"/>
      <c r="AA45" s="373"/>
      <c r="AB45" s="373"/>
      <c r="AC45" s="373"/>
      <c r="AD45" s="373"/>
      <c r="AE45" s="316"/>
      <c r="AF45" s="316"/>
      <c r="AG45" s="316"/>
      <c r="AH45" s="317"/>
      <c r="AK45" s="315"/>
    </row>
    <row r="46" spans="1:37" s="328" customFormat="1" ht="12.75">
      <c r="A46" s="318"/>
      <c r="B46" s="377"/>
      <c r="C46" s="326" t="s">
        <v>564</v>
      </c>
      <c r="D46" s="377"/>
      <c r="E46" s="377"/>
      <c r="F46" s="1390"/>
      <c r="G46" s="1390"/>
      <c r="H46" s="1390"/>
      <c r="I46" s="1390"/>
      <c r="J46" s="1390"/>
      <c r="K46" s="1390"/>
      <c r="L46" s="1390"/>
      <c r="M46" s="1390"/>
      <c r="N46" s="1390"/>
      <c r="O46" s="1390"/>
      <c r="P46" s="1390"/>
      <c r="Q46" s="1390"/>
      <c r="R46" s="1390"/>
      <c r="S46" s="377"/>
      <c r="T46" s="377"/>
      <c r="U46" s="377"/>
      <c r="V46" s="377"/>
      <c r="W46" s="375"/>
      <c r="X46" s="375"/>
      <c r="Y46" s="375"/>
      <c r="Z46" s="375"/>
      <c r="AA46" s="375"/>
      <c r="AB46" s="375"/>
      <c r="AC46" s="375"/>
      <c r="AD46" s="375"/>
      <c r="AE46" s="377"/>
      <c r="AF46" s="377"/>
      <c r="AG46" s="377"/>
      <c r="AH46" s="323"/>
      <c r="AK46" s="377"/>
    </row>
    <row r="47" spans="1:37" s="327" customFormat="1" ht="13.5">
      <c r="A47" s="324"/>
      <c r="B47" s="373"/>
      <c r="C47" s="316" t="s">
        <v>548</v>
      </c>
      <c r="D47" s="316"/>
      <c r="E47" s="373"/>
      <c r="F47" s="316"/>
      <c r="G47" s="1391"/>
      <c r="H47" s="1391"/>
      <c r="I47" s="1391"/>
      <c r="J47" s="316"/>
      <c r="K47" s="316" t="s">
        <v>4</v>
      </c>
      <c r="L47" s="315"/>
      <c r="M47" s="1391"/>
      <c r="N47" s="1391"/>
      <c r="O47" s="316"/>
      <c r="P47" s="316" t="s">
        <v>34</v>
      </c>
      <c r="Q47" s="316"/>
      <c r="R47" s="373"/>
      <c r="S47" s="316" t="s">
        <v>565</v>
      </c>
      <c r="T47" s="316"/>
      <c r="U47" s="316"/>
      <c r="V47" s="1389"/>
      <c r="W47" s="1389"/>
      <c r="X47" s="1389"/>
      <c r="Y47" s="316"/>
      <c r="Z47" s="316" t="s">
        <v>4</v>
      </c>
      <c r="AA47" s="315"/>
      <c r="AB47" s="1389"/>
      <c r="AC47" s="1389"/>
      <c r="AD47" s="316"/>
      <c r="AE47" s="316" t="s">
        <v>34</v>
      </c>
      <c r="AF47" s="316" t="s">
        <v>550</v>
      </c>
      <c r="AG47" s="316"/>
      <c r="AH47" s="317"/>
      <c r="AK47" s="314"/>
    </row>
    <row r="48" spans="1:37" s="328" customFormat="1" ht="12.75">
      <c r="A48" s="318"/>
      <c r="B48" s="322"/>
      <c r="C48" s="326" t="s">
        <v>551</v>
      </c>
      <c r="D48" s="326"/>
      <c r="E48" s="326" t="s">
        <v>566</v>
      </c>
      <c r="F48" s="380"/>
      <c r="G48" s="1390"/>
      <c r="H48" s="1390"/>
      <c r="I48" s="1390"/>
      <c r="J48" s="380"/>
      <c r="K48" s="380" t="s">
        <v>556</v>
      </c>
      <c r="L48" s="381"/>
      <c r="M48" s="1390"/>
      <c r="N48" s="1390"/>
      <c r="O48" s="380"/>
      <c r="P48" s="353" t="s">
        <v>31</v>
      </c>
      <c r="Q48" s="326"/>
      <c r="R48" s="326"/>
      <c r="S48" s="382" t="s">
        <v>555</v>
      </c>
      <c r="T48" s="326"/>
      <c r="U48" s="380"/>
      <c r="V48" s="1390"/>
      <c r="W48" s="1390"/>
      <c r="X48" s="1390"/>
      <c r="Y48" s="380"/>
      <c r="Z48" s="380" t="s">
        <v>30</v>
      </c>
      <c r="AA48" s="381"/>
      <c r="AB48" s="1390"/>
      <c r="AC48" s="1390"/>
      <c r="AD48" s="380"/>
      <c r="AE48" s="353" t="s">
        <v>554</v>
      </c>
      <c r="AF48" s="322"/>
      <c r="AG48" s="322"/>
      <c r="AH48" s="323"/>
    </row>
    <row r="49" spans="1:34" s="327" customFormat="1" ht="3" customHeight="1">
      <c r="A49" s="324"/>
      <c r="B49" s="315"/>
      <c r="C49" s="297"/>
      <c r="D49" s="297"/>
      <c r="E49" s="297"/>
      <c r="F49" s="297"/>
      <c r="G49" s="297"/>
      <c r="H49" s="297"/>
      <c r="I49" s="297"/>
      <c r="J49" s="297"/>
      <c r="K49" s="297"/>
      <c r="L49" s="315"/>
      <c r="M49" s="297"/>
      <c r="N49" s="297"/>
      <c r="O49" s="297"/>
      <c r="P49" s="387"/>
      <c r="Q49" s="297"/>
      <c r="R49" s="297"/>
      <c r="S49" s="297"/>
      <c r="T49" s="297"/>
      <c r="U49" s="297"/>
      <c r="V49" s="297"/>
      <c r="W49" s="297"/>
      <c r="X49" s="297"/>
      <c r="Y49" s="297"/>
      <c r="Z49" s="297"/>
      <c r="AA49" s="315"/>
      <c r="AB49" s="297"/>
      <c r="AC49" s="297"/>
      <c r="AD49" s="297"/>
      <c r="AE49" s="387"/>
      <c r="AF49" s="315"/>
      <c r="AG49" s="315"/>
      <c r="AH49" s="317"/>
    </row>
    <row r="50" spans="1:34" s="327" customFormat="1" ht="14.25" customHeight="1">
      <c r="A50" s="324" t="s">
        <v>567</v>
      </c>
      <c r="B50" s="314"/>
      <c r="C50" s="314"/>
      <c r="D50" s="314"/>
      <c r="E50" s="314"/>
      <c r="F50" s="314"/>
      <c r="G50" s="314"/>
      <c r="H50" s="314"/>
      <c r="I50" s="315"/>
      <c r="J50" s="297" t="s">
        <v>568</v>
      </c>
      <c r="K50" s="297"/>
      <c r="L50" s="297"/>
      <c r="M50" s="314"/>
      <c r="N50" s="314"/>
      <c r="O50" s="314"/>
      <c r="P50" s="314"/>
      <c r="Q50" s="314"/>
      <c r="R50" s="314"/>
      <c r="S50" s="314"/>
      <c r="T50" s="314"/>
      <c r="U50" s="314"/>
      <c r="V50" s="314"/>
      <c r="W50" s="314"/>
      <c r="X50" s="314"/>
      <c r="Y50" s="314"/>
      <c r="Z50" s="314"/>
      <c r="AA50" s="314"/>
      <c r="AB50" s="314"/>
      <c r="AC50" s="314"/>
      <c r="AD50" s="314"/>
      <c r="AE50" s="314"/>
      <c r="AF50" s="314"/>
      <c r="AG50" s="314"/>
      <c r="AH50" s="317"/>
    </row>
    <row r="51" spans="1:34" s="315" customFormat="1" ht="14.25" customHeight="1">
      <c r="A51" s="354"/>
      <c r="B51" s="355" t="s">
        <v>569</v>
      </c>
      <c r="C51" s="388"/>
      <c r="D51" s="388"/>
      <c r="E51" s="388"/>
      <c r="F51" s="355"/>
      <c r="G51" s="384"/>
      <c r="H51" s="355"/>
      <c r="I51" s="297"/>
      <c r="J51" s="297"/>
      <c r="K51" s="297"/>
      <c r="M51" s="326" t="s">
        <v>570</v>
      </c>
      <c r="N51" s="355"/>
      <c r="O51" s="355"/>
      <c r="P51" s="355"/>
      <c r="Q51" s="355"/>
      <c r="R51" s="355"/>
      <c r="S51" s="355"/>
      <c r="T51" s="355"/>
      <c r="U51" s="355"/>
      <c r="V51" s="355"/>
      <c r="W51" s="355"/>
      <c r="X51" s="355"/>
      <c r="Y51" s="355"/>
      <c r="Z51" s="355"/>
      <c r="AA51" s="355"/>
      <c r="AB51" s="355"/>
      <c r="AC51" s="355"/>
      <c r="AD51" s="384"/>
      <c r="AE51" s="371"/>
      <c r="AF51" s="355"/>
      <c r="AG51" s="355"/>
      <c r="AH51" s="369"/>
    </row>
    <row r="52" spans="1:34" s="315" customFormat="1" ht="13.5">
      <c r="A52" s="354"/>
      <c r="B52" s="364" t="s">
        <v>571</v>
      </c>
      <c r="C52" s="314" t="s">
        <v>572</v>
      </c>
      <c r="D52" s="314"/>
      <c r="E52" s="314"/>
      <c r="F52" s="389"/>
      <c r="G52" s="389"/>
      <c r="H52" s="390"/>
      <c r="I52" s="1389"/>
      <c r="J52" s="1389"/>
      <c r="K52" s="1389"/>
      <c r="L52" s="1389"/>
      <c r="M52" s="1389"/>
      <c r="N52" s="1389"/>
      <c r="O52" s="314" t="s">
        <v>573</v>
      </c>
      <c r="P52" s="314"/>
      <c r="S52" s="364" t="s">
        <v>296</v>
      </c>
      <c r="T52" s="315" t="s">
        <v>574</v>
      </c>
      <c r="Z52" s="391"/>
      <c r="AA52" s="391"/>
      <c r="AB52" s="1405" t="str">
        <f>IF('02.経費支弁書'!R32="","",'02.経費支弁書'!R32)/10000&amp;"万"</f>
        <v>8万</v>
      </c>
      <c r="AC52" s="1405"/>
      <c r="AD52" s="1405"/>
      <c r="AE52" s="1405"/>
      <c r="AF52" s="1405"/>
      <c r="AG52" s="315" t="s">
        <v>573</v>
      </c>
      <c r="AH52" s="369"/>
    </row>
    <row r="53" spans="1:34" s="322" customFormat="1" ht="13.5">
      <c r="A53" s="356"/>
      <c r="B53" s="319"/>
      <c r="C53" s="326" t="s">
        <v>575</v>
      </c>
      <c r="D53" s="326"/>
      <c r="E53" s="326"/>
      <c r="F53" s="392"/>
      <c r="G53" s="392"/>
      <c r="H53" s="393"/>
      <c r="I53" s="1390"/>
      <c r="J53" s="1390"/>
      <c r="K53" s="1390"/>
      <c r="L53" s="1390"/>
      <c r="M53" s="1390"/>
      <c r="N53" s="1390"/>
      <c r="O53" s="326" t="s">
        <v>576</v>
      </c>
      <c r="P53" s="326"/>
      <c r="Q53" s="326"/>
      <c r="T53" s="326" t="s">
        <v>577</v>
      </c>
      <c r="Z53" s="391"/>
      <c r="AA53" s="391"/>
      <c r="AB53" s="1406"/>
      <c r="AC53" s="1406"/>
      <c r="AD53" s="1406"/>
      <c r="AE53" s="1406"/>
      <c r="AF53" s="1406"/>
      <c r="AG53" s="322" t="s">
        <v>578</v>
      </c>
      <c r="AH53" s="394"/>
    </row>
    <row r="54" spans="1:34" s="315" customFormat="1" ht="3" customHeight="1">
      <c r="A54" s="354"/>
      <c r="AH54" s="369"/>
    </row>
    <row r="55" spans="1:34" s="315" customFormat="1" ht="13.5">
      <c r="A55" s="354"/>
      <c r="B55" s="364" t="s">
        <v>177</v>
      </c>
      <c r="C55" s="314" t="s">
        <v>579</v>
      </c>
      <c r="D55" s="314"/>
      <c r="E55" s="314"/>
      <c r="F55" s="314"/>
      <c r="G55" s="314"/>
      <c r="H55" s="314"/>
      <c r="I55" s="314"/>
      <c r="J55" s="355"/>
      <c r="K55" s="390"/>
      <c r="L55" s="1389"/>
      <c r="M55" s="1389"/>
      <c r="N55" s="1389"/>
      <c r="O55" s="1389"/>
      <c r="P55" s="1389"/>
      <c r="Q55" s="1389"/>
      <c r="R55" s="333" t="s">
        <v>573</v>
      </c>
      <c r="U55" s="390" t="s">
        <v>368</v>
      </c>
      <c r="V55" s="314" t="s">
        <v>580</v>
      </c>
      <c r="W55" s="314"/>
      <c r="X55" s="314"/>
      <c r="Y55" s="390"/>
      <c r="Z55" s="390"/>
      <c r="AA55" s="1389"/>
      <c r="AB55" s="1389"/>
      <c r="AC55" s="1389"/>
      <c r="AD55" s="1389"/>
      <c r="AE55" s="1389"/>
      <c r="AF55" s="1389"/>
      <c r="AG55" s="371" t="s">
        <v>573</v>
      </c>
      <c r="AH55" s="369"/>
    </row>
    <row r="56" spans="1:34" s="322" customFormat="1" ht="12.75">
      <c r="A56" s="356"/>
      <c r="B56" s="326"/>
      <c r="C56" s="326" t="s">
        <v>581</v>
      </c>
      <c r="D56" s="326"/>
      <c r="E56" s="326"/>
      <c r="F56" s="326"/>
      <c r="G56" s="326"/>
      <c r="H56" s="326"/>
      <c r="I56" s="326"/>
      <c r="J56" s="379"/>
      <c r="K56" s="393"/>
      <c r="L56" s="1390"/>
      <c r="M56" s="1390"/>
      <c r="N56" s="1390"/>
      <c r="O56" s="1390"/>
      <c r="P56" s="1390"/>
      <c r="Q56" s="1390"/>
      <c r="R56" s="326" t="s">
        <v>576</v>
      </c>
      <c r="S56" s="326"/>
      <c r="T56" s="326"/>
      <c r="U56" s="326"/>
      <c r="V56" s="326" t="s">
        <v>582</v>
      </c>
      <c r="W56" s="326"/>
      <c r="X56" s="319"/>
      <c r="Y56" s="393"/>
      <c r="Z56" s="393"/>
      <c r="AA56" s="1390"/>
      <c r="AB56" s="1390"/>
      <c r="AC56" s="1390"/>
      <c r="AD56" s="1390"/>
      <c r="AE56" s="1390"/>
      <c r="AF56" s="1390"/>
      <c r="AG56" s="326" t="s">
        <v>576</v>
      </c>
      <c r="AH56" s="394"/>
    </row>
    <row r="57" spans="1:34" s="315" customFormat="1" ht="3" customHeight="1">
      <c r="A57" s="354"/>
      <c r="AD57" s="314"/>
      <c r="AE57" s="314"/>
      <c r="AF57" s="314"/>
      <c r="AG57" s="314"/>
      <c r="AH57" s="369"/>
    </row>
    <row r="58" spans="1:34" s="315" customFormat="1" ht="13.5">
      <c r="A58" s="354"/>
      <c r="B58" s="364" t="s">
        <v>583</v>
      </c>
      <c r="C58" s="355" t="s">
        <v>584</v>
      </c>
      <c r="D58" s="355"/>
      <c r="E58" s="314"/>
      <c r="F58" s="355"/>
      <c r="G58" s="390"/>
      <c r="H58" s="1389"/>
      <c r="I58" s="1389"/>
      <c r="J58" s="1389"/>
      <c r="K58" s="1389"/>
      <c r="L58" s="1389"/>
      <c r="M58" s="1389"/>
      <c r="N58" s="314" t="s">
        <v>573</v>
      </c>
      <c r="O58" s="297"/>
      <c r="P58" s="297"/>
      <c r="Q58" s="297"/>
      <c r="R58" s="297"/>
      <c r="S58" s="297"/>
      <c r="T58" s="297"/>
      <c r="U58" s="314"/>
      <c r="V58" s="314"/>
      <c r="W58" s="314"/>
      <c r="X58" s="314"/>
      <c r="Y58" s="314"/>
      <c r="Z58" s="314"/>
      <c r="AA58" s="314"/>
      <c r="AB58" s="314"/>
      <c r="AC58" s="314"/>
      <c r="AD58" s="314"/>
      <c r="AE58" s="314"/>
      <c r="AF58" s="314"/>
      <c r="AG58" s="314"/>
      <c r="AH58" s="369"/>
    </row>
    <row r="59" spans="1:34" s="322" customFormat="1" ht="13.5" customHeight="1">
      <c r="A59" s="356"/>
      <c r="B59" s="379"/>
      <c r="C59" s="326" t="s">
        <v>585</v>
      </c>
      <c r="D59" s="379"/>
      <c r="E59" s="395"/>
      <c r="F59" s="395"/>
      <c r="G59" s="393"/>
      <c r="H59" s="1390"/>
      <c r="I59" s="1390"/>
      <c r="J59" s="1390"/>
      <c r="K59" s="1390"/>
      <c r="L59" s="1390"/>
      <c r="M59" s="1390"/>
      <c r="N59" s="326" t="s">
        <v>576</v>
      </c>
      <c r="AH59" s="394"/>
    </row>
    <row r="60" spans="1:34" s="322" customFormat="1" ht="2.25" customHeight="1">
      <c r="A60" s="356"/>
      <c r="B60" s="379"/>
      <c r="C60" s="326"/>
      <c r="D60" s="379"/>
      <c r="E60" s="379"/>
      <c r="F60" s="379"/>
      <c r="G60" s="396"/>
      <c r="H60" s="397"/>
      <c r="I60" s="397"/>
      <c r="J60" s="397"/>
      <c r="K60" s="397"/>
      <c r="L60" s="397"/>
      <c r="M60" s="397"/>
      <c r="N60" s="326"/>
      <c r="AH60" s="394"/>
    </row>
    <row r="61" spans="1:34" s="315" customFormat="1" ht="13.5">
      <c r="A61" s="354"/>
      <c r="B61" s="365" t="s">
        <v>586</v>
      </c>
      <c r="I61" s="297" t="s">
        <v>587</v>
      </c>
      <c r="AH61" s="369"/>
    </row>
    <row r="62" spans="1:34" s="315" customFormat="1" ht="13.5">
      <c r="A62" s="354"/>
      <c r="B62" s="364" t="s">
        <v>583</v>
      </c>
      <c r="C62" s="314" t="s">
        <v>588</v>
      </c>
      <c r="D62" s="314"/>
      <c r="E62" s="314"/>
      <c r="F62" s="314"/>
      <c r="G62" s="314"/>
      <c r="H62" s="389"/>
      <c r="I62" s="390"/>
      <c r="J62" s="1389"/>
      <c r="K62" s="1389"/>
      <c r="L62" s="1389"/>
      <c r="M62" s="1389"/>
      <c r="N62" s="1389"/>
      <c r="O62" s="1389"/>
      <c r="P62" s="333" t="s">
        <v>573</v>
      </c>
      <c r="S62" s="364" t="s">
        <v>296</v>
      </c>
      <c r="T62" s="314" t="s">
        <v>589</v>
      </c>
      <c r="U62" s="314"/>
      <c r="V62" s="314"/>
      <c r="W62" s="314"/>
      <c r="X62" s="314"/>
      <c r="Z62" s="1407" t="str">
        <f>IF('02.経費支弁書'!R32="","",'02.経費支弁書'!R32*'02.経費支弁書'!AC10)/10000&amp;"万"&amp;"/"&amp;'02.経費支弁書'!AC10&amp;'02.経費支弁書'!AD10</f>
        <v>48万/6ヶ月</v>
      </c>
      <c r="AA62" s="1407"/>
      <c r="AB62" s="1407"/>
      <c r="AC62" s="1407"/>
      <c r="AD62" s="1407"/>
      <c r="AE62" s="1407"/>
      <c r="AF62" s="1407"/>
      <c r="AG62" s="314" t="s">
        <v>573</v>
      </c>
      <c r="AH62" s="369"/>
    </row>
    <row r="63" spans="1:34" s="322" customFormat="1" ht="12.75" customHeight="1">
      <c r="A63" s="356"/>
      <c r="B63" s="319"/>
      <c r="C63" s="326" t="s">
        <v>590</v>
      </c>
      <c r="D63" s="319"/>
      <c r="E63" s="319"/>
      <c r="F63" s="319"/>
      <c r="G63" s="319"/>
      <c r="H63" s="398"/>
      <c r="I63" s="393"/>
      <c r="J63" s="1390"/>
      <c r="K63" s="1390"/>
      <c r="L63" s="1390"/>
      <c r="M63" s="1390"/>
      <c r="N63" s="1390"/>
      <c r="O63" s="1390"/>
      <c r="P63" s="326" t="s">
        <v>576</v>
      </c>
      <c r="Q63" s="326"/>
      <c r="S63" s="326"/>
      <c r="T63" s="326" t="s">
        <v>591</v>
      </c>
      <c r="U63" s="319"/>
      <c r="V63" s="319"/>
      <c r="W63" s="319"/>
      <c r="X63" s="319"/>
      <c r="Z63" s="1408"/>
      <c r="AA63" s="1408"/>
      <c r="AB63" s="1408"/>
      <c r="AC63" s="1408"/>
      <c r="AD63" s="1408"/>
      <c r="AE63" s="1408"/>
      <c r="AF63" s="1408"/>
      <c r="AG63" s="326" t="s">
        <v>576</v>
      </c>
      <c r="AH63" s="394"/>
    </row>
    <row r="64" spans="1:34" s="315" customFormat="1" ht="13.5">
      <c r="A64" s="354"/>
      <c r="B64" s="316" t="s">
        <v>592</v>
      </c>
      <c r="D64" s="316"/>
      <c r="E64" s="316"/>
      <c r="F64" s="364"/>
      <c r="G64" s="364"/>
      <c r="H64" s="364"/>
      <c r="I64" s="364"/>
      <c r="J64" s="364"/>
      <c r="K64" s="364"/>
      <c r="L64" s="364"/>
      <c r="N64" s="316" t="s">
        <v>593</v>
      </c>
      <c r="O64" s="316"/>
      <c r="P64" s="316"/>
      <c r="Q64" s="399"/>
      <c r="R64" s="1389"/>
      <c r="S64" s="1389"/>
      <c r="T64" s="1389"/>
      <c r="U64" s="1389"/>
      <c r="V64" s="1389"/>
      <c r="W64" s="1389"/>
      <c r="Y64" s="390" t="s">
        <v>594</v>
      </c>
      <c r="Z64" s="314" t="s">
        <v>557</v>
      </c>
      <c r="AA64" s="314"/>
      <c r="AB64" s="314"/>
      <c r="AC64" s="1389"/>
      <c r="AD64" s="1389"/>
      <c r="AE64" s="1389"/>
      <c r="AF64" s="1389"/>
      <c r="AG64" s="371" t="s">
        <v>573</v>
      </c>
      <c r="AH64" s="317"/>
    </row>
    <row r="65" spans="1:35" s="400" customFormat="1" ht="12.75">
      <c r="A65" s="401"/>
      <c r="B65" s="326" t="s">
        <v>595</v>
      </c>
      <c r="D65" s="402"/>
      <c r="E65" s="402"/>
      <c r="F65" s="403"/>
      <c r="G65" s="404"/>
      <c r="H65" s="404"/>
      <c r="I65" s="404"/>
      <c r="J65" s="404"/>
      <c r="K65" s="404"/>
      <c r="L65" s="404"/>
      <c r="N65" s="326" t="s">
        <v>596</v>
      </c>
      <c r="O65" s="402"/>
      <c r="P65" s="402"/>
      <c r="Q65" s="405"/>
      <c r="R65" s="1390"/>
      <c r="S65" s="1390"/>
      <c r="T65" s="1390"/>
      <c r="U65" s="1390"/>
      <c r="V65" s="1390"/>
      <c r="W65" s="1390"/>
      <c r="Y65" s="326"/>
      <c r="Z65" s="326" t="s">
        <v>585</v>
      </c>
      <c r="AA65" s="326"/>
      <c r="AB65" s="319"/>
      <c r="AC65" s="1390"/>
      <c r="AD65" s="1390"/>
      <c r="AE65" s="1390"/>
      <c r="AF65" s="1390"/>
      <c r="AG65" s="326" t="s">
        <v>597</v>
      </c>
      <c r="AH65" s="406"/>
    </row>
    <row r="66" spans="1:35" s="400" customFormat="1" ht="12.75">
      <c r="A66" s="401"/>
      <c r="B66" s="326" t="s">
        <v>598</v>
      </c>
      <c r="D66" s="407"/>
      <c r="E66" s="407"/>
      <c r="F66" s="407"/>
      <c r="G66" s="407"/>
      <c r="H66" s="407"/>
      <c r="I66" s="407"/>
      <c r="J66" s="407"/>
      <c r="K66" s="407"/>
      <c r="L66" s="407"/>
      <c r="N66" s="326" t="s">
        <v>598</v>
      </c>
      <c r="O66" s="407"/>
      <c r="P66" s="407"/>
      <c r="Q66" s="407"/>
      <c r="R66" s="407"/>
      <c r="S66" s="407"/>
      <c r="T66" s="407"/>
      <c r="U66" s="407"/>
      <c r="V66" s="407"/>
      <c r="W66" s="407"/>
      <c r="X66" s="407"/>
      <c r="Y66" s="407"/>
      <c r="Z66" s="407"/>
      <c r="AA66" s="407"/>
      <c r="AB66" s="407"/>
      <c r="AC66" s="407"/>
      <c r="AD66" s="407"/>
      <c r="AE66" s="407"/>
      <c r="AF66" s="407"/>
      <c r="AG66" s="407"/>
      <c r="AH66" s="406"/>
    </row>
    <row r="67" spans="1:35" s="315" customFormat="1" ht="14.25" customHeight="1">
      <c r="A67" s="354"/>
      <c r="B67" s="355" t="s">
        <v>599</v>
      </c>
      <c r="C67" s="355"/>
      <c r="D67" s="355"/>
      <c r="E67" s="355"/>
      <c r="F67" s="355"/>
      <c r="G67" s="297" t="s">
        <v>600</v>
      </c>
      <c r="H67" s="355"/>
      <c r="I67" s="355"/>
      <c r="J67" s="355"/>
      <c r="K67" s="355"/>
      <c r="L67" s="355"/>
      <c r="M67" s="355"/>
      <c r="N67" s="355"/>
      <c r="O67" s="355"/>
      <c r="P67" s="355"/>
      <c r="Q67" s="355"/>
      <c r="R67" s="355"/>
      <c r="S67" s="355"/>
      <c r="T67" s="355"/>
      <c r="U67" s="355"/>
      <c r="V67" s="355"/>
      <c r="W67" s="355"/>
      <c r="X67" s="355"/>
      <c r="Y67" s="355"/>
      <c r="Z67" s="355"/>
      <c r="AA67" s="355"/>
      <c r="AB67" s="355"/>
      <c r="AC67" s="355"/>
      <c r="AD67" s="355"/>
      <c r="AE67" s="355"/>
      <c r="AF67" s="355"/>
      <c r="AG67" s="355"/>
      <c r="AH67" s="317"/>
    </row>
    <row r="68" spans="1:35" s="315" customFormat="1" ht="13.5">
      <c r="A68" s="354"/>
      <c r="B68" s="355"/>
      <c r="C68" s="355" t="s">
        <v>601</v>
      </c>
      <c r="D68" s="355"/>
      <c r="E68" s="355"/>
      <c r="F68" s="1409" t="str">
        <f>'01.入学願書'!CF6</f>
        <v>TRAN THI NHI</v>
      </c>
      <c r="G68" s="1409"/>
      <c r="H68" s="1409"/>
      <c r="I68" s="1409"/>
      <c r="J68" s="1409"/>
      <c r="K68" s="1409"/>
      <c r="L68" s="1409"/>
      <c r="M68" s="1409"/>
      <c r="N68" s="1409"/>
      <c r="O68" s="1409"/>
      <c r="P68" s="1409"/>
      <c r="Q68" s="1409"/>
      <c r="R68" s="1409"/>
      <c r="S68" s="1409"/>
      <c r="T68" s="1409"/>
      <c r="U68" s="1409"/>
      <c r="V68" s="1409"/>
      <c r="W68" s="390"/>
      <c r="X68" s="390"/>
      <c r="Y68" s="390"/>
      <c r="Z68" s="390"/>
      <c r="AA68" s="390"/>
      <c r="AB68" s="390"/>
      <c r="AC68" s="390"/>
      <c r="AD68" s="390"/>
      <c r="AE68" s="390"/>
      <c r="AF68" s="390"/>
      <c r="AG68" s="390"/>
      <c r="AH68" s="317"/>
    </row>
    <row r="69" spans="1:35" s="315" customFormat="1" ht="13.5">
      <c r="A69" s="354"/>
      <c r="B69" s="355"/>
      <c r="C69" s="355"/>
      <c r="D69" s="297" t="s">
        <v>602</v>
      </c>
      <c r="E69" s="355"/>
      <c r="F69" s="1410"/>
      <c r="G69" s="1410"/>
      <c r="H69" s="1410"/>
      <c r="I69" s="1410"/>
      <c r="J69" s="1410"/>
      <c r="K69" s="1410"/>
      <c r="L69" s="1410"/>
      <c r="M69" s="1410"/>
      <c r="N69" s="1410"/>
      <c r="O69" s="1410"/>
      <c r="P69" s="1410"/>
      <c r="Q69" s="1410"/>
      <c r="R69" s="1410"/>
      <c r="S69" s="1410"/>
      <c r="T69" s="1410"/>
      <c r="U69" s="1410"/>
      <c r="V69" s="1410"/>
      <c r="W69" s="390"/>
      <c r="X69" s="390"/>
      <c r="Y69" s="390"/>
      <c r="Z69" s="390"/>
      <c r="AA69" s="390"/>
      <c r="AB69" s="390"/>
      <c r="AC69" s="390"/>
      <c r="AD69" s="390"/>
      <c r="AE69" s="390"/>
      <c r="AF69" s="390"/>
      <c r="AG69" s="390"/>
      <c r="AH69" s="317"/>
    </row>
    <row r="70" spans="1:35" s="327" customFormat="1" ht="13.5">
      <c r="A70" s="354"/>
      <c r="B70" s="355"/>
      <c r="C70" s="355" t="s">
        <v>603</v>
      </c>
      <c r="D70" s="355"/>
      <c r="E70" s="355"/>
      <c r="F70" s="1411" t="str">
        <f>IF('01.入学願書'!CF19="","",'01.入学願書'!CF19)</f>
        <v>AN LU 、THUY NGUYEN、HAI PHONG</v>
      </c>
      <c r="G70" s="1411"/>
      <c r="H70" s="1411"/>
      <c r="I70" s="1411"/>
      <c r="J70" s="1411"/>
      <c r="K70" s="1411"/>
      <c r="L70" s="1411"/>
      <c r="M70" s="1411"/>
      <c r="N70" s="1411"/>
      <c r="O70" s="1411"/>
      <c r="P70" s="1411"/>
      <c r="Q70" s="1411"/>
      <c r="R70" s="1411"/>
      <c r="S70" s="1411"/>
      <c r="T70" s="1411"/>
      <c r="U70" s="1411"/>
      <c r="V70" s="1411"/>
      <c r="W70" s="355" t="s">
        <v>356</v>
      </c>
      <c r="X70" s="355"/>
      <c r="Y70" s="355"/>
      <c r="Z70" s="314"/>
      <c r="AA70" s="1403" t="str">
        <f>IF('01.入学願書'!CF25="","",'01.入学願書'!CF25)</f>
        <v>+841695988174</v>
      </c>
      <c r="AB70" s="1403"/>
      <c r="AC70" s="1403"/>
      <c r="AD70" s="1403"/>
      <c r="AE70" s="1403"/>
      <c r="AF70" s="1403"/>
      <c r="AG70" s="1403"/>
      <c r="AH70" s="317"/>
      <c r="AI70" s="315"/>
    </row>
    <row r="71" spans="1:35" s="408" customFormat="1" ht="13.5">
      <c r="A71" s="354"/>
      <c r="B71" s="355"/>
      <c r="C71" s="355"/>
      <c r="D71" s="297" t="s">
        <v>604</v>
      </c>
      <c r="E71" s="297"/>
      <c r="F71" s="1412"/>
      <c r="G71" s="1412"/>
      <c r="H71" s="1412"/>
      <c r="I71" s="1412"/>
      <c r="J71" s="1412"/>
      <c r="K71" s="1412"/>
      <c r="L71" s="1412"/>
      <c r="M71" s="1412"/>
      <c r="N71" s="1412"/>
      <c r="O71" s="1412"/>
      <c r="P71" s="1412"/>
      <c r="Q71" s="1412"/>
      <c r="R71" s="1412"/>
      <c r="S71" s="1412"/>
      <c r="T71" s="1412"/>
      <c r="U71" s="1412"/>
      <c r="V71" s="1412"/>
      <c r="W71" s="297" t="s">
        <v>605</v>
      </c>
      <c r="X71" s="297"/>
      <c r="Y71" s="355"/>
      <c r="Z71" s="355"/>
      <c r="AA71" s="1404"/>
      <c r="AB71" s="1404"/>
      <c r="AC71" s="1404"/>
      <c r="AD71" s="1404"/>
      <c r="AE71" s="1404"/>
      <c r="AF71" s="1404"/>
      <c r="AG71" s="1404"/>
      <c r="AH71" s="369"/>
    </row>
    <row r="72" spans="1:35" s="408" customFormat="1" ht="3" customHeight="1">
      <c r="A72" s="354"/>
      <c r="B72" s="355"/>
      <c r="C72" s="355"/>
      <c r="D72" s="297"/>
      <c r="E72" s="297"/>
      <c r="F72" s="297"/>
      <c r="G72" s="297"/>
      <c r="H72" s="297"/>
      <c r="I72" s="297"/>
      <c r="J72" s="297"/>
      <c r="K72" s="297"/>
      <c r="L72" s="297"/>
      <c r="M72" s="297"/>
      <c r="N72" s="297"/>
      <c r="O72" s="297"/>
      <c r="P72" s="409"/>
      <c r="Q72" s="297"/>
      <c r="R72" s="297"/>
      <c r="S72" s="297"/>
      <c r="T72" s="297"/>
      <c r="U72" s="297"/>
      <c r="V72" s="297"/>
      <c r="W72" s="297"/>
      <c r="X72" s="297"/>
      <c r="Y72" s="355"/>
      <c r="Z72" s="355"/>
      <c r="AA72" s="355"/>
      <c r="AB72" s="355"/>
      <c r="AC72" s="355"/>
      <c r="AD72" s="355"/>
      <c r="AE72" s="355"/>
      <c r="AF72" s="355"/>
      <c r="AG72" s="355"/>
      <c r="AH72" s="369"/>
    </row>
    <row r="73" spans="1:35" s="408" customFormat="1" ht="13.5" customHeight="1">
      <c r="A73" s="410"/>
      <c r="B73" s="355"/>
      <c r="C73" s="355" t="s">
        <v>606</v>
      </c>
      <c r="D73" s="355"/>
      <c r="E73" s="355"/>
      <c r="F73" s="355"/>
      <c r="G73" s="355"/>
      <c r="H73" s="355"/>
      <c r="I73" s="355"/>
      <c r="J73" s="355"/>
      <c r="K73" s="355"/>
      <c r="L73" s="1401" t="str">
        <f>IF('01.入学願書'!CF13="","",'01.入学願書'!CF13)</f>
        <v>ANH DUONG蝋燭生産有限会社</v>
      </c>
      <c r="M73" s="1401"/>
      <c r="N73" s="1401"/>
      <c r="O73" s="1401"/>
      <c r="P73" s="1401"/>
      <c r="Q73" s="1401"/>
      <c r="R73" s="1401"/>
      <c r="S73" s="1401"/>
      <c r="T73" s="1401"/>
      <c r="U73" s="1401"/>
      <c r="V73" s="355"/>
      <c r="W73" s="355" t="s">
        <v>356</v>
      </c>
      <c r="X73" s="355"/>
      <c r="Y73" s="355"/>
      <c r="Z73" s="314"/>
      <c r="AA73" s="1403" t="str">
        <f>IF('01.入学願書'!CF31="","",'01.入学願書'!CF31)</f>
        <v>+841683880880</v>
      </c>
      <c r="AB73" s="1403"/>
      <c r="AC73" s="1403"/>
      <c r="AD73" s="1403"/>
      <c r="AE73" s="1403"/>
      <c r="AF73" s="1403"/>
      <c r="AG73" s="1403"/>
      <c r="AH73" s="369"/>
    </row>
    <row r="74" spans="1:35" s="408" customFormat="1" ht="13.5">
      <c r="A74" s="354"/>
      <c r="B74" s="355"/>
      <c r="C74" s="355"/>
      <c r="D74" s="297" t="s">
        <v>607</v>
      </c>
      <c r="E74" s="297"/>
      <c r="F74" s="297"/>
      <c r="G74" s="297"/>
      <c r="H74" s="297"/>
      <c r="I74" s="297"/>
      <c r="J74" s="297"/>
      <c r="K74" s="297"/>
      <c r="L74" s="1402"/>
      <c r="M74" s="1402"/>
      <c r="N74" s="1402"/>
      <c r="O74" s="1402"/>
      <c r="P74" s="1402"/>
      <c r="Q74" s="1402"/>
      <c r="R74" s="1402"/>
      <c r="S74" s="1402"/>
      <c r="T74" s="1402"/>
      <c r="U74" s="1402"/>
      <c r="V74" s="297"/>
      <c r="W74" s="297" t="s">
        <v>605</v>
      </c>
      <c r="X74" s="297"/>
      <c r="Y74" s="355"/>
      <c r="Z74" s="355"/>
      <c r="AA74" s="1404"/>
      <c r="AB74" s="1404"/>
      <c r="AC74" s="1404"/>
      <c r="AD74" s="1404"/>
      <c r="AE74" s="1404"/>
      <c r="AF74" s="1404"/>
      <c r="AG74" s="1404"/>
      <c r="AH74" s="369"/>
    </row>
    <row r="75" spans="1:35" s="408" customFormat="1" ht="6" customHeight="1">
      <c r="A75" s="354"/>
      <c r="B75" s="371"/>
      <c r="C75" s="1377" t="s">
        <v>608</v>
      </c>
      <c r="D75" s="1377"/>
      <c r="E75" s="1377"/>
      <c r="F75" s="355"/>
      <c r="G75" s="355"/>
      <c r="H75" s="1416" t="str">
        <f>在留用収入!L8</f>
        <v>約0万</v>
      </c>
      <c r="I75" s="1386"/>
      <c r="J75" s="1386"/>
      <c r="K75" s="1386"/>
      <c r="L75" s="1386"/>
      <c r="M75" s="1386"/>
      <c r="N75" s="1376" t="s">
        <v>573</v>
      </c>
      <c r="O75" s="355"/>
      <c r="P75" s="355"/>
      <c r="Q75" s="355"/>
      <c r="R75" s="355"/>
      <c r="S75" s="355"/>
      <c r="T75" s="355"/>
      <c r="U75" s="355"/>
      <c r="V75" s="355"/>
      <c r="W75" s="384"/>
      <c r="X75" s="384"/>
      <c r="Y75" s="384"/>
      <c r="Z75" s="355"/>
      <c r="AA75" s="355"/>
      <c r="AB75" s="355"/>
      <c r="AC75" s="355"/>
      <c r="AD75" s="355"/>
      <c r="AE75" s="355"/>
      <c r="AF75" s="355"/>
      <c r="AG75" s="355"/>
      <c r="AH75" s="369"/>
    </row>
    <row r="76" spans="1:35" s="408" customFormat="1" ht="13.5">
      <c r="A76" s="354"/>
      <c r="B76" s="371"/>
      <c r="C76" s="1377"/>
      <c r="D76" s="1377"/>
      <c r="E76" s="1377"/>
      <c r="F76" s="355"/>
      <c r="G76" s="355"/>
      <c r="H76" s="1386"/>
      <c r="I76" s="1386"/>
      <c r="J76" s="1386"/>
      <c r="K76" s="1386"/>
      <c r="L76" s="1386"/>
      <c r="M76" s="1386"/>
      <c r="N76" s="1377"/>
      <c r="O76" s="355"/>
      <c r="P76" s="1378" t="str">
        <f>在留用収入!D10</f>
        <v/>
      </c>
      <c r="Q76" s="1378"/>
      <c r="R76" s="1378"/>
      <c r="S76" s="1378"/>
      <c r="T76" s="1378"/>
      <c r="U76" s="1378"/>
      <c r="V76" s="1378"/>
      <c r="W76" s="1378"/>
      <c r="X76" s="1378"/>
      <c r="Y76" s="1378"/>
      <c r="Z76" s="1378"/>
      <c r="AA76" s="1378"/>
      <c r="AB76" s="1378"/>
      <c r="AC76" s="1378"/>
      <c r="AD76" s="1378"/>
      <c r="AE76" s="355"/>
      <c r="AF76" s="355"/>
      <c r="AG76" s="355"/>
      <c r="AH76" s="369"/>
    </row>
    <row r="77" spans="1:35" s="408" customFormat="1" ht="13.5">
      <c r="A77" s="354"/>
      <c r="B77" s="371"/>
      <c r="C77" s="371"/>
      <c r="D77" s="372" t="s">
        <v>609</v>
      </c>
      <c r="E77" s="355"/>
      <c r="F77" s="355"/>
      <c r="G77" s="355"/>
      <c r="H77" s="1385"/>
      <c r="I77" s="1385"/>
      <c r="J77" s="1385"/>
      <c r="K77" s="1385"/>
      <c r="L77" s="1385"/>
      <c r="M77" s="1385"/>
      <c r="N77" s="411" t="s">
        <v>578</v>
      </c>
      <c r="O77" s="355"/>
      <c r="P77" s="1378" t="str">
        <f>"(換算レート："&amp;初期設定!B10&amp;初期設定!C10&amp;初期設定!E10&amp;初期設定!F10&amp;初期設定!G10&amp;")"</f>
        <v>(換算レート：10000ベトナムドン=50円)</v>
      </c>
      <c r="Q77" s="1378"/>
      <c r="R77" s="1378"/>
      <c r="S77" s="1378"/>
      <c r="T77" s="1378"/>
      <c r="U77" s="1378"/>
      <c r="V77" s="1378"/>
      <c r="W77" s="1378"/>
      <c r="X77" s="1378"/>
      <c r="Y77" s="1378"/>
      <c r="Z77" s="1378"/>
      <c r="AA77" s="1378"/>
      <c r="AB77" s="1378"/>
      <c r="AC77" s="1378"/>
      <c r="AD77" s="1378"/>
      <c r="AH77" s="369"/>
    </row>
    <row r="78" spans="1:35" s="408" customFormat="1" ht="4.5" customHeight="1">
      <c r="A78" s="412"/>
      <c r="B78" s="413"/>
      <c r="C78" s="414"/>
      <c r="D78" s="415"/>
      <c r="E78" s="414"/>
      <c r="F78" s="414"/>
      <c r="G78" s="414"/>
      <c r="H78" s="414"/>
      <c r="I78" s="414"/>
      <c r="J78" s="414"/>
      <c r="K78" s="414"/>
      <c r="L78" s="414"/>
      <c r="M78" s="414"/>
      <c r="N78" s="414"/>
      <c r="O78" s="414"/>
      <c r="P78" s="414"/>
      <c r="Q78" s="414"/>
      <c r="R78" s="414"/>
      <c r="S78" s="414"/>
      <c r="T78" s="414"/>
      <c r="U78" s="414"/>
      <c r="V78" s="414"/>
      <c r="W78" s="414"/>
      <c r="X78" s="414"/>
      <c r="Y78" s="414"/>
      <c r="Z78" s="414"/>
      <c r="AA78" s="414"/>
      <c r="AB78" s="414"/>
      <c r="AC78" s="414"/>
      <c r="AD78" s="414"/>
      <c r="AE78" s="414"/>
      <c r="AF78" s="414"/>
      <c r="AG78" s="414"/>
      <c r="AH78" s="416"/>
    </row>
    <row r="79" spans="1:35" s="408" customFormat="1" ht="6" customHeight="1">
      <c r="A79" s="355"/>
      <c r="B79" s="355"/>
      <c r="C79" s="371"/>
      <c r="D79" s="371"/>
      <c r="E79" s="371"/>
      <c r="F79" s="371"/>
      <c r="G79" s="371"/>
      <c r="H79" s="371"/>
      <c r="I79" s="371"/>
      <c r="J79" s="371"/>
      <c r="K79" s="371"/>
      <c r="L79" s="371"/>
      <c r="M79" s="371"/>
      <c r="N79" s="371"/>
      <c r="O79" s="371"/>
      <c r="P79" s="371"/>
      <c r="Q79" s="371"/>
      <c r="R79" s="371"/>
      <c r="S79" s="371"/>
      <c r="T79" s="371"/>
      <c r="U79" s="371"/>
      <c r="V79" s="371"/>
      <c r="W79" s="371"/>
      <c r="X79" s="371"/>
      <c r="Y79" s="371"/>
      <c r="Z79" s="371"/>
      <c r="AA79" s="371"/>
      <c r="AB79" s="371"/>
      <c r="AC79" s="371"/>
      <c r="AD79" s="371"/>
      <c r="AE79" s="371"/>
      <c r="AF79" s="371"/>
      <c r="AG79" s="371"/>
      <c r="AH79" s="355"/>
    </row>
    <row r="80" spans="1:35" s="408" customFormat="1" ht="6" customHeight="1">
      <c r="A80" s="355"/>
      <c r="B80" s="355"/>
      <c r="C80" s="371"/>
      <c r="D80" s="371"/>
      <c r="E80" s="371"/>
      <c r="F80" s="371"/>
      <c r="G80" s="371"/>
      <c r="H80" s="371"/>
      <c r="I80" s="371"/>
      <c r="J80" s="371"/>
      <c r="K80" s="371"/>
      <c r="L80" s="371"/>
      <c r="M80" s="371"/>
      <c r="N80" s="371"/>
      <c r="O80" s="371"/>
      <c r="P80" s="371"/>
      <c r="Q80" s="371"/>
      <c r="R80" s="371"/>
      <c r="S80" s="371"/>
      <c r="T80" s="371"/>
      <c r="U80" s="371"/>
      <c r="V80" s="371"/>
      <c r="W80" s="371"/>
      <c r="X80" s="371"/>
      <c r="Y80" s="371"/>
      <c r="Z80" s="371"/>
      <c r="AA80" s="371"/>
      <c r="AB80" s="371"/>
      <c r="AC80" s="371"/>
      <c r="AD80" s="371"/>
      <c r="AE80" s="371"/>
      <c r="AF80" s="371"/>
      <c r="AG80" s="371"/>
      <c r="AH80" s="355"/>
    </row>
    <row r="81" spans="1:46" s="408" customFormat="1" ht="6" customHeight="1">
      <c r="A81" s="355"/>
      <c r="B81" s="355"/>
      <c r="C81" s="371"/>
      <c r="D81" s="371"/>
      <c r="E81" s="371"/>
      <c r="F81" s="371"/>
      <c r="G81" s="371"/>
      <c r="H81" s="371"/>
      <c r="I81" s="371"/>
      <c r="J81" s="371"/>
      <c r="K81" s="371"/>
      <c r="L81" s="371"/>
      <c r="M81" s="371"/>
      <c r="N81" s="371"/>
      <c r="O81" s="371"/>
      <c r="P81" s="371"/>
      <c r="Q81" s="371"/>
      <c r="R81" s="371"/>
      <c r="S81" s="371"/>
      <c r="T81" s="371"/>
      <c r="U81" s="371"/>
      <c r="V81" s="371"/>
      <c r="W81" s="371"/>
      <c r="X81" s="371"/>
      <c r="Y81" s="371"/>
      <c r="Z81" s="371"/>
      <c r="AA81" s="371"/>
      <c r="AB81" s="371"/>
      <c r="AC81" s="371"/>
      <c r="AD81" s="371"/>
      <c r="AE81" s="371"/>
      <c r="AF81" s="371"/>
      <c r="AG81" s="371"/>
      <c r="AH81" s="355"/>
    </row>
    <row r="82" spans="1:46" s="408" customFormat="1" ht="6" customHeight="1">
      <c r="A82" s="355"/>
      <c r="B82" s="355"/>
      <c r="C82" s="371"/>
      <c r="D82" s="371"/>
      <c r="E82" s="371"/>
      <c r="F82" s="371"/>
      <c r="G82" s="371"/>
      <c r="H82" s="371"/>
      <c r="I82" s="371"/>
      <c r="J82" s="371"/>
      <c r="K82" s="371"/>
      <c r="L82" s="371"/>
      <c r="M82" s="371"/>
      <c r="N82" s="371"/>
      <c r="O82" s="371"/>
      <c r="P82" s="371"/>
      <c r="Q82" s="371"/>
      <c r="R82" s="371"/>
      <c r="S82" s="371"/>
      <c r="T82" s="371"/>
      <c r="U82" s="371"/>
      <c r="V82" s="371"/>
      <c r="W82" s="371"/>
      <c r="X82" s="371"/>
      <c r="Y82" s="371"/>
      <c r="Z82" s="371"/>
      <c r="AA82" s="371"/>
      <c r="AB82" s="371"/>
      <c r="AC82" s="371"/>
      <c r="AD82" s="371"/>
      <c r="AE82" s="371"/>
      <c r="AF82" s="371"/>
      <c r="AG82" s="371"/>
      <c r="AH82" s="355"/>
    </row>
    <row r="83" spans="1:46" ht="15" customHeight="1">
      <c r="A83" s="287" t="s">
        <v>610</v>
      </c>
      <c r="AA83" s="288" t="s">
        <v>488</v>
      </c>
    </row>
    <row r="84" spans="1:46" ht="12" customHeight="1">
      <c r="A84" s="289" t="s">
        <v>611</v>
      </c>
      <c r="Z84" s="311" t="s">
        <v>490</v>
      </c>
    </row>
    <row r="85" spans="1:46" s="408" customFormat="1" ht="3" customHeight="1">
      <c r="A85" s="417"/>
      <c r="B85" s="418"/>
      <c r="C85" s="419"/>
      <c r="D85" s="419"/>
      <c r="E85" s="419"/>
      <c r="F85" s="419"/>
      <c r="G85" s="419"/>
      <c r="H85" s="419"/>
      <c r="I85" s="419"/>
      <c r="J85" s="419"/>
      <c r="K85" s="419"/>
      <c r="L85" s="419"/>
      <c r="M85" s="419"/>
      <c r="N85" s="419"/>
      <c r="O85" s="419"/>
      <c r="P85" s="419"/>
      <c r="Q85" s="419"/>
      <c r="R85" s="419"/>
      <c r="S85" s="419"/>
      <c r="T85" s="419"/>
      <c r="U85" s="419"/>
      <c r="V85" s="419"/>
      <c r="W85" s="419"/>
      <c r="X85" s="419"/>
      <c r="Y85" s="419"/>
      <c r="Z85" s="419"/>
      <c r="AA85" s="419"/>
      <c r="AB85" s="419"/>
      <c r="AC85" s="419"/>
      <c r="AD85" s="419"/>
      <c r="AE85" s="419"/>
      <c r="AF85" s="419"/>
      <c r="AG85" s="419"/>
      <c r="AH85" s="420"/>
    </row>
    <row r="86" spans="1:46" s="315" customFormat="1" ht="14.25" customHeight="1">
      <c r="A86" s="354"/>
      <c r="B86" s="355" t="s">
        <v>612</v>
      </c>
      <c r="C86" s="355"/>
      <c r="D86" s="355"/>
      <c r="E86" s="355"/>
      <c r="F86" s="355"/>
      <c r="G86" s="355"/>
      <c r="J86" s="355"/>
      <c r="K86" s="355"/>
      <c r="L86" s="355"/>
      <c r="M86" s="355"/>
      <c r="N86" s="355"/>
      <c r="O86" s="355"/>
      <c r="P86" s="355"/>
      <c r="Q86" s="355"/>
      <c r="R86" s="355"/>
      <c r="S86" s="355"/>
      <c r="T86" s="355"/>
      <c r="U86" s="355"/>
      <c r="V86" s="355"/>
      <c r="W86" s="355"/>
      <c r="X86" s="355"/>
      <c r="Y86" s="355"/>
      <c r="Z86" s="355"/>
      <c r="AA86" s="355"/>
      <c r="AB86" s="355"/>
      <c r="AC86" s="355"/>
      <c r="AD86" s="355"/>
      <c r="AE86" s="355"/>
      <c r="AF86" s="355"/>
      <c r="AG86" s="355"/>
      <c r="AH86" s="317"/>
    </row>
    <row r="87" spans="1:46" s="315" customFormat="1" ht="14.25" customHeight="1">
      <c r="A87" s="1417" t="s">
        <v>613</v>
      </c>
      <c r="B87" s="1418"/>
      <c r="C87" s="1418"/>
      <c r="D87" s="1418"/>
      <c r="E87" s="1418"/>
      <c r="F87" s="1418"/>
      <c r="G87" s="1418"/>
      <c r="H87" s="1418"/>
      <c r="I87" s="1418"/>
      <c r="J87" s="1418"/>
      <c r="K87" s="1418"/>
      <c r="L87" s="1418"/>
      <c r="M87" s="1418"/>
      <c r="N87" s="1418"/>
      <c r="O87" s="1418"/>
      <c r="P87" s="1418"/>
      <c r="Q87" s="1418"/>
      <c r="R87" s="1418"/>
      <c r="S87" s="1418"/>
      <c r="T87" s="1418"/>
      <c r="U87" s="1418"/>
      <c r="V87" s="1418"/>
      <c r="W87" s="1418"/>
      <c r="X87" s="1418"/>
      <c r="Y87" s="1418"/>
      <c r="Z87" s="1418"/>
      <c r="AA87" s="1418"/>
      <c r="AB87" s="1418"/>
      <c r="AC87" s="1418"/>
      <c r="AD87" s="1418"/>
      <c r="AE87" s="1418"/>
      <c r="AF87" s="1418"/>
      <c r="AG87" s="1418"/>
      <c r="AH87" s="1419"/>
    </row>
    <row r="88" spans="1:46" s="315" customFormat="1" ht="14.25" customHeight="1">
      <c r="A88" s="354"/>
      <c r="B88" s="355"/>
      <c r="C88" s="421" t="str">
        <f>IF(IFERROR(VLOOKUP(D88,AT88:AT90,1,FALSE),"")=D88,"■","□")</f>
        <v>□</v>
      </c>
      <c r="D88" s="371" t="s">
        <v>614</v>
      </c>
      <c r="E88" s="371"/>
      <c r="F88" s="421" t="str">
        <f>IF(IFERROR(VLOOKUP(G88,AT88:AT90,1,FALSE),"")=G88,"■","□")</f>
        <v>□</v>
      </c>
      <c r="G88" s="371" t="s">
        <v>615</v>
      </c>
      <c r="I88" s="421" t="str">
        <f>IF(IFERROR(VLOOKUP(J88,AT88:AT90,1,FALSE),"")=J88,"■","□")</f>
        <v>□</v>
      </c>
      <c r="J88" s="371" t="s">
        <v>616</v>
      </c>
      <c r="K88" s="371"/>
      <c r="L88" s="421" t="str">
        <f>IF(IFERROR(VLOOKUP(M88,AT88:AT90,1,FALSE),"")=M88,"■","□")</f>
        <v>■</v>
      </c>
      <c r="M88" s="315" t="s">
        <v>617</v>
      </c>
      <c r="N88" s="371"/>
      <c r="O88" s="421" t="str">
        <f>IF(IFERROR(VLOOKUP(P88,AT88:AT90,1,FALSE),"")=P88,"■","□")</f>
        <v>□</v>
      </c>
      <c r="P88" s="371" t="s">
        <v>618</v>
      </c>
      <c r="Q88" s="371"/>
      <c r="S88" s="421" t="str">
        <f>IF(IFERROR(VLOOKUP(T88,AT88:AT90,1,FALSE),"")=T88,"■","□")</f>
        <v>□</v>
      </c>
      <c r="T88" s="371" t="s">
        <v>619</v>
      </c>
      <c r="U88" s="371"/>
      <c r="V88" s="314"/>
      <c r="W88" s="421" t="str">
        <f>IF(IFERROR(VLOOKUP(X88,AT88:AT90,1,FALSE),"")=X88,"■","□")</f>
        <v>□</v>
      </c>
      <c r="X88" s="371" t="s">
        <v>620</v>
      </c>
      <c r="Y88" s="371"/>
      <c r="Z88" s="371"/>
      <c r="AA88" s="421" t="str">
        <f>IF(IFERROR(VLOOKUP(AB88,AT88:AT90,1,FALSE),"")=AB88,"■","□")</f>
        <v>□</v>
      </c>
      <c r="AB88" s="315" t="s">
        <v>621</v>
      </c>
      <c r="AC88" s="371"/>
      <c r="AD88" s="371"/>
      <c r="AF88" s="371"/>
      <c r="AG88" s="371"/>
      <c r="AH88" s="317"/>
      <c r="AJ88" s="315" t="s">
        <v>1043</v>
      </c>
      <c r="AO88" s="315" t="str">
        <f>在留用収入!$D$5</f>
        <v>TRAN THI NHI</v>
      </c>
      <c r="AS88" s="315" t="str">
        <f>在留用収入!$H$5</f>
        <v>母</v>
      </c>
      <c r="AT88" s="315" t="str">
        <f>IFERROR(VLOOKUP($AS$88:$AS$90,'01.入学願書'!$BY$3:$BZ$23,2,FALSE),"")</f>
        <v>母</v>
      </c>
    </row>
    <row r="89" spans="1:46" s="315" customFormat="1" ht="14.25" customHeight="1">
      <c r="A89" s="354"/>
      <c r="B89" s="355"/>
      <c r="C89" s="371"/>
      <c r="D89" s="297" t="s">
        <v>622</v>
      </c>
      <c r="E89" s="297"/>
      <c r="F89" s="297"/>
      <c r="G89" s="297" t="s">
        <v>623</v>
      </c>
      <c r="H89" s="297"/>
      <c r="I89" s="297"/>
      <c r="J89" s="297" t="s">
        <v>624</v>
      </c>
      <c r="K89" s="297"/>
      <c r="L89" s="297"/>
      <c r="M89" s="297" t="s">
        <v>625</v>
      </c>
      <c r="N89" s="297"/>
      <c r="O89" s="297"/>
      <c r="P89" s="297" t="s">
        <v>626</v>
      </c>
      <c r="Q89" s="297"/>
      <c r="R89" s="297"/>
      <c r="S89" s="297"/>
      <c r="T89" s="297" t="s">
        <v>627</v>
      </c>
      <c r="U89" s="297"/>
      <c r="V89" s="297"/>
      <c r="W89" s="297"/>
      <c r="X89" s="297" t="s">
        <v>628</v>
      </c>
      <c r="Y89" s="297"/>
      <c r="Z89" s="297"/>
      <c r="AA89" s="297"/>
      <c r="AB89" s="297" t="s">
        <v>629</v>
      </c>
      <c r="AC89" s="371"/>
      <c r="AD89" s="371"/>
      <c r="AE89" s="371"/>
      <c r="AF89" s="371"/>
      <c r="AG89" s="371"/>
      <c r="AH89" s="317"/>
      <c r="AJ89" s="315" t="s">
        <v>1044</v>
      </c>
      <c r="AO89" s="315" t="str">
        <f>在留用収入!$D$6</f>
        <v/>
      </c>
      <c r="AS89" s="315" t="str">
        <f>在留用収入!$H$6</f>
        <v/>
      </c>
      <c r="AT89" s="315" t="str">
        <f>IFERROR(VLOOKUP($AS$88:$AS$90,'01.入学願書'!$BY$3:$BZ$23,2,FALSE),"")</f>
        <v/>
      </c>
    </row>
    <row r="90" spans="1:46" s="327" customFormat="1" ht="14.25" customHeight="1">
      <c r="A90" s="354"/>
      <c r="B90" s="355"/>
      <c r="C90" s="421" t="str">
        <f>IF(IFERROR(VLOOKUP(D90,AT88:AT90,1,FALSE),"")=D90,"■","□")</f>
        <v>□</v>
      </c>
      <c r="D90" s="371" t="s">
        <v>1048</v>
      </c>
      <c r="E90" s="371"/>
      <c r="F90" s="371"/>
      <c r="G90" s="371"/>
      <c r="H90" s="315"/>
      <c r="I90" s="421" t="str">
        <f>IF(IFERROR(VLOOKUP(J90,AT88:AT90,1,FALSE),"")=J90,"■","□")</f>
        <v>□</v>
      </c>
      <c r="J90" s="371" t="s">
        <v>1046</v>
      </c>
      <c r="K90" s="371"/>
      <c r="L90" s="371"/>
      <c r="M90" s="315"/>
      <c r="N90" s="371"/>
      <c r="O90" s="371"/>
      <c r="P90" s="371"/>
      <c r="Q90" s="371"/>
      <c r="R90" s="315"/>
      <c r="S90" s="421" t="s">
        <v>631</v>
      </c>
      <c r="T90" s="371" t="s">
        <v>632</v>
      </c>
      <c r="U90" s="371"/>
      <c r="V90" s="371"/>
      <c r="W90" s="371"/>
      <c r="X90" s="371"/>
      <c r="Y90" s="371"/>
      <c r="Z90" s="371"/>
      <c r="AA90" s="421" t="s">
        <v>583</v>
      </c>
      <c r="AB90" s="315" t="s">
        <v>633</v>
      </c>
      <c r="AC90" s="371"/>
      <c r="AD90" s="371"/>
      <c r="AE90" s="371"/>
      <c r="AF90" s="371"/>
      <c r="AG90" s="371"/>
      <c r="AH90" s="317"/>
      <c r="AI90" s="315"/>
      <c r="AJ90" s="315" t="s">
        <v>1045</v>
      </c>
      <c r="AO90" s="315" t="str">
        <f>在留用収入!$D$7</f>
        <v/>
      </c>
      <c r="AS90" s="315" t="str">
        <f>在留用収入!$H$7</f>
        <v/>
      </c>
      <c r="AT90" s="315" t="str">
        <f>IFERROR(VLOOKUP($AS$88:$AS$90,'01.入学願書'!$BY$3:$BZ$23,2,FALSE),"")</f>
        <v/>
      </c>
    </row>
    <row r="91" spans="1:46" s="408" customFormat="1" ht="14.25" customHeight="1">
      <c r="A91" s="354"/>
      <c r="B91" s="355"/>
      <c r="C91" s="371"/>
      <c r="D91" s="297" t="s">
        <v>634</v>
      </c>
      <c r="E91" s="297"/>
      <c r="F91" s="297"/>
      <c r="G91" s="297"/>
      <c r="H91" s="297"/>
      <c r="I91" s="297"/>
      <c r="J91" s="297" t="s">
        <v>635</v>
      </c>
      <c r="K91" s="297"/>
      <c r="L91" s="297"/>
      <c r="M91" s="297"/>
      <c r="N91" s="297"/>
      <c r="O91" s="297"/>
      <c r="P91" s="297"/>
      <c r="Q91" s="297"/>
      <c r="R91" s="297"/>
      <c r="S91" s="297"/>
      <c r="T91" s="297" t="s">
        <v>636</v>
      </c>
      <c r="U91" s="297"/>
      <c r="V91" s="297"/>
      <c r="W91" s="297"/>
      <c r="X91" s="297"/>
      <c r="Y91" s="297"/>
      <c r="Z91" s="297"/>
      <c r="AA91" s="297"/>
      <c r="AB91" s="297" t="s">
        <v>637</v>
      </c>
      <c r="AC91" s="371"/>
      <c r="AD91" s="371"/>
      <c r="AE91" s="371"/>
      <c r="AF91" s="371"/>
      <c r="AG91" s="371"/>
      <c r="AH91" s="369"/>
    </row>
    <row r="92" spans="1:46" s="408" customFormat="1" ht="14.25" customHeight="1">
      <c r="A92" s="410"/>
      <c r="B92" s="333"/>
      <c r="C92" s="421" t="s">
        <v>583</v>
      </c>
      <c r="D92" s="371" t="s">
        <v>638</v>
      </c>
      <c r="E92" s="371"/>
      <c r="F92" s="371"/>
      <c r="G92" s="371"/>
      <c r="I92" s="371"/>
      <c r="J92" s="371"/>
      <c r="L92" s="421" t="s">
        <v>583</v>
      </c>
      <c r="M92" s="371" t="s">
        <v>639</v>
      </c>
      <c r="N92" s="371"/>
      <c r="O92" s="371"/>
      <c r="P92" s="371"/>
      <c r="Q92" s="371"/>
      <c r="S92" s="371"/>
      <c r="T92" s="371"/>
      <c r="U92" s="371"/>
      <c r="V92" s="371"/>
      <c r="W92" s="371"/>
      <c r="X92" s="371"/>
      <c r="Y92" s="371"/>
      <c r="Z92" s="371"/>
      <c r="AA92" s="371"/>
      <c r="AB92" s="371"/>
      <c r="AC92" s="371"/>
      <c r="AD92" s="371"/>
      <c r="AE92" s="371"/>
      <c r="AF92" s="371"/>
      <c r="AG92" s="371"/>
      <c r="AH92" s="369"/>
    </row>
    <row r="93" spans="1:46" s="408" customFormat="1" ht="14.25" customHeight="1">
      <c r="A93" s="354"/>
      <c r="B93" s="355"/>
      <c r="C93" s="371"/>
      <c r="D93" s="297" t="s">
        <v>640</v>
      </c>
      <c r="E93" s="297"/>
      <c r="F93" s="297"/>
      <c r="G93" s="297"/>
      <c r="H93" s="297"/>
      <c r="I93" s="297"/>
      <c r="J93" s="297"/>
      <c r="L93" s="297"/>
      <c r="M93" s="297" t="s">
        <v>641</v>
      </c>
      <c r="N93" s="371"/>
      <c r="O93" s="371"/>
      <c r="P93" s="371"/>
      <c r="Q93" s="371"/>
      <c r="R93" s="371"/>
      <c r="S93" s="371"/>
      <c r="T93" s="371"/>
      <c r="U93" s="371"/>
      <c r="V93" s="371"/>
      <c r="W93" s="371"/>
      <c r="X93" s="371"/>
      <c r="Y93" s="371"/>
      <c r="Z93" s="371"/>
      <c r="AA93" s="371"/>
      <c r="AB93" s="371"/>
      <c r="AC93" s="371"/>
      <c r="AD93" s="371"/>
      <c r="AE93" s="371"/>
      <c r="AF93" s="371"/>
      <c r="AG93" s="371"/>
      <c r="AH93" s="369"/>
    </row>
    <row r="94" spans="1:46" s="408" customFormat="1" ht="14.25" customHeight="1">
      <c r="A94" s="354"/>
      <c r="B94" s="355"/>
      <c r="C94" s="421" t="s">
        <v>642</v>
      </c>
      <c r="D94" s="371" t="s">
        <v>643</v>
      </c>
      <c r="E94" s="371"/>
      <c r="F94" s="371"/>
      <c r="G94" s="371"/>
      <c r="H94" s="371"/>
      <c r="I94" s="371"/>
      <c r="J94" s="371"/>
      <c r="K94" s="371"/>
      <c r="L94" s="371"/>
      <c r="M94" s="371"/>
      <c r="N94" s="371"/>
      <c r="O94" s="371"/>
      <c r="P94" s="371"/>
      <c r="Q94" s="371"/>
      <c r="R94" s="421" t="s">
        <v>642</v>
      </c>
      <c r="S94" s="371" t="s">
        <v>644</v>
      </c>
      <c r="T94" s="371"/>
      <c r="U94" s="371"/>
      <c r="V94" s="1389"/>
      <c r="W94" s="1389"/>
      <c r="X94" s="1389"/>
      <c r="Y94" s="1389"/>
      <c r="Z94" s="1389"/>
      <c r="AA94" s="1389"/>
      <c r="AB94" s="371" t="s">
        <v>645</v>
      </c>
      <c r="AC94" s="371"/>
      <c r="AD94" s="371"/>
      <c r="AE94" s="371"/>
      <c r="AF94" s="371"/>
      <c r="AG94" s="371"/>
      <c r="AH94" s="369"/>
    </row>
    <row r="95" spans="1:46" s="408" customFormat="1" ht="14.25" customHeight="1">
      <c r="A95" s="354"/>
      <c r="B95" s="355"/>
      <c r="C95" s="371"/>
      <c r="D95" s="297" t="s">
        <v>646</v>
      </c>
      <c r="E95" s="297"/>
      <c r="F95" s="297"/>
      <c r="G95" s="297"/>
      <c r="H95" s="297"/>
      <c r="I95" s="297"/>
      <c r="J95" s="297"/>
      <c r="K95" s="297"/>
      <c r="L95" s="297"/>
      <c r="M95" s="297"/>
      <c r="N95" s="297"/>
      <c r="O95" s="297"/>
      <c r="P95" s="297"/>
      <c r="Q95" s="297"/>
      <c r="R95" s="297"/>
      <c r="S95" s="297" t="s">
        <v>647</v>
      </c>
      <c r="T95" s="297"/>
      <c r="U95" s="371"/>
      <c r="V95" s="371"/>
      <c r="W95" s="371"/>
      <c r="X95" s="371"/>
      <c r="Y95" s="371"/>
      <c r="Z95" s="371"/>
      <c r="AA95" s="371"/>
      <c r="AB95" s="371"/>
      <c r="AC95" s="371"/>
      <c r="AD95" s="371"/>
      <c r="AE95" s="371"/>
      <c r="AF95" s="371"/>
      <c r="AG95" s="371"/>
      <c r="AH95" s="369"/>
    </row>
    <row r="96" spans="1:46" s="408" customFormat="1" ht="14.25" customHeight="1">
      <c r="A96" s="354"/>
      <c r="B96" s="355" t="s">
        <v>648</v>
      </c>
      <c r="C96" s="371"/>
      <c r="D96" s="371"/>
      <c r="E96" s="371"/>
      <c r="F96" s="371"/>
      <c r="G96" s="371"/>
      <c r="H96" s="371"/>
      <c r="I96" s="371"/>
      <c r="J96" s="371"/>
      <c r="K96" s="371"/>
      <c r="L96" s="371"/>
      <c r="M96" s="371"/>
      <c r="N96" s="371"/>
      <c r="O96" s="371"/>
      <c r="P96" s="371"/>
      <c r="Q96" s="371"/>
      <c r="R96" s="371"/>
      <c r="S96" s="371"/>
      <c r="T96" s="371"/>
      <c r="U96" s="371"/>
      <c r="V96" s="371"/>
      <c r="W96" s="371"/>
      <c r="X96" s="371"/>
      <c r="Y96" s="371"/>
      <c r="Z96" s="371"/>
      <c r="AA96" s="371"/>
      <c r="AB96" s="371"/>
      <c r="AC96" s="371"/>
      <c r="AD96" s="371"/>
      <c r="AE96" s="371"/>
      <c r="AF96" s="371"/>
      <c r="AG96" s="371"/>
      <c r="AH96" s="369"/>
    </row>
    <row r="97" spans="1:36" s="408" customFormat="1" ht="14.25" customHeight="1">
      <c r="A97" s="354"/>
      <c r="B97" s="355"/>
      <c r="C97" s="297" t="s">
        <v>649</v>
      </c>
      <c r="D97" s="371"/>
      <c r="E97" s="371"/>
      <c r="F97" s="371"/>
      <c r="G97" s="371"/>
      <c r="H97" s="371"/>
      <c r="I97" s="371"/>
      <c r="J97" s="371"/>
      <c r="K97" s="371"/>
      <c r="L97" s="371"/>
      <c r="M97" s="371"/>
      <c r="N97" s="371"/>
      <c r="O97" s="371"/>
      <c r="P97" s="371"/>
      <c r="Q97" s="371"/>
      <c r="R97" s="371"/>
      <c r="S97" s="371"/>
      <c r="T97" s="371"/>
      <c r="U97" s="371"/>
      <c r="V97" s="371"/>
      <c r="W97" s="371"/>
      <c r="X97" s="371"/>
      <c r="Y97" s="371"/>
      <c r="Z97" s="371"/>
      <c r="AA97" s="371"/>
      <c r="AB97" s="371"/>
      <c r="AC97" s="371"/>
      <c r="AD97" s="371"/>
      <c r="AE97" s="371"/>
      <c r="AF97" s="371"/>
      <c r="AG97" s="371"/>
      <c r="AH97" s="369"/>
    </row>
    <row r="98" spans="1:36" s="408" customFormat="1" ht="14.25" customHeight="1">
      <c r="A98" s="354"/>
      <c r="B98" s="355"/>
      <c r="C98" s="421" t="s">
        <v>642</v>
      </c>
      <c r="D98" s="371" t="s">
        <v>650</v>
      </c>
      <c r="E98" s="371"/>
      <c r="F98" s="371"/>
      <c r="G98" s="371"/>
      <c r="H98" s="371"/>
      <c r="I98" s="421" t="s">
        <v>642</v>
      </c>
      <c r="J98" s="371" t="s">
        <v>651</v>
      </c>
      <c r="K98" s="371"/>
      <c r="L98" s="371"/>
      <c r="M98" s="371"/>
      <c r="N98" s="371"/>
      <c r="O98" s="371"/>
      <c r="P98" s="421" t="s">
        <v>652</v>
      </c>
      <c r="Q98" s="371" t="s">
        <v>653</v>
      </c>
      <c r="R98" s="371"/>
      <c r="S98" s="371"/>
      <c r="T98" s="371"/>
      <c r="U98" s="371"/>
      <c r="V98" s="371"/>
      <c r="W98" s="371"/>
      <c r="X98" s="371"/>
      <c r="Y98" s="371"/>
      <c r="Z98" s="371"/>
      <c r="AA98" s="371"/>
      <c r="AB98" s="371"/>
      <c r="AC98" s="371"/>
      <c r="AD98" s="371"/>
      <c r="AE98" s="371"/>
      <c r="AF98" s="371"/>
      <c r="AG98" s="371"/>
      <c r="AH98" s="369"/>
    </row>
    <row r="99" spans="1:36" s="408" customFormat="1" ht="14.25" customHeight="1">
      <c r="A99" s="354"/>
      <c r="B99" s="355"/>
      <c r="C99" s="371"/>
      <c r="D99" s="297" t="s">
        <v>654</v>
      </c>
      <c r="E99" s="297"/>
      <c r="F99" s="297"/>
      <c r="G99" s="297"/>
      <c r="H99" s="297"/>
      <c r="I99" s="297"/>
      <c r="J99" s="297" t="s">
        <v>655</v>
      </c>
      <c r="K99" s="297"/>
      <c r="L99" s="297"/>
      <c r="M99" s="297"/>
      <c r="N99" s="297"/>
      <c r="O99" s="297"/>
      <c r="P99" s="297"/>
      <c r="Q99" s="297" t="s">
        <v>656</v>
      </c>
      <c r="R99" s="297"/>
      <c r="S99" s="371"/>
      <c r="T99" s="371"/>
      <c r="U99" s="371"/>
      <c r="V99" s="371"/>
      <c r="W99" s="371"/>
      <c r="X99" s="371"/>
      <c r="Y99" s="371"/>
      <c r="Z99" s="371"/>
      <c r="AA99" s="371"/>
      <c r="AB99" s="371"/>
      <c r="AC99" s="371"/>
      <c r="AD99" s="371"/>
      <c r="AE99" s="371"/>
      <c r="AF99" s="371"/>
      <c r="AG99" s="371"/>
      <c r="AH99" s="369"/>
    </row>
    <row r="100" spans="1:36" s="408" customFormat="1" ht="14.25" customHeight="1">
      <c r="A100" s="354"/>
      <c r="B100" s="355"/>
      <c r="C100" s="421" t="s">
        <v>642</v>
      </c>
      <c r="D100" s="371" t="s">
        <v>657</v>
      </c>
      <c r="E100" s="371"/>
      <c r="F100" s="371"/>
      <c r="G100" s="371"/>
      <c r="H100" s="364"/>
      <c r="I100" s="364"/>
      <c r="J100" s="364"/>
      <c r="K100" s="364"/>
      <c r="L100" s="364"/>
      <c r="M100" s="364"/>
      <c r="N100" s="371"/>
      <c r="O100" s="371"/>
      <c r="P100" s="364"/>
      <c r="Q100" s="364"/>
      <c r="R100" s="364"/>
      <c r="S100" s="364"/>
      <c r="T100" s="364" t="s">
        <v>658</v>
      </c>
      <c r="U100" s="364"/>
      <c r="V100" s="421" t="s">
        <v>124</v>
      </c>
      <c r="W100" s="371" t="s">
        <v>659</v>
      </c>
      <c r="X100" s="371"/>
      <c r="Y100" s="364"/>
      <c r="Z100" s="421"/>
      <c r="AA100" s="371"/>
      <c r="AB100" s="371"/>
      <c r="AC100" s="371"/>
      <c r="AD100" s="371"/>
      <c r="AE100" s="371"/>
      <c r="AF100" s="371"/>
      <c r="AG100" s="371"/>
      <c r="AH100" s="369"/>
    </row>
    <row r="101" spans="1:36" s="408" customFormat="1" ht="13.5">
      <c r="A101" s="354"/>
      <c r="B101" s="355"/>
      <c r="C101" s="297"/>
      <c r="D101" s="297" t="s">
        <v>660</v>
      </c>
      <c r="E101" s="297"/>
      <c r="F101" s="297"/>
      <c r="G101" s="297"/>
      <c r="H101" s="297"/>
      <c r="I101" s="297"/>
      <c r="J101" s="297"/>
      <c r="K101" s="297"/>
      <c r="L101" s="297"/>
      <c r="M101" s="297"/>
      <c r="N101" s="297"/>
      <c r="O101" s="297"/>
      <c r="P101" s="364"/>
      <c r="Q101" s="364"/>
      <c r="R101" s="364"/>
      <c r="S101" s="364"/>
      <c r="T101" s="364"/>
      <c r="U101" s="364"/>
      <c r="V101" s="297"/>
      <c r="W101" s="297" t="s">
        <v>559</v>
      </c>
      <c r="X101" s="371"/>
      <c r="Y101" s="364"/>
      <c r="Z101" s="297"/>
      <c r="AA101" s="297"/>
      <c r="AB101" s="371"/>
      <c r="AC101" s="371"/>
      <c r="AD101" s="371"/>
      <c r="AE101" s="371"/>
      <c r="AF101" s="371"/>
      <c r="AG101" s="371"/>
      <c r="AH101" s="369"/>
    </row>
    <row r="102" spans="1:36" s="408" customFormat="1" ht="13.5">
      <c r="A102" s="354"/>
      <c r="B102" s="355"/>
      <c r="C102" s="297"/>
      <c r="D102" s="297" t="s">
        <v>661</v>
      </c>
      <c r="E102" s="297"/>
      <c r="F102" s="297"/>
      <c r="G102" s="297"/>
      <c r="H102" s="297"/>
      <c r="I102" s="297"/>
      <c r="J102" s="297"/>
      <c r="K102" s="297"/>
      <c r="L102" s="297"/>
      <c r="M102" s="297"/>
      <c r="N102" s="297"/>
      <c r="O102" s="297"/>
      <c r="P102" s="364"/>
      <c r="Q102" s="364"/>
      <c r="R102" s="364"/>
      <c r="S102" s="364"/>
      <c r="T102" s="364"/>
      <c r="U102" s="364"/>
      <c r="V102" s="297"/>
      <c r="W102" s="297"/>
      <c r="X102" s="371"/>
      <c r="Y102" s="364"/>
      <c r="Z102" s="297"/>
      <c r="AA102" s="297"/>
      <c r="AB102" s="371"/>
      <c r="AC102" s="371"/>
      <c r="AD102" s="371"/>
      <c r="AE102" s="371"/>
      <c r="AF102" s="371"/>
      <c r="AG102" s="371"/>
      <c r="AH102" s="369"/>
    </row>
    <row r="103" spans="1:36" s="327" customFormat="1" ht="13.5" customHeight="1">
      <c r="A103" s="324" t="s">
        <v>662</v>
      </c>
      <c r="B103" s="314"/>
      <c r="C103" s="371"/>
      <c r="D103" s="371"/>
      <c r="E103" s="371"/>
      <c r="F103" s="371"/>
      <c r="G103" s="297" t="s">
        <v>663</v>
      </c>
      <c r="H103" s="371"/>
      <c r="I103" s="371"/>
      <c r="J103" s="371"/>
      <c r="K103" s="371"/>
      <c r="L103" s="371"/>
      <c r="M103" s="371"/>
      <c r="N103" s="371"/>
      <c r="O103" s="371"/>
      <c r="P103" s="371"/>
      <c r="Q103" s="371"/>
      <c r="R103" s="371"/>
      <c r="S103" s="371"/>
      <c r="T103" s="371"/>
      <c r="U103" s="371"/>
      <c r="V103" s="371"/>
      <c r="W103" s="371"/>
      <c r="X103" s="371"/>
      <c r="Y103" s="371"/>
      <c r="Z103" s="371"/>
      <c r="AA103" s="371"/>
      <c r="AB103" s="371"/>
      <c r="AC103" s="371"/>
      <c r="AD103" s="371"/>
      <c r="AE103" s="371"/>
      <c r="AF103" s="371"/>
      <c r="AG103" s="371"/>
      <c r="AH103" s="334"/>
      <c r="AI103" s="315"/>
      <c r="AJ103" s="315"/>
    </row>
    <row r="104" spans="1:36" s="327" customFormat="1" ht="13.5" customHeight="1">
      <c r="A104" s="324"/>
      <c r="B104" s="421" t="s">
        <v>571</v>
      </c>
      <c r="C104" s="371" t="s">
        <v>664</v>
      </c>
      <c r="D104" s="371"/>
      <c r="E104" s="371"/>
      <c r="F104" s="371"/>
      <c r="G104" s="315"/>
      <c r="H104" s="371"/>
      <c r="I104" s="371"/>
      <c r="J104" s="371"/>
      <c r="K104" s="315"/>
      <c r="L104" s="315"/>
      <c r="M104" s="421" t="s">
        <v>296</v>
      </c>
      <c r="N104" s="371" t="s">
        <v>665</v>
      </c>
      <c r="O104" s="315"/>
      <c r="P104" s="315"/>
      <c r="Q104" s="371"/>
      <c r="R104" s="371"/>
      <c r="S104" s="371"/>
      <c r="T104" s="371"/>
      <c r="U104" s="315"/>
      <c r="V104" s="371"/>
      <c r="W104" s="315"/>
      <c r="X104" s="315"/>
      <c r="Y104" s="371"/>
      <c r="Z104" s="371"/>
      <c r="AA104" s="371"/>
      <c r="AB104" s="371"/>
      <c r="AC104" s="371"/>
      <c r="AD104" s="371"/>
      <c r="AE104" s="371"/>
      <c r="AF104" s="315"/>
      <c r="AG104" s="315"/>
      <c r="AH104" s="334"/>
      <c r="AI104" s="315"/>
      <c r="AJ104" s="315"/>
    </row>
    <row r="105" spans="1:36" s="327" customFormat="1" ht="13.5" customHeight="1">
      <c r="A105" s="324"/>
      <c r="B105" s="314"/>
      <c r="C105" s="326" t="s">
        <v>666</v>
      </c>
      <c r="D105" s="297"/>
      <c r="E105" s="297"/>
      <c r="F105" s="297"/>
      <c r="G105" s="297"/>
      <c r="H105" s="315"/>
      <c r="I105" s="297"/>
      <c r="J105" s="297"/>
      <c r="K105" s="315"/>
      <c r="L105" s="315"/>
      <c r="M105" s="297"/>
      <c r="N105" s="326" t="s">
        <v>667</v>
      </c>
      <c r="O105" s="297"/>
      <c r="P105" s="297"/>
      <c r="Q105" s="315"/>
      <c r="R105" s="297"/>
      <c r="S105" s="297"/>
      <c r="T105" s="297"/>
      <c r="U105" s="297"/>
      <c r="V105" s="315"/>
      <c r="W105" s="315"/>
      <c r="X105" s="315"/>
      <c r="Y105" s="297"/>
      <c r="Z105" s="371"/>
      <c r="AA105" s="371"/>
      <c r="AB105" s="371"/>
      <c r="AC105" s="371"/>
      <c r="AD105" s="371"/>
      <c r="AE105" s="371"/>
      <c r="AF105" s="371"/>
      <c r="AG105" s="371"/>
      <c r="AH105" s="334"/>
      <c r="AI105" s="315"/>
      <c r="AJ105" s="315"/>
    </row>
    <row r="106" spans="1:36" s="327" customFormat="1" ht="13.5" customHeight="1">
      <c r="A106" s="324"/>
      <c r="B106" s="421" t="s">
        <v>571</v>
      </c>
      <c r="C106" s="298" t="s">
        <v>668</v>
      </c>
      <c r="D106" s="297"/>
      <c r="E106" s="297"/>
      <c r="F106" s="297"/>
      <c r="G106" s="297"/>
      <c r="H106" s="326"/>
      <c r="I106" s="297"/>
      <c r="J106" s="297"/>
      <c r="K106" s="315"/>
      <c r="L106" s="315"/>
      <c r="M106" s="421" t="s">
        <v>571</v>
      </c>
      <c r="N106" s="371" t="s">
        <v>644</v>
      </c>
      <c r="O106" s="297"/>
      <c r="P106" s="297"/>
      <c r="Q106" s="1392"/>
      <c r="R106" s="1392"/>
      <c r="S106" s="1392"/>
      <c r="T106" s="1392"/>
      <c r="U106" s="1392"/>
      <c r="V106" s="1392"/>
      <c r="W106" s="1392"/>
      <c r="X106" s="1392"/>
      <c r="Y106" s="1392"/>
      <c r="Z106" s="1392"/>
      <c r="AA106" s="1392"/>
      <c r="AB106" s="1392"/>
      <c r="AC106" s="1392"/>
      <c r="AD106" s="1392"/>
      <c r="AE106" s="1392"/>
      <c r="AF106" s="1392"/>
      <c r="AG106" s="371" t="s">
        <v>669</v>
      </c>
      <c r="AH106" s="334"/>
      <c r="AI106" s="315"/>
      <c r="AJ106" s="315"/>
    </row>
    <row r="107" spans="1:36" s="327" customFormat="1" ht="13.5" customHeight="1">
      <c r="A107" s="324"/>
      <c r="B107" s="314"/>
      <c r="C107" s="326" t="s">
        <v>670</v>
      </c>
      <c r="D107" s="297"/>
      <c r="E107" s="297"/>
      <c r="F107" s="297"/>
      <c r="G107" s="297"/>
      <c r="H107" s="326"/>
      <c r="I107" s="297"/>
      <c r="J107" s="297"/>
      <c r="K107" s="315"/>
      <c r="L107" s="315"/>
      <c r="M107" s="297"/>
      <c r="N107" s="297" t="s">
        <v>559</v>
      </c>
      <c r="O107" s="297"/>
      <c r="P107" s="297"/>
      <c r="Q107" s="326"/>
      <c r="R107" s="297"/>
      <c r="S107" s="297"/>
      <c r="T107" s="297"/>
      <c r="U107" s="297"/>
      <c r="V107" s="315"/>
      <c r="W107" s="297"/>
      <c r="X107" s="297"/>
      <c r="Y107" s="297"/>
      <c r="Z107" s="371"/>
      <c r="AA107" s="371"/>
      <c r="AB107" s="371"/>
      <c r="AC107" s="371"/>
      <c r="AD107" s="371"/>
      <c r="AE107" s="371"/>
      <c r="AF107" s="371"/>
      <c r="AG107" s="371"/>
      <c r="AH107" s="334"/>
      <c r="AI107" s="315"/>
      <c r="AJ107" s="315"/>
    </row>
    <row r="108" spans="1:36" s="422" customFormat="1" ht="14.25">
      <c r="A108" s="336" t="s">
        <v>671</v>
      </c>
      <c r="B108" s="337"/>
      <c r="C108" s="337"/>
      <c r="D108" s="337"/>
      <c r="E108" s="337"/>
      <c r="F108" s="337"/>
      <c r="G108" s="337"/>
      <c r="H108" s="337"/>
      <c r="I108" s="337"/>
      <c r="J108" s="337"/>
      <c r="K108" s="337"/>
      <c r="L108" s="337"/>
      <c r="M108" s="337"/>
      <c r="N108" s="337"/>
      <c r="O108" s="337"/>
      <c r="P108" s="337"/>
      <c r="Q108" s="337"/>
      <c r="R108" s="337"/>
      <c r="S108" s="337"/>
      <c r="T108" s="337"/>
      <c r="U108" s="337"/>
      <c r="V108" s="337"/>
      <c r="W108" s="337"/>
      <c r="X108" s="337"/>
      <c r="Y108" s="337"/>
      <c r="Z108" s="337"/>
      <c r="AA108" s="337"/>
      <c r="AB108" s="337"/>
      <c r="AC108" s="337"/>
      <c r="AD108" s="337"/>
      <c r="AE108" s="337"/>
      <c r="AF108" s="337"/>
      <c r="AG108" s="337"/>
      <c r="AH108" s="342"/>
    </row>
    <row r="109" spans="1:36" s="422" customFormat="1" ht="12.75" customHeight="1">
      <c r="A109" s="336"/>
      <c r="B109" s="297" t="s">
        <v>672</v>
      </c>
      <c r="C109" s="337"/>
      <c r="D109" s="337"/>
      <c r="E109" s="337"/>
      <c r="F109" s="337"/>
      <c r="G109" s="337"/>
      <c r="H109" s="337"/>
      <c r="I109" s="337"/>
      <c r="J109" s="337"/>
      <c r="K109" s="337"/>
      <c r="L109" s="337"/>
      <c r="M109" s="337"/>
      <c r="N109" s="337"/>
      <c r="O109" s="337"/>
      <c r="P109" s="337"/>
      <c r="Q109" s="337"/>
      <c r="R109" s="337"/>
      <c r="S109" s="337"/>
      <c r="T109" s="337"/>
      <c r="U109" s="337"/>
      <c r="V109" s="337"/>
      <c r="W109" s="337"/>
      <c r="X109" s="337"/>
      <c r="Y109" s="337"/>
      <c r="Z109" s="337"/>
      <c r="AA109" s="337"/>
      <c r="AB109" s="337"/>
      <c r="AC109" s="337"/>
      <c r="AD109" s="337"/>
      <c r="AE109" s="337"/>
      <c r="AF109" s="337"/>
      <c r="AG109" s="337"/>
      <c r="AH109" s="342"/>
    </row>
    <row r="110" spans="1:36" s="422" customFormat="1" ht="14.25">
      <c r="A110" s="336"/>
      <c r="B110" s="337" t="s">
        <v>673</v>
      </c>
      <c r="C110" s="337"/>
      <c r="D110" s="337"/>
      <c r="E110" s="1420" t="s">
        <v>1272</v>
      </c>
      <c r="F110" s="1414"/>
      <c r="G110" s="1414"/>
      <c r="H110" s="1414"/>
      <c r="I110" s="1414"/>
      <c r="J110" s="1414"/>
      <c r="K110" s="1414"/>
      <c r="L110" s="1414"/>
      <c r="M110" s="1414"/>
      <c r="N110" s="1414"/>
      <c r="O110" s="1414"/>
      <c r="P110" s="1414"/>
      <c r="Q110" s="337"/>
      <c r="R110" s="338" t="s">
        <v>674</v>
      </c>
      <c r="S110" s="338"/>
      <c r="T110" s="338"/>
      <c r="U110" s="338"/>
      <c r="V110" s="338"/>
      <c r="W110" s="337"/>
      <c r="X110" s="337"/>
      <c r="Y110" s="337"/>
      <c r="Z110" s="1414" t="s">
        <v>675</v>
      </c>
      <c r="AA110" s="1414"/>
      <c r="AB110" s="1414"/>
      <c r="AC110" s="1414"/>
      <c r="AD110" s="1414"/>
      <c r="AE110" s="1414"/>
      <c r="AF110" s="1414"/>
      <c r="AG110" s="1414"/>
      <c r="AH110" s="342"/>
    </row>
    <row r="111" spans="1:36" s="422" customFormat="1" ht="12" customHeight="1">
      <c r="A111" s="336"/>
      <c r="B111" s="337"/>
      <c r="C111" s="423" t="s">
        <v>676</v>
      </c>
      <c r="D111" s="424"/>
      <c r="E111" s="1415"/>
      <c r="F111" s="1415"/>
      <c r="G111" s="1415"/>
      <c r="H111" s="1415"/>
      <c r="I111" s="1415"/>
      <c r="J111" s="1415"/>
      <c r="K111" s="1415"/>
      <c r="L111" s="1415"/>
      <c r="M111" s="1415"/>
      <c r="N111" s="1415"/>
      <c r="O111" s="1415"/>
      <c r="P111" s="1415"/>
      <c r="Q111" s="424"/>
      <c r="R111" s="424"/>
      <c r="S111" s="423" t="s">
        <v>677</v>
      </c>
      <c r="T111" s="424"/>
      <c r="U111" s="424"/>
      <c r="V111" s="424"/>
      <c r="W111" s="424"/>
      <c r="X111" s="424"/>
      <c r="Y111" s="424"/>
      <c r="Z111" s="1415"/>
      <c r="AA111" s="1415"/>
      <c r="AB111" s="1415"/>
      <c r="AC111" s="1415"/>
      <c r="AD111" s="1415"/>
      <c r="AE111" s="1415"/>
      <c r="AF111" s="1415"/>
      <c r="AG111" s="1415"/>
      <c r="AH111" s="342"/>
    </row>
    <row r="112" spans="1:36" s="422" customFormat="1" ht="14.25">
      <c r="A112" s="336"/>
      <c r="B112" s="337" t="s">
        <v>678</v>
      </c>
      <c r="C112" s="337"/>
      <c r="D112" s="337"/>
      <c r="E112" s="1414" t="s">
        <v>1273</v>
      </c>
      <c r="F112" s="1414"/>
      <c r="G112" s="1414"/>
      <c r="H112" s="1414"/>
      <c r="I112" s="1414"/>
      <c r="J112" s="1414"/>
      <c r="K112" s="1414"/>
      <c r="L112" s="1414"/>
      <c r="M112" s="1414"/>
      <c r="N112" s="1414"/>
      <c r="O112" s="1414"/>
      <c r="P112" s="1414"/>
      <c r="Q112" s="1414"/>
      <c r="R112" s="1414"/>
      <c r="S112" s="1414"/>
      <c r="T112" s="1414"/>
      <c r="U112" s="1414"/>
      <c r="V112" s="1414"/>
      <c r="W112" s="1414"/>
      <c r="X112" s="1414"/>
      <c r="Y112" s="1414"/>
      <c r="Z112" s="1414"/>
      <c r="AA112" s="1414"/>
      <c r="AB112" s="1414"/>
      <c r="AC112" s="1414"/>
      <c r="AD112" s="1414"/>
      <c r="AE112" s="1414"/>
      <c r="AF112" s="1414"/>
      <c r="AG112" s="1414"/>
      <c r="AH112" s="342"/>
    </row>
    <row r="113" spans="1:34" s="422" customFormat="1" ht="12" customHeight="1">
      <c r="A113" s="336"/>
      <c r="B113" s="337"/>
      <c r="C113" s="425" t="s">
        <v>679</v>
      </c>
      <c r="D113" s="426"/>
      <c r="E113" s="1415"/>
      <c r="F113" s="1415"/>
      <c r="G113" s="1415"/>
      <c r="H113" s="1415"/>
      <c r="I113" s="1415"/>
      <c r="J113" s="1415"/>
      <c r="K113" s="1415"/>
      <c r="L113" s="1415"/>
      <c r="M113" s="1415"/>
      <c r="N113" s="1415"/>
      <c r="O113" s="1415"/>
      <c r="P113" s="1415"/>
      <c r="Q113" s="1415"/>
      <c r="R113" s="1415"/>
      <c r="S113" s="1415"/>
      <c r="T113" s="1415"/>
      <c r="U113" s="1415"/>
      <c r="V113" s="1415"/>
      <c r="W113" s="1415"/>
      <c r="X113" s="1415"/>
      <c r="Y113" s="1415"/>
      <c r="Z113" s="1415"/>
      <c r="AA113" s="1415"/>
      <c r="AB113" s="1415"/>
      <c r="AC113" s="1415"/>
      <c r="AD113" s="1415"/>
      <c r="AE113" s="1415"/>
      <c r="AF113" s="1415"/>
      <c r="AG113" s="1415"/>
      <c r="AH113" s="342"/>
    </row>
    <row r="114" spans="1:34" s="422" customFormat="1" ht="3.75" customHeight="1">
      <c r="A114" s="427"/>
      <c r="B114" s="428"/>
      <c r="C114" s="429"/>
      <c r="D114" s="429"/>
      <c r="E114" s="430"/>
      <c r="F114" s="430"/>
      <c r="G114" s="430"/>
      <c r="H114" s="430"/>
      <c r="I114" s="430"/>
      <c r="J114" s="430"/>
      <c r="K114" s="430"/>
      <c r="L114" s="430"/>
      <c r="M114" s="430"/>
      <c r="N114" s="430"/>
      <c r="O114" s="430"/>
      <c r="P114" s="430"/>
      <c r="Q114" s="430"/>
      <c r="R114" s="430"/>
      <c r="S114" s="430"/>
      <c r="T114" s="430"/>
      <c r="U114" s="430"/>
      <c r="V114" s="430"/>
      <c r="W114" s="430"/>
      <c r="X114" s="430"/>
      <c r="Y114" s="430"/>
      <c r="Z114" s="430"/>
      <c r="AA114" s="430"/>
      <c r="AB114" s="430"/>
      <c r="AC114" s="430"/>
      <c r="AD114" s="430"/>
      <c r="AE114" s="430"/>
      <c r="AF114" s="430"/>
      <c r="AG114" s="430"/>
      <c r="AH114" s="431"/>
    </row>
    <row r="115" spans="1:34" s="422" customFormat="1" ht="14.25" customHeight="1">
      <c r="A115" s="336"/>
      <c r="B115" s="337"/>
      <c r="C115" s="338" t="s">
        <v>356</v>
      </c>
      <c r="D115" s="338"/>
      <c r="E115" s="338"/>
      <c r="F115" s="337"/>
      <c r="G115" s="1414" t="s">
        <v>1268</v>
      </c>
      <c r="H115" s="1414"/>
      <c r="I115" s="1414"/>
      <c r="J115" s="1414"/>
      <c r="K115" s="1414"/>
      <c r="L115" s="1414"/>
      <c r="M115" s="1414"/>
      <c r="N115" s="1414"/>
      <c r="O115" s="1414"/>
      <c r="P115" s="1414"/>
      <c r="Q115" s="337"/>
      <c r="R115" s="337"/>
      <c r="S115" s="338" t="s">
        <v>357</v>
      </c>
      <c r="T115" s="338"/>
      <c r="U115" s="338"/>
      <c r="V115" s="337"/>
      <c r="W115" s="337"/>
      <c r="X115" s="1414" t="s">
        <v>1274</v>
      </c>
      <c r="Y115" s="1414"/>
      <c r="Z115" s="1414"/>
      <c r="AA115" s="1414"/>
      <c r="AB115" s="1414"/>
      <c r="AC115" s="1414"/>
      <c r="AD115" s="1414"/>
      <c r="AE115" s="1414"/>
      <c r="AF115" s="1414"/>
      <c r="AG115" s="1414"/>
      <c r="AH115" s="342"/>
    </row>
    <row r="116" spans="1:34" s="422" customFormat="1" ht="12" customHeight="1">
      <c r="A116" s="336"/>
      <c r="B116" s="337"/>
      <c r="C116" s="423" t="s">
        <v>680</v>
      </c>
      <c r="D116" s="424"/>
      <c r="E116" s="424"/>
      <c r="F116" s="424"/>
      <c r="G116" s="1415"/>
      <c r="H116" s="1415"/>
      <c r="I116" s="1415"/>
      <c r="J116" s="1415"/>
      <c r="K116" s="1415"/>
      <c r="L116" s="1415"/>
      <c r="M116" s="1415"/>
      <c r="N116" s="1415"/>
      <c r="O116" s="1415"/>
      <c r="P116" s="1415"/>
      <c r="Q116" s="424"/>
      <c r="R116" s="424"/>
      <c r="S116" s="423" t="s">
        <v>681</v>
      </c>
      <c r="T116" s="424"/>
      <c r="U116" s="424"/>
      <c r="V116" s="424"/>
      <c r="W116" s="424"/>
      <c r="X116" s="1415"/>
      <c r="Y116" s="1415"/>
      <c r="Z116" s="1415"/>
      <c r="AA116" s="1415"/>
      <c r="AB116" s="1415"/>
      <c r="AC116" s="1415"/>
      <c r="AD116" s="1415"/>
      <c r="AE116" s="1415"/>
      <c r="AF116" s="1415"/>
      <c r="AG116" s="1415"/>
      <c r="AH116" s="342"/>
    </row>
    <row r="117" spans="1:34" s="422" customFormat="1" ht="14.25" customHeight="1">
      <c r="A117" s="336"/>
      <c r="B117" s="337"/>
      <c r="C117" s="424"/>
      <c r="D117" s="424"/>
      <c r="E117" s="424"/>
      <c r="F117" s="424"/>
      <c r="G117" s="424"/>
      <c r="H117" s="424"/>
      <c r="I117" s="424"/>
      <c r="J117" s="424"/>
      <c r="K117" s="424"/>
      <c r="L117" s="424"/>
      <c r="M117" s="424"/>
      <c r="N117" s="424"/>
      <c r="O117" s="424"/>
      <c r="P117" s="424"/>
      <c r="Q117" s="424"/>
      <c r="R117" s="424"/>
      <c r="S117" s="424"/>
      <c r="T117" s="424"/>
      <c r="U117" s="424"/>
      <c r="V117" s="424"/>
      <c r="W117" s="424"/>
      <c r="X117" s="424"/>
      <c r="Y117" s="424"/>
      <c r="Z117" s="424"/>
      <c r="AA117" s="424"/>
      <c r="AB117" s="424"/>
      <c r="AC117" s="424"/>
      <c r="AD117" s="424"/>
      <c r="AE117" s="424"/>
      <c r="AF117" s="424"/>
      <c r="AG117" s="424"/>
      <c r="AH117" s="342"/>
    </row>
    <row r="118" spans="1:34" s="432" customFormat="1" ht="15" customHeight="1">
      <c r="A118" s="433"/>
      <c r="B118" s="434" t="s">
        <v>682</v>
      </c>
      <c r="C118" s="435"/>
      <c r="D118" s="435"/>
      <c r="E118" s="435"/>
      <c r="F118" s="435"/>
      <c r="G118" s="435"/>
      <c r="H118" s="435"/>
      <c r="I118" s="435"/>
      <c r="J118" s="435"/>
      <c r="K118" s="435"/>
      <c r="L118" s="435"/>
      <c r="M118" s="435"/>
      <c r="N118" s="435"/>
      <c r="O118" s="435"/>
      <c r="P118" s="435"/>
      <c r="R118" s="435"/>
      <c r="S118" s="297" t="s">
        <v>683</v>
      </c>
      <c r="T118" s="297"/>
      <c r="U118" s="435"/>
      <c r="V118" s="435"/>
      <c r="W118" s="435"/>
      <c r="X118" s="435"/>
      <c r="Y118" s="435"/>
      <c r="Z118" s="435"/>
      <c r="AA118" s="435"/>
      <c r="AB118" s="435"/>
      <c r="AC118" s="435"/>
      <c r="AD118" s="435"/>
      <c r="AE118" s="435"/>
      <c r="AF118" s="435"/>
      <c r="AG118" s="435"/>
      <c r="AH118" s="436"/>
    </row>
    <row r="119" spans="1:34" s="432" customFormat="1" ht="15" customHeight="1">
      <c r="A119" s="433"/>
      <c r="B119" s="434" t="s">
        <v>684</v>
      </c>
      <c r="C119" s="435"/>
      <c r="D119" s="435"/>
      <c r="E119" s="435"/>
      <c r="F119" s="435"/>
      <c r="G119" s="435"/>
      <c r="H119" s="435"/>
      <c r="I119" s="435"/>
      <c r="J119" s="435"/>
      <c r="K119" s="435"/>
      <c r="L119" s="435"/>
      <c r="M119" s="297"/>
      <c r="O119" s="435"/>
      <c r="P119" s="435"/>
      <c r="R119" s="435"/>
      <c r="S119" s="424" t="s">
        <v>685</v>
      </c>
      <c r="T119" s="424"/>
      <c r="U119" s="435"/>
      <c r="V119" s="435"/>
      <c r="W119" s="435"/>
      <c r="X119" s="435"/>
      <c r="Y119" s="435"/>
      <c r="Z119" s="435"/>
      <c r="AA119" s="435"/>
      <c r="AB119" s="435"/>
      <c r="AC119" s="435"/>
      <c r="AD119" s="435"/>
      <c r="AE119" s="435"/>
      <c r="AF119" s="435"/>
      <c r="AG119" s="435"/>
      <c r="AH119" s="436"/>
    </row>
    <row r="120" spans="1:34" s="432" customFormat="1" ht="15.75" customHeight="1">
      <c r="A120" s="336"/>
      <c r="B120" s="435"/>
      <c r="C120" s="437"/>
      <c r="D120" s="437"/>
      <c r="E120" s="437"/>
      <c r="F120" s="437"/>
      <c r="G120" s="437"/>
      <c r="H120" s="437"/>
      <c r="I120" s="437"/>
      <c r="J120" s="437"/>
      <c r="K120" s="437"/>
      <c r="L120" s="437"/>
      <c r="M120" s="437"/>
      <c r="N120" s="437"/>
      <c r="O120" s="437"/>
      <c r="P120" s="437"/>
      <c r="Q120" s="437"/>
      <c r="R120" s="437"/>
      <c r="S120" s="437"/>
      <c r="T120" s="437"/>
      <c r="U120" s="438"/>
      <c r="V120" s="438"/>
      <c r="W120" s="438"/>
      <c r="X120" s="438"/>
      <c r="Y120" s="314"/>
      <c r="Z120" s="438"/>
      <c r="AA120" s="438" t="s">
        <v>4</v>
      </c>
      <c r="AB120" s="438"/>
      <c r="AC120" s="314"/>
      <c r="AD120" s="438" t="s">
        <v>34</v>
      </c>
      <c r="AE120" s="438"/>
      <c r="AF120" s="438"/>
      <c r="AG120" s="438" t="s">
        <v>6</v>
      </c>
      <c r="AH120" s="342"/>
    </row>
    <row r="121" spans="1:34" s="432" customFormat="1" ht="15.75" customHeight="1" thickBot="1">
      <c r="A121" s="336"/>
      <c r="B121" s="439"/>
      <c r="C121" s="439"/>
      <c r="D121" s="440"/>
      <c r="E121" s="440"/>
      <c r="F121" s="440"/>
      <c r="G121" s="440"/>
      <c r="H121" s="440"/>
      <c r="I121" s="440"/>
      <c r="J121" s="440"/>
      <c r="K121" s="440"/>
      <c r="L121" s="440"/>
      <c r="M121" s="440"/>
      <c r="N121" s="440"/>
      <c r="O121" s="440"/>
      <c r="P121" s="440"/>
      <c r="Q121" s="440"/>
      <c r="R121" s="440"/>
      <c r="S121" s="440"/>
      <c r="T121" s="440"/>
      <c r="U121" s="439"/>
      <c r="V121" s="439"/>
      <c r="W121" s="439"/>
      <c r="X121" s="439"/>
      <c r="Y121" s="439"/>
      <c r="Z121" s="439"/>
      <c r="AA121" s="439" t="s">
        <v>556</v>
      </c>
      <c r="AB121" s="439"/>
      <c r="AC121" s="439"/>
      <c r="AD121" s="441" t="s">
        <v>554</v>
      </c>
      <c r="AE121" s="439"/>
      <c r="AF121" s="439"/>
      <c r="AG121" s="439" t="s">
        <v>686</v>
      </c>
      <c r="AH121" s="342"/>
    </row>
    <row r="122" spans="1:34" s="432" customFormat="1" ht="15.75" customHeight="1" thickTop="1">
      <c r="A122" s="336"/>
      <c r="B122" s="442" t="s">
        <v>687</v>
      </c>
      <c r="C122" s="443"/>
      <c r="D122" s="444" t="s">
        <v>688</v>
      </c>
      <c r="E122" s="445"/>
      <c r="F122" s="426"/>
      <c r="G122" s="426"/>
      <c r="H122" s="426"/>
      <c r="I122" s="426"/>
      <c r="J122" s="426"/>
      <c r="K122" s="426"/>
      <c r="L122" s="426"/>
      <c r="M122" s="426"/>
      <c r="N122" s="426"/>
      <c r="O122" s="426"/>
      <c r="P122" s="426"/>
      <c r="Q122" s="426"/>
      <c r="R122" s="426"/>
      <c r="S122" s="426"/>
      <c r="T122" s="426"/>
      <c r="U122" s="366"/>
      <c r="V122" s="366"/>
      <c r="W122" s="366"/>
      <c r="X122" s="366"/>
      <c r="Y122" s="366"/>
      <c r="Z122" s="366"/>
      <c r="AA122" s="366"/>
      <c r="AB122" s="366"/>
      <c r="AC122" s="366"/>
      <c r="AD122" s="446"/>
      <c r="AE122" s="366"/>
      <c r="AF122" s="366"/>
      <c r="AG122" s="366"/>
      <c r="AH122" s="342"/>
    </row>
    <row r="123" spans="1:34" s="432" customFormat="1" ht="15.75" customHeight="1">
      <c r="A123" s="336"/>
      <c r="B123" s="366" t="s">
        <v>689</v>
      </c>
      <c r="C123" s="366"/>
      <c r="D123" s="426" t="s">
        <v>690</v>
      </c>
      <c r="E123" s="426"/>
      <c r="F123" s="426"/>
      <c r="G123" s="426"/>
      <c r="H123" s="426"/>
      <c r="I123" s="426"/>
      <c r="J123" s="426"/>
      <c r="K123" s="426"/>
      <c r="L123" s="426"/>
      <c r="M123" s="426"/>
      <c r="N123" s="426"/>
      <c r="O123" s="426"/>
      <c r="P123" s="426"/>
      <c r="Q123" s="426"/>
      <c r="R123" s="426"/>
      <c r="S123" s="426"/>
      <c r="T123" s="426"/>
      <c r="U123" s="366"/>
      <c r="V123" s="366"/>
      <c r="W123" s="366"/>
      <c r="X123" s="366"/>
      <c r="Y123" s="366"/>
      <c r="Z123" s="366"/>
      <c r="AA123" s="366"/>
      <c r="AB123" s="366"/>
      <c r="AC123" s="366"/>
      <c r="AD123" s="446"/>
      <c r="AE123" s="366"/>
      <c r="AF123" s="366"/>
      <c r="AG123" s="366"/>
      <c r="AH123" s="342"/>
    </row>
    <row r="124" spans="1:34" s="432" customFormat="1" ht="11.25" customHeight="1">
      <c r="A124" s="447"/>
      <c r="B124" s="448"/>
      <c r="C124" s="448"/>
      <c r="D124" s="449" t="s">
        <v>691</v>
      </c>
      <c r="E124" s="448"/>
      <c r="F124" s="448"/>
      <c r="G124" s="448"/>
      <c r="H124" s="448"/>
      <c r="I124" s="448"/>
      <c r="J124" s="448"/>
      <c r="K124" s="448"/>
      <c r="L124" s="448"/>
      <c r="M124" s="448"/>
      <c r="N124" s="448"/>
      <c r="O124" s="448"/>
      <c r="P124" s="448"/>
      <c r="Q124" s="448"/>
      <c r="R124" s="448"/>
      <c r="S124" s="448"/>
      <c r="T124" s="448"/>
      <c r="U124" s="448"/>
      <c r="V124" s="448"/>
      <c r="W124" s="448"/>
      <c r="X124" s="448"/>
      <c r="Y124" s="448"/>
      <c r="Z124" s="448"/>
      <c r="AA124" s="448"/>
      <c r="AB124" s="448"/>
      <c r="AC124" s="448"/>
      <c r="AD124" s="448"/>
      <c r="AE124" s="448"/>
      <c r="AF124" s="448"/>
      <c r="AG124" s="448"/>
      <c r="AH124" s="450"/>
    </row>
    <row r="125" spans="1:34" s="422" customFormat="1" ht="14.25">
      <c r="A125" s="336" t="s">
        <v>692</v>
      </c>
      <c r="B125" s="337"/>
      <c r="C125" s="337"/>
      <c r="D125" s="337"/>
      <c r="E125" s="426" t="s">
        <v>693</v>
      </c>
      <c r="F125" s="337"/>
      <c r="G125" s="337"/>
      <c r="H125" s="337"/>
      <c r="I125" s="337"/>
      <c r="J125" s="337"/>
      <c r="K125" s="337"/>
      <c r="L125" s="337"/>
      <c r="M125" s="337"/>
      <c r="N125" s="337"/>
      <c r="O125" s="337"/>
      <c r="P125" s="337"/>
      <c r="Q125" s="337"/>
      <c r="R125" s="337"/>
      <c r="S125" s="337"/>
      <c r="T125" s="337"/>
      <c r="U125" s="337"/>
      <c r="V125" s="337"/>
      <c r="W125" s="337"/>
      <c r="X125" s="337"/>
      <c r="Y125" s="337"/>
      <c r="Z125" s="337"/>
      <c r="AA125" s="337"/>
      <c r="AB125" s="337"/>
      <c r="AC125" s="337"/>
      <c r="AD125" s="337"/>
      <c r="AE125" s="337"/>
      <c r="AF125" s="337"/>
      <c r="AG125" s="337"/>
      <c r="AH125" s="342"/>
    </row>
    <row r="126" spans="1:34" s="422" customFormat="1" ht="14.25">
      <c r="A126" s="336"/>
      <c r="B126" s="337" t="s">
        <v>673</v>
      </c>
      <c r="C126" s="337"/>
      <c r="D126" s="337"/>
      <c r="E126" s="1414"/>
      <c r="F126" s="1414"/>
      <c r="G126" s="1414"/>
      <c r="H126" s="1414"/>
      <c r="I126" s="1414"/>
      <c r="J126" s="1414"/>
      <c r="K126" s="1414"/>
      <c r="L126" s="1414"/>
      <c r="M126" s="337"/>
      <c r="N126" s="338" t="s">
        <v>694</v>
      </c>
      <c r="O126" s="338"/>
      <c r="P126" s="338"/>
      <c r="Q126" s="337"/>
      <c r="R126" s="1414"/>
      <c r="S126" s="1414"/>
      <c r="T126" s="1414"/>
      <c r="U126" s="1414"/>
      <c r="V126" s="1414"/>
      <c r="W126" s="1414"/>
      <c r="X126" s="1414"/>
      <c r="Y126" s="1414"/>
      <c r="Z126" s="1414"/>
      <c r="AA126" s="1414"/>
      <c r="AB126" s="1414"/>
      <c r="AC126" s="1414"/>
      <c r="AD126" s="1414"/>
      <c r="AE126" s="1414"/>
      <c r="AF126" s="1414"/>
      <c r="AG126" s="1414"/>
      <c r="AH126" s="342"/>
    </row>
    <row r="127" spans="1:34" s="422" customFormat="1" ht="12" customHeight="1">
      <c r="A127" s="336"/>
      <c r="B127" s="337"/>
      <c r="C127" s="297" t="s">
        <v>676</v>
      </c>
      <c r="D127" s="337"/>
      <c r="E127" s="1415"/>
      <c r="F127" s="1415"/>
      <c r="G127" s="1415"/>
      <c r="H127" s="1415"/>
      <c r="I127" s="1415"/>
      <c r="J127" s="1415"/>
      <c r="K127" s="1415"/>
      <c r="L127" s="1415"/>
      <c r="M127" s="337"/>
      <c r="N127" s="337"/>
      <c r="O127" s="297" t="s">
        <v>695</v>
      </c>
      <c r="P127" s="337"/>
      <c r="Q127" s="337"/>
      <c r="R127" s="1415"/>
      <c r="S127" s="1415"/>
      <c r="T127" s="1415"/>
      <c r="U127" s="1415"/>
      <c r="V127" s="1415"/>
      <c r="W127" s="1415"/>
      <c r="X127" s="1415"/>
      <c r="Y127" s="1415"/>
      <c r="Z127" s="1415"/>
      <c r="AA127" s="1415"/>
      <c r="AB127" s="1415"/>
      <c r="AC127" s="1415"/>
      <c r="AD127" s="1415"/>
      <c r="AE127" s="1415"/>
      <c r="AF127" s="1415"/>
      <c r="AG127" s="1415"/>
      <c r="AH127" s="342"/>
    </row>
    <row r="128" spans="1:34" s="422" customFormat="1" ht="3" customHeight="1">
      <c r="A128" s="336"/>
      <c r="B128" s="337"/>
      <c r="C128" s="297"/>
      <c r="D128" s="337"/>
      <c r="E128" s="337"/>
      <c r="F128" s="337"/>
      <c r="G128" s="337"/>
      <c r="H128" s="337"/>
      <c r="I128" s="337"/>
      <c r="J128" s="337"/>
      <c r="K128" s="337"/>
      <c r="L128" s="337"/>
      <c r="M128" s="337"/>
      <c r="N128" s="337"/>
      <c r="O128" s="297"/>
      <c r="P128" s="337"/>
      <c r="Q128" s="337"/>
      <c r="R128" s="337"/>
      <c r="S128" s="337"/>
      <c r="T128" s="337"/>
      <c r="U128" s="337"/>
      <c r="V128" s="337"/>
      <c r="W128" s="337"/>
      <c r="X128" s="337"/>
      <c r="Y128" s="337"/>
      <c r="Z128" s="337"/>
      <c r="AA128" s="337"/>
      <c r="AB128" s="337"/>
      <c r="AC128" s="337"/>
      <c r="AD128" s="337"/>
      <c r="AE128" s="337"/>
      <c r="AF128" s="337"/>
      <c r="AG128" s="337"/>
      <c r="AH128" s="342"/>
    </row>
    <row r="129" spans="1:34" s="422" customFormat="1" ht="14.25">
      <c r="A129" s="336"/>
      <c r="B129" s="337" t="s">
        <v>696</v>
      </c>
      <c r="C129" s="337"/>
      <c r="D129" s="337"/>
      <c r="E129" s="337"/>
      <c r="F129" s="337"/>
      <c r="G129" s="297" t="s">
        <v>697</v>
      </c>
      <c r="H129" s="337"/>
      <c r="I129" s="337"/>
      <c r="J129" s="337"/>
      <c r="K129" s="337"/>
      <c r="L129" s="337"/>
      <c r="M129" s="337"/>
      <c r="N129" s="337"/>
      <c r="O129" s="337"/>
      <c r="P129" s="337"/>
      <c r="Q129" s="337"/>
      <c r="R129" s="337"/>
      <c r="S129" s="337"/>
      <c r="T129" s="337"/>
      <c r="U129" s="337"/>
      <c r="V129" s="337"/>
      <c r="Y129" s="451" t="s">
        <v>356</v>
      </c>
      <c r="Z129" s="451"/>
      <c r="AA129" s="337"/>
      <c r="AB129" s="337"/>
      <c r="AC129" s="297" t="s">
        <v>680</v>
      </c>
      <c r="AD129" s="337"/>
      <c r="AE129" s="337"/>
      <c r="AF129" s="337"/>
      <c r="AG129" s="337"/>
      <c r="AH129" s="342"/>
    </row>
    <row r="130" spans="1:34" s="422" customFormat="1" ht="2.25" customHeight="1">
      <c r="A130" s="336"/>
      <c r="B130" s="337"/>
      <c r="D130" s="337"/>
      <c r="E130" s="337"/>
      <c r="F130" s="337"/>
      <c r="G130" s="337"/>
      <c r="H130" s="337"/>
      <c r="I130" s="337"/>
      <c r="J130" s="337"/>
      <c r="K130" s="337"/>
      <c r="L130" s="337"/>
      <c r="M130" s="337"/>
      <c r="N130" s="337"/>
      <c r="O130" s="337"/>
      <c r="P130" s="337"/>
      <c r="Q130" s="337"/>
      <c r="R130" s="337"/>
      <c r="S130" s="337"/>
      <c r="T130" s="337"/>
      <c r="U130" s="337"/>
      <c r="V130" s="337"/>
      <c r="Z130" s="451"/>
      <c r="AA130" s="337"/>
      <c r="AB130" s="337"/>
      <c r="AC130" s="337"/>
      <c r="AD130" s="337"/>
      <c r="AE130" s="337"/>
      <c r="AF130" s="337"/>
      <c r="AG130" s="337"/>
      <c r="AH130" s="342"/>
    </row>
    <row r="131" spans="1:34" s="422" customFormat="1" ht="14.25" customHeight="1">
      <c r="A131" s="336"/>
      <c r="B131" s="337"/>
      <c r="C131" s="1392"/>
      <c r="D131" s="1392"/>
      <c r="E131" s="1392"/>
      <c r="F131" s="1392"/>
      <c r="G131" s="1392"/>
      <c r="H131" s="1392"/>
      <c r="I131" s="1392"/>
      <c r="J131" s="1392"/>
      <c r="K131" s="1392"/>
      <c r="L131" s="1392"/>
      <c r="M131" s="1392"/>
      <c r="N131" s="1392"/>
      <c r="O131" s="1392"/>
      <c r="P131" s="1392"/>
      <c r="Q131" s="1392"/>
      <c r="R131" s="1392"/>
      <c r="S131" s="1392"/>
      <c r="T131" s="1392"/>
      <c r="U131" s="1392"/>
      <c r="V131" s="337"/>
      <c r="W131" s="297"/>
      <c r="X131" s="451"/>
      <c r="Y131" s="1414"/>
      <c r="Z131" s="1414"/>
      <c r="AA131" s="1414"/>
      <c r="AB131" s="1414"/>
      <c r="AC131" s="1414"/>
      <c r="AD131" s="1414"/>
      <c r="AE131" s="1414"/>
      <c r="AF131" s="1414"/>
      <c r="AG131" s="1414"/>
      <c r="AH131" s="342"/>
    </row>
    <row r="132" spans="1:34" s="422" customFormat="1" ht="14.25" customHeight="1">
      <c r="A132" s="336"/>
      <c r="B132" s="337"/>
      <c r="C132" s="1413"/>
      <c r="D132" s="1413"/>
      <c r="E132" s="1413"/>
      <c r="F132" s="1413"/>
      <c r="G132" s="1413"/>
      <c r="H132" s="1413"/>
      <c r="I132" s="1413"/>
      <c r="J132" s="1413"/>
      <c r="K132" s="1413"/>
      <c r="L132" s="1413"/>
      <c r="M132" s="1413"/>
      <c r="N132" s="1413"/>
      <c r="O132" s="1413"/>
      <c r="P132" s="1413"/>
      <c r="Q132" s="1413"/>
      <c r="R132" s="1413"/>
      <c r="S132" s="1413"/>
      <c r="T132" s="1413"/>
      <c r="U132" s="1413"/>
      <c r="V132" s="337"/>
      <c r="W132" s="337"/>
      <c r="X132" s="337"/>
      <c r="Y132" s="1415"/>
      <c r="Z132" s="1415"/>
      <c r="AA132" s="1415"/>
      <c r="AB132" s="1415"/>
      <c r="AC132" s="1415"/>
      <c r="AD132" s="1415"/>
      <c r="AE132" s="1415"/>
      <c r="AF132" s="1415"/>
      <c r="AG132" s="1415"/>
      <c r="AH132" s="342"/>
    </row>
    <row r="133" spans="1:34" s="422" customFormat="1" ht="8.25" customHeight="1">
      <c r="A133" s="452"/>
      <c r="B133" s="453"/>
      <c r="C133" s="453"/>
      <c r="D133" s="453"/>
      <c r="E133" s="453"/>
      <c r="F133" s="453"/>
      <c r="G133" s="453"/>
      <c r="H133" s="453"/>
      <c r="I133" s="453"/>
      <c r="J133" s="453"/>
      <c r="K133" s="453"/>
      <c r="L133" s="453"/>
      <c r="M133" s="453"/>
      <c r="N133" s="453"/>
      <c r="O133" s="453"/>
      <c r="P133" s="453"/>
      <c r="Q133" s="453"/>
      <c r="R133" s="453"/>
      <c r="S133" s="453"/>
      <c r="T133" s="453"/>
      <c r="U133" s="453"/>
      <c r="V133" s="453"/>
      <c r="W133" s="453"/>
      <c r="X133" s="453"/>
      <c r="Y133" s="453"/>
      <c r="Z133" s="453"/>
      <c r="AA133" s="453"/>
      <c r="AB133" s="453"/>
      <c r="AC133" s="453"/>
      <c r="AD133" s="453"/>
      <c r="AE133" s="453"/>
      <c r="AF133" s="453"/>
      <c r="AG133" s="453"/>
      <c r="AH133" s="454"/>
    </row>
    <row r="134" spans="1:34" s="422" customFormat="1" ht="14.25">
      <c r="A134" s="336"/>
      <c r="B134" s="337"/>
      <c r="C134" s="337"/>
      <c r="D134" s="337"/>
      <c r="E134" s="337"/>
      <c r="F134" s="337"/>
      <c r="G134" s="337"/>
      <c r="H134" s="337"/>
      <c r="I134" s="337"/>
      <c r="J134" s="337"/>
      <c r="K134" s="337"/>
      <c r="L134" s="337"/>
      <c r="M134" s="337"/>
      <c r="N134" s="337"/>
      <c r="O134" s="337"/>
      <c r="P134" s="337"/>
      <c r="Q134" s="337"/>
      <c r="R134" s="337"/>
      <c r="S134" s="337"/>
      <c r="T134" s="337"/>
      <c r="U134" s="337"/>
      <c r="V134" s="337"/>
      <c r="W134" s="337"/>
      <c r="X134" s="337"/>
      <c r="Y134" s="337"/>
      <c r="Z134" s="337"/>
      <c r="AA134" s="337"/>
      <c r="AB134" s="337"/>
      <c r="AC134" s="337"/>
      <c r="AD134" s="337"/>
      <c r="AE134" s="337"/>
      <c r="AF134" s="337"/>
      <c r="AG134" s="337"/>
      <c r="AH134" s="342"/>
    </row>
    <row r="135" spans="1:34" s="422" customFormat="1" ht="14.25">
      <c r="A135" s="336"/>
      <c r="B135" s="337"/>
      <c r="C135" s="337"/>
      <c r="D135" s="337"/>
      <c r="E135" s="337"/>
      <c r="F135" s="337"/>
      <c r="G135" s="337"/>
      <c r="H135" s="337"/>
      <c r="I135" s="337"/>
      <c r="J135" s="337"/>
      <c r="K135" s="337"/>
      <c r="L135" s="337"/>
      <c r="M135" s="337"/>
      <c r="N135" s="337"/>
      <c r="O135" s="337"/>
      <c r="P135" s="337"/>
      <c r="Q135" s="337"/>
      <c r="R135" s="337"/>
      <c r="S135" s="337"/>
      <c r="T135" s="337"/>
      <c r="U135" s="337"/>
      <c r="V135" s="337"/>
      <c r="W135" s="337"/>
      <c r="X135" s="337"/>
      <c r="Y135" s="337"/>
      <c r="Z135" s="337"/>
      <c r="AA135" s="337"/>
      <c r="AB135" s="337"/>
      <c r="AC135" s="337"/>
      <c r="AD135" s="337"/>
      <c r="AE135" s="337"/>
      <c r="AF135" s="337"/>
      <c r="AG135" s="337"/>
      <c r="AH135" s="342"/>
    </row>
    <row r="136" spans="1:34" s="422" customFormat="1" ht="14.25">
      <c r="A136" s="336"/>
      <c r="B136" s="337"/>
      <c r="C136" s="337"/>
      <c r="D136" s="337"/>
      <c r="E136" s="337"/>
      <c r="F136" s="337"/>
      <c r="G136" s="337"/>
      <c r="H136" s="337"/>
      <c r="I136" s="337"/>
      <c r="J136" s="337"/>
      <c r="K136" s="337"/>
      <c r="L136" s="337"/>
      <c r="M136" s="337"/>
      <c r="N136" s="337"/>
      <c r="O136" s="337"/>
      <c r="P136" s="337"/>
      <c r="Q136" s="337"/>
      <c r="R136" s="337"/>
      <c r="S136" s="337"/>
      <c r="T136" s="337"/>
      <c r="U136" s="337"/>
      <c r="V136" s="337"/>
      <c r="W136" s="337"/>
      <c r="X136" s="337"/>
      <c r="Y136" s="337"/>
      <c r="Z136" s="337"/>
      <c r="AA136" s="337"/>
      <c r="AB136" s="337"/>
      <c r="AC136" s="337"/>
      <c r="AD136" s="337"/>
      <c r="AE136" s="337"/>
      <c r="AF136" s="337"/>
      <c r="AG136" s="337"/>
      <c r="AH136" s="342"/>
    </row>
    <row r="137" spans="1:34" s="422" customFormat="1" ht="14.25">
      <c r="A137" s="336"/>
      <c r="B137" s="337"/>
      <c r="C137" s="337"/>
      <c r="D137" s="337"/>
      <c r="E137" s="337"/>
      <c r="F137" s="337"/>
      <c r="G137" s="337"/>
      <c r="H137" s="337"/>
      <c r="I137" s="337"/>
      <c r="J137" s="337"/>
      <c r="K137" s="337"/>
      <c r="L137" s="337"/>
      <c r="M137" s="337"/>
      <c r="N137" s="337"/>
      <c r="O137" s="337"/>
      <c r="P137" s="337"/>
      <c r="Q137" s="337"/>
      <c r="R137" s="337"/>
      <c r="S137" s="337"/>
      <c r="T137" s="337"/>
      <c r="U137" s="337"/>
      <c r="V137" s="337"/>
      <c r="W137" s="337"/>
      <c r="X137" s="337"/>
      <c r="Y137" s="337"/>
      <c r="Z137" s="337"/>
      <c r="AA137" s="337"/>
      <c r="AB137" s="337"/>
      <c r="AC137" s="337"/>
      <c r="AD137" s="337"/>
      <c r="AE137" s="337"/>
      <c r="AF137" s="337"/>
      <c r="AG137" s="337"/>
      <c r="AH137" s="342"/>
    </row>
    <row r="138" spans="1:34" s="422" customFormat="1" ht="14.25">
      <c r="A138" s="336"/>
      <c r="B138" s="337"/>
      <c r="C138" s="337"/>
      <c r="D138" s="337"/>
      <c r="E138" s="337"/>
      <c r="F138" s="337"/>
      <c r="G138" s="337"/>
      <c r="H138" s="337"/>
      <c r="I138" s="337"/>
      <c r="J138" s="337"/>
      <c r="K138" s="337"/>
      <c r="L138" s="337"/>
      <c r="M138" s="337"/>
      <c r="N138" s="337"/>
      <c r="O138" s="337"/>
      <c r="P138" s="337"/>
      <c r="Q138" s="337"/>
      <c r="R138" s="337"/>
      <c r="S138" s="337"/>
      <c r="T138" s="337"/>
      <c r="U138" s="337"/>
      <c r="V138" s="337"/>
      <c r="W138" s="337"/>
      <c r="X138" s="337"/>
      <c r="Y138" s="337"/>
      <c r="Z138" s="337"/>
      <c r="AA138" s="337"/>
      <c r="AB138" s="337"/>
      <c r="AC138" s="337"/>
      <c r="AD138" s="337"/>
      <c r="AE138" s="337"/>
      <c r="AF138" s="337"/>
      <c r="AG138" s="337"/>
      <c r="AH138" s="342"/>
    </row>
    <row r="139" spans="1:34" s="422" customFormat="1" ht="14.25">
      <c r="A139" s="336"/>
      <c r="B139" s="337"/>
      <c r="C139" s="337"/>
      <c r="D139" s="337"/>
      <c r="E139" s="337"/>
      <c r="F139" s="337"/>
      <c r="G139" s="337"/>
      <c r="H139" s="337"/>
      <c r="I139" s="337"/>
      <c r="J139" s="337"/>
      <c r="K139" s="337"/>
      <c r="L139" s="337"/>
      <c r="M139" s="337"/>
      <c r="N139" s="337"/>
      <c r="O139" s="337"/>
      <c r="P139" s="337"/>
      <c r="Q139" s="337"/>
      <c r="R139" s="337"/>
      <c r="S139" s="337"/>
      <c r="T139" s="337"/>
      <c r="U139" s="337"/>
      <c r="V139" s="337"/>
      <c r="W139" s="337"/>
      <c r="X139" s="337"/>
      <c r="Y139" s="337"/>
      <c r="Z139" s="337"/>
      <c r="AA139" s="337"/>
      <c r="AB139" s="337"/>
      <c r="AC139" s="337"/>
      <c r="AD139" s="337"/>
      <c r="AE139" s="337"/>
      <c r="AF139" s="337"/>
      <c r="AG139" s="337"/>
      <c r="AH139" s="342"/>
    </row>
    <row r="140" spans="1:34" s="422" customFormat="1" ht="14.25">
      <c r="A140" s="336"/>
      <c r="B140" s="337"/>
      <c r="C140" s="337"/>
      <c r="D140" s="337"/>
      <c r="E140" s="337"/>
      <c r="F140" s="337"/>
      <c r="G140" s="337"/>
      <c r="H140" s="337"/>
      <c r="I140" s="337"/>
      <c r="J140" s="337"/>
      <c r="K140" s="337"/>
      <c r="L140" s="337"/>
      <c r="M140" s="337"/>
      <c r="N140" s="337"/>
      <c r="O140" s="337"/>
      <c r="P140" s="337"/>
      <c r="Q140" s="337"/>
      <c r="R140" s="337"/>
      <c r="S140" s="337"/>
      <c r="T140" s="337"/>
      <c r="U140" s="337"/>
      <c r="V140" s="337"/>
      <c r="W140" s="337"/>
      <c r="X140" s="337"/>
      <c r="Y140" s="337"/>
      <c r="Z140" s="337"/>
      <c r="AA140" s="337"/>
      <c r="AB140" s="337"/>
      <c r="AC140" s="337"/>
      <c r="AD140" s="337"/>
      <c r="AE140" s="337"/>
      <c r="AF140" s="337"/>
      <c r="AG140" s="337"/>
      <c r="AH140" s="342"/>
    </row>
    <row r="141" spans="1:34" s="422" customFormat="1" ht="14.25">
      <c r="A141" s="336"/>
      <c r="B141" s="337"/>
      <c r="C141" s="337"/>
      <c r="D141" s="337"/>
      <c r="E141" s="337"/>
      <c r="F141" s="337"/>
      <c r="G141" s="337"/>
      <c r="H141" s="337"/>
      <c r="I141" s="337"/>
      <c r="J141" s="337"/>
      <c r="K141" s="337"/>
      <c r="L141" s="337"/>
      <c r="M141" s="337"/>
      <c r="N141" s="337"/>
      <c r="O141" s="337"/>
      <c r="P141" s="337"/>
      <c r="Q141" s="337"/>
      <c r="R141" s="337"/>
      <c r="S141" s="337"/>
      <c r="T141" s="337"/>
      <c r="U141" s="337"/>
      <c r="V141" s="337"/>
      <c r="W141" s="337"/>
      <c r="X141" s="337"/>
      <c r="Y141" s="337"/>
      <c r="Z141" s="337"/>
      <c r="AA141" s="337"/>
      <c r="AB141" s="337"/>
      <c r="AC141" s="337"/>
      <c r="AD141" s="337"/>
      <c r="AE141" s="337"/>
      <c r="AF141" s="337"/>
      <c r="AG141" s="337"/>
      <c r="AH141" s="342"/>
    </row>
    <row r="142" spans="1:34" s="422" customFormat="1" ht="14.25">
      <c r="A142" s="336"/>
      <c r="B142" s="337"/>
      <c r="C142" s="337"/>
      <c r="D142" s="337"/>
      <c r="E142" s="337"/>
      <c r="F142" s="337"/>
      <c r="G142" s="337"/>
      <c r="H142" s="337"/>
      <c r="I142" s="337"/>
      <c r="J142" s="337"/>
      <c r="K142" s="337"/>
      <c r="L142" s="337"/>
      <c r="M142" s="337"/>
      <c r="N142" s="337"/>
      <c r="O142" s="337"/>
      <c r="P142" s="337"/>
      <c r="Q142" s="337"/>
      <c r="R142" s="337"/>
      <c r="S142" s="337"/>
      <c r="T142" s="337"/>
      <c r="U142" s="337"/>
      <c r="V142" s="337"/>
      <c r="W142" s="337"/>
      <c r="X142" s="337"/>
      <c r="Y142" s="337"/>
      <c r="Z142" s="337"/>
      <c r="AA142" s="337"/>
      <c r="AB142" s="337"/>
      <c r="AC142" s="337"/>
      <c r="AD142" s="337"/>
      <c r="AE142" s="337"/>
      <c r="AF142" s="337"/>
      <c r="AG142" s="337"/>
      <c r="AH142" s="342"/>
    </row>
    <row r="143" spans="1:34" s="422" customFormat="1" ht="14.25">
      <c r="A143" s="336"/>
      <c r="B143" s="337"/>
      <c r="C143" s="337"/>
      <c r="D143" s="337"/>
      <c r="E143" s="337"/>
      <c r="F143" s="337"/>
      <c r="G143" s="337"/>
      <c r="H143" s="337"/>
      <c r="I143" s="337"/>
      <c r="J143" s="337"/>
      <c r="K143" s="337"/>
      <c r="L143" s="337"/>
      <c r="M143" s="337"/>
      <c r="N143" s="337"/>
      <c r="O143" s="337"/>
      <c r="P143" s="337"/>
      <c r="Q143" s="337"/>
      <c r="R143" s="337"/>
      <c r="S143" s="337"/>
      <c r="T143" s="337"/>
      <c r="U143" s="337"/>
      <c r="V143" s="337"/>
      <c r="W143" s="337"/>
      <c r="X143" s="337"/>
      <c r="Y143" s="337"/>
      <c r="Z143" s="337"/>
      <c r="AA143" s="337"/>
      <c r="AB143" s="337"/>
      <c r="AC143" s="337"/>
      <c r="AD143" s="337"/>
      <c r="AE143" s="337"/>
      <c r="AF143" s="337"/>
      <c r="AG143" s="337"/>
      <c r="AH143" s="342"/>
    </row>
    <row r="144" spans="1:34" s="422" customFormat="1" ht="14.25">
      <c r="A144" s="336"/>
      <c r="B144" s="337"/>
      <c r="C144" s="337"/>
      <c r="D144" s="337"/>
      <c r="E144" s="337"/>
      <c r="F144" s="337"/>
      <c r="G144" s="337"/>
      <c r="H144" s="337"/>
      <c r="I144" s="337"/>
      <c r="J144" s="337"/>
      <c r="K144" s="337"/>
      <c r="L144" s="337"/>
      <c r="M144" s="337"/>
      <c r="N144" s="337"/>
      <c r="O144" s="337"/>
      <c r="P144" s="337"/>
      <c r="Q144" s="337"/>
      <c r="R144" s="337"/>
      <c r="S144" s="337"/>
      <c r="T144" s="337"/>
      <c r="U144" s="337"/>
      <c r="V144" s="337"/>
      <c r="W144" s="337"/>
      <c r="X144" s="337"/>
      <c r="Y144" s="337"/>
      <c r="Z144" s="337"/>
      <c r="AA144" s="337"/>
      <c r="AB144" s="337"/>
      <c r="AC144" s="337"/>
      <c r="AD144" s="337"/>
      <c r="AE144" s="337"/>
      <c r="AF144" s="337"/>
      <c r="AG144" s="337"/>
      <c r="AH144" s="342"/>
    </row>
    <row r="145" spans="1:36" s="422" customFormat="1" ht="14.25">
      <c r="A145" s="336"/>
      <c r="B145" s="337"/>
      <c r="C145" s="337"/>
      <c r="D145" s="337"/>
      <c r="E145" s="337"/>
      <c r="F145" s="337"/>
      <c r="G145" s="337"/>
      <c r="H145" s="337"/>
      <c r="I145" s="337"/>
      <c r="J145" s="337"/>
      <c r="K145" s="337"/>
      <c r="L145" s="337"/>
      <c r="M145" s="337"/>
      <c r="N145" s="337"/>
      <c r="O145" s="337"/>
      <c r="P145" s="337"/>
      <c r="Q145" s="337"/>
      <c r="R145" s="337"/>
      <c r="S145" s="337"/>
      <c r="T145" s="337"/>
      <c r="U145" s="337"/>
      <c r="V145" s="337"/>
      <c r="W145" s="337"/>
      <c r="X145" s="337"/>
      <c r="Y145" s="337"/>
      <c r="Z145" s="337"/>
      <c r="AA145" s="337"/>
      <c r="AB145" s="337"/>
      <c r="AC145" s="337"/>
      <c r="AD145" s="337"/>
      <c r="AE145" s="337"/>
      <c r="AF145" s="337"/>
      <c r="AG145" s="337"/>
      <c r="AH145" s="342"/>
    </row>
    <row r="146" spans="1:36" s="327" customFormat="1" ht="13.5" customHeight="1">
      <c r="A146" s="455"/>
      <c r="B146" s="456"/>
      <c r="C146" s="456"/>
      <c r="D146" s="456"/>
      <c r="E146" s="456"/>
      <c r="F146" s="456"/>
      <c r="G146" s="456"/>
      <c r="H146" s="456"/>
      <c r="I146" s="456"/>
      <c r="J146" s="456"/>
      <c r="K146" s="456"/>
      <c r="L146" s="456"/>
      <c r="M146" s="456"/>
      <c r="N146" s="456"/>
      <c r="O146" s="456"/>
      <c r="P146" s="456"/>
      <c r="Q146" s="456"/>
      <c r="R146" s="456"/>
      <c r="S146" s="456"/>
      <c r="T146" s="456"/>
      <c r="U146" s="456"/>
      <c r="V146" s="456"/>
      <c r="W146" s="456"/>
      <c r="X146" s="456"/>
      <c r="Y146" s="456"/>
      <c r="Z146" s="456"/>
      <c r="AA146" s="456"/>
      <c r="AB146" s="456"/>
      <c r="AC146" s="456"/>
      <c r="AD146" s="456"/>
      <c r="AE146" s="456"/>
      <c r="AF146" s="456"/>
      <c r="AG146" s="456"/>
      <c r="AH146" s="457"/>
      <c r="AI146" s="315"/>
      <c r="AJ146" s="315"/>
    </row>
    <row r="147" spans="1:36" ht="12" customHeight="1">
      <c r="A147" s="311"/>
      <c r="B147" s="311"/>
      <c r="C147" s="311"/>
      <c r="D147" s="311"/>
      <c r="E147" s="311"/>
      <c r="F147" s="311"/>
      <c r="G147" s="311"/>
      <c r="H147" s="311"/>
      <c r="I147" s="311"/>
      <c r="J147" s="311"/>
      <c r="K147" s="311"/>
      <c r="L147" s="311"/>
      <c r="M147" s="311"/>
      <c r="N147" s="311"/>
      <c r="O147" s="311"/>
      <c r="P147" s="311"/>
      <c r="Q147" s="311"/>
      <c r="R147" s="311"/>
      <c r="S147" s="311"/>
      <c r="T147" s="311"/>
      <c r="U147" s="311"/>
      <c r="V147" s="311"/>
      <c r="W147" s="311"/>
      <c r="X147" s="311"/>
      <c r="Y147" s="311"/>
      <c r="Z147" s="311"/>
      <c r="AA147" s="311"/>
      <c r="AB147" s="311"/>
      <c r="AC147" s="311"/>
      <c r="AD147" s="311"/>
      <c r="AE147" s="311"/>
      <c r="AF147" s="311"/>
      <c r="AG147" s="311"/>
      <c r="AH147" s="311"/>
      <c r="AI147" s="311"/>
    </row>
    <row r="148" spans="1:36" ht="12" customHeight="1">
      <c r="A148" s="311"/>
      <c r="B148" s="311"/>
      <c r="C148" s="311"/>
      <c r="D148" s="311"/>
      <c r="E148" s="311"/>
      <c r="F148" s="311"/>
      <c r="G148" s="311"/>
      <c r="H148" s="311"/>
      <c r="I148" s="311"/>
      <c r="J148" s="311"/>
      <c r="K148" s="311"/>
      <c r="L148" s="311"/>
      <c r="M148" s="311"/>
      <c r="N148" s="311"/>
      <c r="O148" s="311"/>
      <c r="P148" s="311"/>
      <c r="Q148" s="311"/>
      <c r="R148" s="311"/>
      <c r="S148" s="311"/>
      <c r="T148" s="311"/>
      <c r="U148" s="311"/>
      <c r="V148" s="311"/>
      <c r="W148" s="311"/>
      <c r="X148" s="311"/>
      <c r="Y148" s="311"/>
      <c r="Z148" s="311"/>
      <c r="AA148" s="311"/>
      <c r="AB148" s="311"/>
      <c r="AC148" s="311"/>
      <c r="AD148" s="311"/>
      <c r="AE148" s="311"/>
      <c r="AF148" s="311"/>
      <c r="AG148" s="311"/>
      <c r="AH148" s="311"/>
      <c r="AI148" s="311"/>
    </row>
    <row r="149" spans="1:36" ht="12" customHeight="1">
      <c r="A149" s="311"/>
      <c r="B149" s="311"/>
      <c r="C149" s="311"/>
      <c r="D149" s="311"/>
      <c r="E149" s="311"/>
      <c r="F149" s="311"/>
      <c r="G149" s="311"/>
      <c r="H149" s="311"/>
      <c r="I149" s="311"/>
      <c r="J149" s="311"/>
      <c r="K149" s="311"/>
      <c r="L149" s="311"/>
      <c r="M149" s="311"/>
      <c r="N149" s="311"/>
      <c r="O149" s="311"/>
      <c r="P149" s="311"/>
      <c r="Q149" s="311"/>
      <c r="R149" s="311"/>
      <c r="S149" s="311"/>
      <c r="T149" s="311"/>
      <c r="U149" s="311"/>
      <c r="V149" s="311"/>
      <c r="W149" s="311"/>
      <c r="X149" s="311"/>
      <c r="Y149" s="311"/>
      <c r="Z149" s="311"/>
      <c r="AA149" s="311"/>
      <c r="AB149" s="311"/>
      <c r="AC149" s="311"/>
      <c r="AD149" s="311"/>
      <c r="AE149" s="311"/>
      <c r="AF149" s="311"/>
      <c r="AG149" s="311"/>
      <c r="AH149" s="311"/>
      <c r="AI149" s="311"/>
    </row>
    <row r="150" spans="1:36" ht="12" customHeight="1">
      <c r="A150" s="311"/>
      <c r="B150" s="311"/>
      <c r="C150" s="311"/>
      <c r="D150" s="311"/>
      <c r="E150" s="311"/>
      <c r="F150" s="311"/>
      <c r="G150" s="311"/>
      <c r="H150" s="311"/>
      <c r="I150" s="311"/>
      <c r="J150" s="311"/>
      <c r="K150" s="311"/>
      <c r="L150" s="311"/>
      <c r="M150" s="311"/>
      <c r="N150" s="311"/>
      <c r="O150" s="311"/>
      <c r="P150" s="311"/>
      <c r="Q150" s="311"/>
      <c r="R150" s="311"/>
      <c r="S150" s="311"/>
      <c r="T150" s="311"/>
      <c r="U150" s="311"/>
      <c r="V150" s="311"/>
      <c r="W150" s="311"/>
      <c r="X150" s="311"/>
      <c r="Y150" s="311"/>
      <c r="Z150" s="311"/>
      <c r="AA150" s="311"/>
      <c r="AB150" s="311"/>
      <c r="AC150" s="311"/>
      <c r="AD150" s="311"/>
      <c r="AE150" s="311"/>
      <c r="AF150" s="311"/>
      <c r="AG150" s="311"/>
      <c r="AH150" s="311"/>
      <c r="AI150" s="311"/>
    </row>
    <row r="151" spans="1:36" ht="12" customHeight="1">
      <c r="A151" s="311"/>
      <c r="B151" s="311"/>
      <c r="C151" s="311"/>
      <c r="D151" s="311"/>
      <c r="E151" s="311"/>
      <c r="F151" s="311"/>
      <c r="G151" s="311"/>
      <c r="H151" s="311"/>
      <c r="I151" s="311"/>
      <c r="J151" s="311"/>
      <c r="K151" s="311"/>
      <c r="L151" s="311"/>
      <c r="M151" s="311"/>
      <c r="N151" s="311"/>
      <c r="O151" s="311"/>
      <c r="P151" s="311"/>
      <c r="Q151" s="311"/>
      <c r="R151" s="311"/>
      <c r="S151" s="311"/>
      <c r="T151" s="311"/>
      <c r="U151" s="311"/>
      <c r="V151" s="311"/>
      <c r="W151" s="311"/>
      <c r="X151" s="311"/>
      <c r="Y151" s="311"/>
      <c r="Z151" s="311"/>
      <c r="AA151" s="311"/>
      <c r="AB151" s="311"/>
      <c r="AC151" s="311"/>
      <c r="AD151" s="311"/>
      <c r="AE151" s="311"/>
      <c r="AF151" s="311"/>
      <c r="AG151" s="311"/>
      <c r="AH151" s="311"/>
      <c r="AI151" s="311"/>
    </row>
    <row r="152" spans="1:36" ht="12" customHeight="1">
      <c r="AH152" s="311"/>
      <c r="AI152" s="311"/>
    </row>
    <row r="153" spans="1:36" ht="12" customHeight="1">
      <c r="AH153" s="311"/>
      <c r="AI153" s="311"/>
    </row>
    <row r="154" spans="1:36" ht="12" customHeight="1">
      <c r="AH154" s="311"/>
      <c r="AI154" s="311"/>
    </row>
    <row r="155" spans="1:36" ht="12" customHeight="1">
      <c r="AH155" s="311"/>
      <c r="AI155" s="311"/>
    </row>
    <row r="156" spans="1:36" ht="12" customHeight="1">
      <c r="AH156" s="311"/>
      <c r="AI156" s="311"/>
    </row>
    <row r="157" spans="1:36" ht="12" customHeight="1">
      <c r="AH157" s="311"/>
      <c r="AI157" s="311"/>
    </row>
    <row r="158" spans="1:36" ht="12" customHeight="1">
      <c r="AH158" s="311"/>
      <c r="AI158" s="311"/>
    </row>
    <row r="159" spans="1:36" ht="12" customHeight="1">
      <c r="AH159" s="311"/>
      <c r="AI159" s="311"/>
    </row>
    <row r="160" spans="1:36" ht="12" customHeight="1">
      <c r="AH160" s="311"/>
      <c r="AI160" s="311"/>
    </row>
    <row r="161" spans="34:35" ht="12" customHeight="1">
      <c r="AH161" s="311"/>
      <c r="AI161" s="311"/>
    </row>
    <row r="162" spans="34:35" ht="12" customHeight="1">
      <c r="AH162" s="311"/>
      <c r="AI162" s="311"/>
    </row>
    <row r="163" spans="34:35" ht="12" customHeight="1">
      <c r="AH163" s="311"/>
      <c r="AI163" s="311"/>
    </row>
    <row r="164" spans="34:35" ht="12" customHeight="1">
      <c r="AH164" s="311"/>
      <c r="AI164" s="311"/>
    </row>
    <row r="165" spans="34:35" ht="12" customHeight="1">
      <c r="AH165" s="311"/>
      <c r="AI165" s="311"/>
    </row>
    <row r="166" spans="34:35" ht="12" customHeight="1">
      <c r="AH166" s="311"/>
      <c r="AI166" s="311"/>
    </row>
    <row r="167" spans="34:35" ht="12" customHeight="1">
      <c r="AH167" s="311"/>
      <c r="AI167" s="311"/>
    </row>
    <row r="168" spans="34:35" ht="12" customHeight="1">
      <c r="AH168" s="311"/>
      <c r="AI168" s="311"/>
    </row>
    <row r="169" spans="34:35" ht="12" customHeight="1">
      <c r="AH169" s="311"/>
      <c r="AI169" s="311"/>
    </row>
    <row r="170" spans="34:35" ht="12" customHeight="1">
      <c r="AH170" s="311"/>
      <c r="AI170" s="311"/>
    </row>
    <row r="171" spans="34:35" ht="12" customHeight="1">
      <c r="AH171" s="311"/>
      <c r="AI171" s="311"/>
    </row>
    <row r="172" spans="34:35" ht="12" customHeight="1">
      <c r="AH172" s="311"/>
      <c r="AI172" s="311"/>
    </row>
    <row r="173" spans="34:35" ht="12" customHeight="1">
      <c r="AH173" s="311"/>
      <c r="AI173" s="311"/>
    </row>
    <row r="174" spans="34:35" ht="12" customHeight="1">
      <c r="AH174" s="311"/>
      <c r="AI174" s="311"/>
    </row>
    <row r="175" spans="34:35" ht="12" customHeight="1">
      <c r="AH175" s="311"/>
      <c r="AI175" s="311"/>
    </row>
    <row r="176" spans="34:35" ht="12" customHeight="1">
      <c r="AH176" s="311"/>
      <c r="AI176" s="311"/>
    </row>
    <row r="177" spans="34:35" ht="12" customHeight="1">
      <c r="AH177" s="311"/>
      <c r="AI177" s="311"/>
    </row>
    <row r="178" spans="34:35" ht="12" customHeight="1">
      <c r="AH178" s="311"/>
      <c r="AI178" s="311"/>
    </row>
    <row r="179" spans="34:35" ht="12" customHeight="1">
      <c r="AH179" s="311"/>
      <c r="AI179" s="311"/>
    </row>
    <row r="180" spans="34:35" ht="12" customHeight="1">
      <c r="AH180" s="311"/>
      <c r="AI180" s="311"/>
    </row>
    <row r="181" spans="34:35" ht="12" customHeight="1">
      <c r="AH181" s="311"/>
      <c r="AI181" s="311"/>
    </row>
    <row r="182" spans="34:35" ht="12" customHeight="1">
      <c r="AH182" s="311"/>
      <c r="AI182" s="311"/>
    </row>
    <row r="183" spans="34:35" ht="12" customHeight="1">
      <c r="AH183" s="311"/>
      <c r="AI183" s="311"/>
    </row>
    <row r="184" spans="34:35" ht="12" customHeight="1">
      <c r="AH184" s="311"/>
      <c r="AI184" s="311"/>
    </row>
    <row r="185" spans="34:35" ht="12" customHeight="1">
      <c r="AH185" s="311"/>
      <c r="AI185" s="311"/>
    </row>
    <row r="186" spans="34:35" ht="12" customHeight="1">
      <c r="AH186" s="311"/>
      <c r="AI186" s="311"/>
    </row>
    <row r="187" spans="34:35" ht="12" customHeight="1">
      <c r="AH187" s="311"/>
      <c r="AI187" s="311"/>
    </row>
    <row r="188" spans="34:35" ht="12" customHeight="1">
      <c r="AH188" s="311"/>
      <c r="AI188" s="311"/>
    </row>
    <row r="189" spans="34:35" ht="12" customHeight="1">
      <c r="AH189" s="311"/>
      <c r="AI189" s="311"/>
    </row>
    <row r="190" spans="34:35" ht="12" customHeight="1">
      <c r="AH190" s="311"/>
      <c r="AI190" s="311"/>
    </row>
    <row r="191" spans="34:35" ht="12" customHeight="1">
      <c r="AH191" s="311"/>
      <c r="AI191" s="311"/>
    </row>
    <row r="192" spans="34:35" ht="12" customHeight="1">
      <c r="AH192" s="311"/>
      <c r="AI192" s="311"/>
    </row>
    <row r="193" spans="34:35" ht="12" customHeight="1">
      <c r="AH193" s="311"/>
      <c r="AI193" s="311"/>
    </row>
    <row r="194" spans="34:35" ht="12" customHeight="1">
      <c r="AH194" s="311"/>
      <c r="AI194" s="311"/>
    </row>
    <row r="195" spans="34:35" ht="12" customHeight="1">
      <c r="AH195" s="311"/>
      <c r="AI195" s="311"/>
    </row>
    <row r="196" spans="34:35" ht="12" customHeight="1">
      <c r="AH196" s="311"/>
      <c r="AI196" s="311"/>
    </row>
    <row r="197" spans="34:35" ht="12" customHeight="1">
      <c r="AH197" s="311"/>
      <c r="AI197" s="311"/>
    </row>
    <row r="198" spans="34:35" ht="12" customHeight="1">
      <c r="AH198" s="311"/>
      <c r="AI198" s="311"/>
    </row>
    <row r="199" spans="34:35" ht="12" customHeight="1">
      <c r="AH199" s="311"/>
      <c r="AI199" s="311"/>
    </row>
    <row r="200" spans="34:35" ht="12" customHeight="1">
      <c r="AH200" s="311"/>
      <c r="AI200" s="311"/>
    </row>
    <row r="201" spans="34:35" ht="12" customHeight="1">
      <c r="AH201" s="311"/>
      <c r="AI201" s="311"/>
    </row>
    <row r="202" spans="34:35" ht="12" customHeight="1">
      <c r="AH202" s="311"/>
      <c r="AI202" s="311"/>
    </row>
    <row r="203" spans="34:35" ht="12" customHeight="1">
      <c r="AH203" s="311"/>
      <c r="AI203" s="311"/>
    </row>
    <row r="204" spans="34:35" ht="12" customHeight="1">
      <c r="AH204" s="311"/>
      <c r="AI204" s="311"/>
    </row>
    <row r="205" spans="34:35" ht="12" customHeight="1">
      <c r="AH205" s="311"/>
      <c r="AI205" s="311"/>
    </row>
    <row r="206" spans="34:35" ht="12" customHeight="1">
      <c r="AH206" s="311"/>
      <c r="AI206" s="311"/>
    </row>
    <row r="207" spans="34:35" ht="12" customHeight="1">
      <c r="AH207" s="311"/>
      <c r="AI207" s="311"/>
    </row>
    <row r="208" spans="34:35" ht="12" customHeight="1">
      <c r="AH208" s="311"/>
      <c r="AI208" s="311"/>
    </row>
    <row r="209" spans="34:35" ht="12" customHeight="1">
      <c r="AH209" s="311"/>
      <c r="AI209" s="311"/>
    </row>
    <row r="210" spans="34:35" ht="12" customHeight="1">
      <c r="AH210" s="311"/>
      <c r="AI210" s="311"/>
    </row>
    <row r="211" spans="34:35" ht="12" customHeight="1">
      <c r="AH211" s="311"/>
      <c r="AI211" s="311"/>
    </row>
    <row r="212" spans="34:35" ht="12" customHeight="1">
      <c r="AH212" s="311"/>
      <c r="AI212" s="311"/>
    </row>
    <row r="213" spans="34:35" ht="12" customHeight="1">
      <c r="AH213" s="311"/>
      <c r="AI213" s="311"/>
    </row>
    <row r="214" spans="34:35" ht="12" customHeight="1">
      <c r="AH214" s="311"/>
      <c r="AI214" s="311"/>
    </row>
    <row r="215" spans="34:35" ht="12" customHeight="1">
      <c r="AH215" s="311"/>
      <c r="AI215" s="311"/>
    </row>
    <row r="216" spans="34:35" ht="12" customHeight="1">
      <c r="AH216" s="311"/>
      <c r="AI216" s="311"/>
    </row>
    <row r="217" spans="34:35" ht="12" customHeight="1">
      <c r="AH217" s="311"/>
      <c r="AI217" s="311"/>
    </row>
    <row r="218" spans="34:35" ht="12" customHeight="1">
      <c r="AH218" s="311"/>
      <c r="AI218" s="311"/>
    </row>
    <row r="219" spans="34:35" ht="12" customHeight="1">
      <c r="AH219" s="311"/>
      <c r="AI219" s="311"/>
    </row>
    <row r="220" spans="34:35" ht="12" customHeight="1">
      <c r="AH220" s="311"/>
      <c r="AI220" s="311"/>
    </row>
    <row r="221" spans="34:35" ht="12" customHeight="1">
      <c r="AH221" s="311"/>
      <c r="AI221" s="311"/>
    </row>
    <row r="222" spans="34:35" ht="12" customHeight="1">
      <c r="AH222" s="311"/>
      <c r="AI222" s="311"/>
    </row>
    <row r="223" spans="34:35" ht="12" customHeight="1">
      <c r="AH223" s="311"/>
      <c r="AI223" s="311"/>
    </row>
    <row r="224" spans="34:35" ht="12" customHeight="1">
      <c r="AH224" s="311"/>
      <c r="AI224" s="311"/>
    </row>
    <row r="225" spans="34:35" ht="12" customHeight="1">
      <c r="AH225" s="311"/>
      <c r="AI225" s="311"/>
    </row>
    <row r="226" spans="34:35" ht="12" customHeight="1">
      <c r="AH226" s="311"/>
      <c r="AI226" s="311"/>
    </row>
    <row r="227" spans="34:35" ht="12" customHeight="1">
      <c r="AH227" s="311"/>
      <c r="AI227" s="311"/>
    </row>
    <row r="228" spans="34:35" ht="12" customHeight="1">
      <c r="AH228" s="311"/>
      <c r="AI228" s="311"/>
    </row>
    <row r="229" spans="34:35" ht="12" customHeight="1">
      <c r="AH229" s="311"/>
      <c r="AI229" s="311"/>
    </row>
    <row r="230" spans="34:35" ht="12" customHeight="1">
      <c r="AH230" s="311"/>
      <c r="AI230" s="311"/>
    </row>
    <row r="231" spans="34:35" ht="12" customHeight="1">
      <c r="AH231" s="311"/>
      <c r="AI231" s="311"/>
    </row>
    <row r="232" spans="34:35" ht="12" customHeight="1">
      <c r="AH232" s="311"/>
      <c r="AI232" s="311"/>
    </row>
    <row r="233" spans="34:35" ht="12" customHeight="1">
      <c r="AH233" s="311"/>
      <c r="AI233" s="311"/>
    </row>
    <row r="234" spans="34:35" ht="12" customHeight="1">
      <c r="AH234" s="311"/>
      <c r="AI234" s="311"/>
    </row>
    <row r="235" spans="34:35" ht="12" customHeight="1">
      <c r="AH235" s="311"/>
      <c r="AI235" s="311"/>
    </row>
    <row r="236" spans="34:35" ht="12" customHeight="1">
      <c r="AH236" s="311"/>
      <c r="AI236" s="311"/>
    </row>
    <row r="237" spans="34:35" ht="12" customHeight="1">
      <c r="AH237" s="311"/>
      <c r="AI237" s="311"/>
    </row>
    <row r="238" spans="34:35" ht="12" customHeight="1">
      <c r="AH238" s="311"/>
      <c r="AI238" s="311"/>
    </row>
    <row r="239" spans="34:35" ht="12" customHeight="1">
      <c r="AH239" s="311"/>
      <c r="AI239" s="311"/>
    </row>
    <row r="240" spans="34:35" ht="12" customHeight="1">
      <c r="AH240" s="311"/>
      <c r="AI240" s="311"/>
    </row>
    <row r="241" spans="34:35" ht="12" customHeight="1">
      <c r="AH241" s="311"/>
      <c r="AI241" s="311"/>
    </row>
    <row r="242" spans="34:35" ht="12" customHeight="1">
      <c r="AH242" s="311"/>
      <c r="AI242" s="311"/>
    </row>
    <row r="243" spans="34:35" ht="12" customHeight="1">
      <c r="AH243" s="311"/>
      <c r="AI243" s="311"/>
    </row>
    <row r="244" spans="34:35" ht="12" customHeight="1">
      <c r="AH244" s="311"/>
      <c r="AI244" s="311"/>
    </row>
    <row r="245" spans="34:35" ht="12" customHeight="1">
      <c r="AH245" s="311"/>
      <c r="AI245" s="311"/>
    </row>
    <row r="246" spans="34:35" ht="12" customHeight="1">
      <c r="AH246" s="311"/>
      <c r="AI246" s="311"/>
    </row>
    <row r="247" spans="34:35" ht="12" customHeight="1">
      <c r="AH247" s="311"/>
      <c r="AI247" s="311"/>
    </row>
    <row r="248" spans="34:35" ht="12" customHeight="1">
      <c r="AH248" s="311"/>
      <c r="AI248" s="311"/>
    </row>
    <row r="249" spans="34:35" ht="12" customHeight="1">
      <c r="AH249" s="311"/>
      <c r="AI249" s="311"/>
    </row>
    <row r="250" spans="34:35" ht="12" customHeight="1">
      <c r="AH250" s="311"/>
      <c r="AI250" s="311"/>
    </row>
    <row r="251" spans="34:35" ht="12" customHeight="1">
      <c r="AH251" s="311"/>
      <c r="AI251" s="311"/>
    </row>
    <row r="252" spans="34:35" ht="12" customHeight="1">
      <c r="AH252" s="311"/>
      <c r="AI252" s="311"/>
    </row>
    <row r="253" spans="34:35" ht="12" customHeight="1">
      <c r="AH253" s="311"/>
      <c r="AI253" s="311"/>
    </row>
    <row r="254" spans="34:35" ht="12" customHeight="1">
      <c r="AH254" s="311"/>
      <c r="AI254" s="311"/>
    </row>
    <row r="255" spans="34:35" ht="12" customHeight="1">
      <c r="AH255" s="311"/>
      <c r="AI255" s="311"/>
    </row>
    <row r="256" spans="34:35" ht="12" customHeight="1">
      <c r="AH256" s="311"/>
      <c r="AI256" s="311"/>
    </row>
    <row r="257" spans="34:35" ht="12" customHeight="1">
      <c r="AH257" s="311"/>
      <c r="AI257" s="311"/>
    </row>
    <row r="258" spans="34:35" ht="12" customHeight="1">
      <c r="AH258" s="311"/>
      <c r="AI258" s="311"/>
    </row>
    <row r="259" spans="34:35" ht="12" customHeight="1">
      <c r="AH259" s="311"/>
      <c r="AI259" s="311"/>
    </row>
    <row r="260" spans="34:35" ht="12" customHeight="1">
      <c r="AH260" s="311"/>
      <c r="AI260" s="311"/>
    </row>
    <row r="261" spans="34:35" ht="12" customHeight="1">
      <c r="AH261" s="311"/>
      <c r="AI261" s="311"/>
    </row>
    <row r="262" spans="34:35" ht="12" customHeight="1">
      <c r="AH262" s="311"/>
      <c r="AI262" s="311"/>
    </row>
    <row r="263" spans="34:35" ht="12" customHeight="1">
      <c r="AH263" s="311"/>
      <c r="AI263" s="311"/>
    </row>
    <row r="264" spans="34:35" ht="12" customHeight="1">
      <c r="AH264" s="311"/>
      <c r="AI264" s="311"/>
    </row>
    <row r="265" spans="34:35" ht="12" customHeight="1">
      <c r="AH265" s="311"/>
      <c r="AI265" s="311"/>
    </row>
    <row r="266" spans="34:35" ht="12" customHeight="1">
      <c r="AH266" s="311"/>
      <c r="AI266" s="311"/>
    </row>
    <row r="267" spans="34:35" ht="12" customHeight="1">
      <c r="AH267" s="311"/>
      <c r="AI267" s="311"/>
    </row>
    <row r="268" spans="34:35" ht="12" customHeight="1">
      <c r="AH268" s="311"/>
      <c r="AI268" s="311"/>
    </row>
    <row r="269" spans="34:35" ht="12" customHeight="1">
      <c r="AH269" s="311"/>
      <c r="AI269" s="311"/>
    </row>
    <row r="270" spans="34:35" ht="12" customHeight="1">
      <c r="AH270" s="311"/>
      <c r="AI270" s="311"/>
    </row>
    <row r="271" spans="34:35" ht="12" customHeight="1">
      <c r="AH271" s="311"/>
      <c r="AI271" s="311"/>
    </row>
    <row r="272" spans="34:35" ht="12" customHeight="1">
      <c r="AH272" s="311"/>
      <c r="AI272" s="311"/>
    </row>
    <row r="273" spans="34:35" ht="12" customHeight="1">
      <c r="AH273" s="311"/>
      <c r="AI273" s="311"/>
    </row>
    <row r="274" spans="34:35" ht="12" customHeight="1">
      <c r="AH274" s="311"/>
      <c r="AI274" s="311"/>
    </row>
    <row r="275" spans="34:35" ht="12" customHeight="1">
      <c r="AH275" s="311"/>
      <c r="AI275" s="311"/>
    </row>
    <row r="276" spans="34:35" ht="12" customHeight="1">
      <c r="AH276" s="311"/>
      <c r="AI276" s="311"/>
    </row>
    <row r="277" spans="34:35" ht="12" customHeight="1">
      <c r="AH277" s="311"/>
      <c r="AI277" s="311"/>
    </row>
    <row r="278" spans="34:35" ht="12" customHeight="1">
      <c r="AH278" s="311"/>
      <c r="AI278" s="311"/>
    </row>
    <row r="279" spans="34:35" ht="12" customHeight="1">
      <c r="AH279" s="311"/>
      <c r="AI279" s="311"/>
    </row>
    <row r="280" spans="34:35" ht="12" customHeight="1">
      <c r="AH280" s="311"/>
      <c r="AI280" s="311"/>
    </row>
    <row r="281" spans="34:35" ht="12" customHeight="1">
      <c r="AH281" s="311"/>
      <c r="AI281" s="311"/>
    </row>
    <row r="282" spans="34:35" ht="12" customHeight="1">
      <c r="AH282" s="311"/>
      <c r="AI282" s="311"/>
    </row>
    <row r="283" spans="34:35" ht="12" customHeight="1">
      <c r="AH283" s="311"/>
      <c r="AI283" s="311"/>
    </row>
    <row r="284" spans="34:35" ht="12" customHeight="1">
      <c r="AH284" s="311"/>
      <c r="AI284" s="311"/>
    </row>
    <row r="285" spans="34:35" ht="12" customHeight="1">
      <c r="AH285" s="311"/>
      <c r="AI285" s="311"/>
    </row>
    <row r="286" spans="34:35" ht="12" customHeight="1">
      <c r="AH286" s="311"/>
      <c r="AI286" s="311"/>
    </row>
    <row r="287" spans="34:35" ht="12" customHeight="1">
      <c r="AH287" s="311"/>
      <c r="AI287" s="311"/>
    </row>
    <row r="288" spans="34:35" ht="12" customHeight="1">
      <c r="AH288" s="311"/>
      <c r="AI288" s="311"/>
    </row>
    <row r="289" spans="34:35" ht="12" customHeight="1">
      <c r="AH289" s="311"/>
      <c r="AI289" s="311"/>
    </row>
    <row r="290" spans="34:35" ht="12" customHeight="1">
      <c r="AH290" s="311"/>
      <c r="AI290" s="311"/>
    </row>
    <row r="291" spans="34:35" ht="12" customHeight="1">
      <c r="AH291" s="311"/>
      <c r="AI291" s="311"/>
    </row>
    <row r="292" spans="34:35" ht="12" customHeight="1">
      <c r="AH292" s="311"/>
      <c r="AI292" s="311"/>
    </row>
    <row r="293" spans="34:35" ht="12" customHeight="1">
      <c r="AH293" s="311"/>
      <c r="AI293" s="311"/>
    </row>
    <row r="294" spans="34:35" ht="12" customHeight="1">
      <c r="AH294" s="311"/>
      <c r="AI294" s="311"/>
    </row>
    <row r="295" spans="34:35" ht="12" customHeight="1">
      <c r="AH295" s="311"/>
      <c r="AI295" s="311"/>
    </row>
    <row r="296" spans="34:35" ht="12" customHeight="1"/>
    <row r="297" spans="34:35" ht="12" customHeight="1"/>
    <row r="298" spans="34:35" ht="12" customHeight="1"/>
    <row r="299" spans="34:35" ht="12" customHeight="1"/>
    <row r="300" spans="34:35" ht="12" customHeight="1"/>
    <row r="301" spans="34:35" ht="12" customHeight="1"/>
    <row r="302" spans="34:35" ht="12" customHeight="1"/>
    <row r="303" spans="34:35" ht="12" customHeight="1"/>
    <row r="304" spans="34:35"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row r="1001" ht="12" customHeight="1"/>
    <row r="1002" ht="12" customHeight="1"/>
    <row r="1003" ht="12" customHeight="1"/>
    <row r="1004" ht="12" customHeight="1"/>
    <row r="1005" ht="12" customHeight="1"/>
    <row r="1006" ht="12" customHeight="1"/>
    <row r="1007" ht="12" customHeight="1"/>
    <row r="1008" ht="12" customHeight="1"/>
    <row r="1009" ht="12" customHeight="1"/>
    <row r="1010" ht="12" customHeight="1"/>
    <row r="1011" ht="12" customHeight="1"/>
    <row r="1012" ht="12" customHeight="1"/>
    <row r="1013" ht="12" customHeight="1"/>
    <row r="1014" ht="12" customHeight="1"/>
    <row r="1015" ht="12" customHeight="1"/>
    <row r="1016" ht="12" customHeight="1"/>
    <row r="1017" ht="12" customHeight="1"/>
    <row r="1018" ht="12" customHeight="1"/>
    <row r="1019" ht="12" customHeight="1"/>
    <row r="1020" ht="12" customHeight="1"/>
    <row r="1021" ht="12" customHeight="1"/>
    <row r="1022" ht="12" customHeight="1"/>
    <row r="1023" ht="12" customHeight="1"/>
    <row r="1024" ht="12" customHeight="1"/>
    <row r="1025" ht="12" customHeight="1"/>
    <row r="1026" ht="12" customHeight="1"/>
    <row r="1027" ht="12" customHeight="1"/>
    <row r="1028" ht="12" customHeight="1"/>
    <row r="1029" ht="12" customHeight="1"/>
    <row r="1030" ht="12" customHeight="1"/>
    <row r="1031" ht="12" customHeight="1"/>
    <row r="1032" ht="12" customHeight="1"/>
    <row r="1033" ht="12" customHeight="1"/>
    <row r="1034" ht="12" customHeight="1"/>
    <row r="1035" ht="12" customHeight="1"/>
    <row r="1036" ht="12" customHeight="1"/>
    <row r="1037" ht="12" customHeight="1"/>
    <row r="1038" ht="12" customHeight="1"/>
    <row r="1039" ht="12" customHeight="1"/>
    <row r="1040" ht="12" customHeight="1"/>
    <row r="1041" ht="12" customHeight="1"/>
    <row r="1042" ht="12" customHeight="1"/>
    <row r="1043" ht="12" customHeight="1"/>
    <row r="1044" ht="12" customHeight="1"/>
    <row r="1045" ht="12" customHeight="1"/>
    <row r="1046" ht="12" customHeight="1"/>
    <row r="1047" ht="12" customHeight="1"/>
    <row r="1048" ht="12" customHeight="1"/>
    <row r="1049" ht="12" customHeight="1"/>
    <row r="1050" ht="12" customHeight="1"/>
    <row r="1051" ht="12" customHeight="1"/>
    <row r="1052" ht="12" customHeight="1"/>
    <row r="1053" ht="12" customHeight="1"/>
    <row r="1054" ht="12" customHeight="1"/>
    <row r="1055" ht="12" customHeight="1"/>
    <row r="1056" ht="12" customHeight="1"/>
    <row r="1057" ht="12" customHeight="1"/>
    <row r="1058" ht="12" customHeight="1"/>
    <row r="1059" ht="12" customHeight="1"/>
    <row r="1060" ht="12" customHeight="1"/>
    <row r="1061" ht="12" customHeight="1"/>
    <row r="1062" ht="12" customHeight="1"/>
    <row r="1063" ht="12" customHeight="1"/>
    <row r="1064" ht="12" customHeight="1"/>
    <row r="1065" ht="12" customHeight="1"/>
    <row r="1066" ht="12" customHeight="1"/>
    <row r="1067" ht="12" customHeight="1"/>
    <row r="1068" ht="12" customHeight="1"/>
    <row r="1069" ht="12" customHeight="1"/>
    <row r="1070" ht="12" customHeight="1"/>
    <row r="1071" ht="12" customHeight="1"/>
    <row r="1072" ht="12" customHeight="1"/>
    <row r="1073" ht="12" customHeight="1"/>
    <row r="1074" ht="12" customHeight="1"/>
    <row r="1075" ht="12" customHeight="1"/>
    <row r="1076" ht="12" customHeight="1"/>
    <row r="1077" ht="12" customHeight="1"/>
    <row r="1078" ht="12" customHeight="1"/>
    <row r="1079" ht="12" customHeight="1"/>
    <row r="1080" ht="12" customHeight="1"/>
    <row r="1081" ht="12" customHeight="1"/>
    <row r="1082" ht="12" customHeight="1"/>
    <row r="1083" ht="12" customHeight="1"/>
    <row r="1084" ht="12" customHeight="1"/>
    <row r="1085" ht="12" customHeight="1"/>
    <row r="1086" ht="12" customHeight="1"/>
    <row r="1087" ht="12" customHeight="1"/>
    <row r="1088" ht="12" customHeight="1"/>
    <row r="1089" ht="12" customHeight="1"/>
    <row r="1090" ht="12" customHeight="1"/>
    <row r="1091" ht="12" customHeight="1"/>
    <row r="1092" ht="12" customHeight="1"/>
    <row r="1093" ht="12" customHeight="1"/>
    <row r="1094" ht="12" customHeight="1"/>
    <row r="1095" ht="12" customHeight="1"/>
    <row r="1096" ht="12" customHeight="1"/>
    <row r="1097" ht="12" customHeight="1"/>
    <row r="1098" ht="12" customHeight="1"/>
    <row r="1099" ht="12" customHeight="1"/>
    <row r="1100" ht="12" customHeight="1"/>
    <row r="1101" ht="12" customHeight="1"/>
    <row r="1102" ht="12" customHeight="1"/>
    <row r="1103" ht="12" customHeight="1"/>
    <row r="1104" ht="12" customHeight="1"/>
    <row r="1105" ht="12" customHeight="1"/>
    <row r="1106" ht="12" customHeight="1"/>
    <row r="1107" ht="12" customHeight="1"/>
    <row r="1108" ht="12" customHeight="1"/>
    <row r="1109" ht="12" customHeight="1"/>
    <row r="1110" ht="12" customHeight="1"/>
    <row r="1111" ht="12" customHeight="1"/>
    <row r="1112" ht="12" customHeight="1"/>
    <row r="1113" ht="12" customHeight="1"/>
    <row r="1114" ht="12" customHeight="1"/>
    <row r="1115" ht="12" customHeight="1"/>
    <row r="1116" ht="12" customHeight="1"/>
    <row r="1117" ht="12" customHeight="1"/>
    <row r="1118" ht="12" customHeight="1"/>
    <row r="1119" ht="12" customHeight="1"/>
    <row r="1120" ht="12" customHeight="1"/>
    <row r="1121" ht="12" customHeight="1"/>
    <row r="1122" ht="12" customHeight="1"/>
    <row r="1123" ht="12" customHeight="1"/>
    <row r="1124" ht="12" customHeight="1"/>
    <row r="1125" ht="12" customHeight="1"/>
    <row r="1126" ht="12" customHeight="1"/>
    <row r="1127" ht="12" customHeight="1"/>
    <row r="1128" ht="12" customHeight="1"/>
    <row r="1129" ht="12" customHeight="1"/>
    <row r="1130" ht="12" customHeight="1"/>
    <row r="1131" ht="12" customHeight="1"/>
    <row r="1132" ht="12" customHeight="1"/>
    <row r="1133" ht="12" customHeight="1"/>
    <row r="1134" ht="12" customHeight="1"/>
    <row r="1135" ht="12" customHeight="1"/>
    <row r="1136" ht="12" customHeight="1"/>
    <row r="1137" ht="12" customHeight="1"/>
    <row r="1138" ht="12" customHeight="1"/>
    <row r="1139" ht="12" customHeight="1"/>
    <row r="1140" ht="12" customHeight="1"/>
    <row r="1141" ht="12" customHeight="1"/>
    <row r="1142" ht="12" customHeight="1"/>
    <row r="1143" ht="12" customHeight="1"/>
    <row r="1144" ht="12" customHeight="1"/>
    <row r="1145" ht="12" customHeight="1"/>
    <row r="1146" ht="12" customHeight="1"/>
    <row r="1147" ht="12" customHeight="1"/>
    <row r="1148" ht="12" customHeight="1"/>
    <row r="1149" ht="12" customHeight="1"/>
    <row r="1150" ht="12" customHeight="1"/>
    <row r="1151" ht="12" customHeight="1"/>
    <row r="1152" ht="12" customHeight="1"/>
    <row r="1153" ht="12" customHeight="1"/>
    <row r="1154" ht="12" customHeight="1"/>
    <row r="1155" ht="12" customHeight="1"/>
    <row r="1156" ht="12" customHeight="1"/>
    <row r="1157" ht="12" customHeight="1"/>
    <row r="1158" ht="12" customHeight="1"/>
    <row r="1159" ht="12" customHeight="1"/>
    <row r="1160" ht="12" customHeight="1"/>
    <row r="1161" ht="12" customHeight="1"/>
    <row r="1162" ht="12" customHeight="1"/>
    <row r="1163" ht="12" customHeight="1"/>
    <row r="1164" ht="12" customHeight="1"/>
    <row r="1165" ht="12" customHeight="1"/>
    <row r="1166" ht="12" customHeight="1"/>
    <row r="1167" ht="12" customHeight="1"/>
    <row r="1168" ht="12" customHeight="1"/>
    <row r="1169" ht="12" customHeight="1"/>
    <row r="1170" ht="12" customHeight="1"/>
    <row r="1171" ht="12" customHeight="1"/>
    <row r="1172" ht="12" customHeight="1"/>
    <row r="1173" ht="12" customHeight="1"/>
    <row r="1174" ht="12" customHeight="1"/>
    <row r="1175" ht="12" customHeight="1"/>
    <row r="1176" ht="12" customHeight="1"/>
    <row r="1177" ht="12" customHeight="1"/>
    <row r="1178" ht="12" customHeight="1"/>
    <row r="1179" ht="12" customHeight="1"/>
    <row r="1180" ht="12" customHeight="1"/>
    <row r="1181" ht="12" customHeight="1"/>
    <row r="1182" ht="12" customHeight="1"/>
    <row r="1183" ht="12" customHeight="1"/>
    <row r="1184" ht="12" customHeight="1"/>
    <row r="1185" ht="12" customHeight="1"/>
    <row r="1186" ht="12" customHeight="1"/>
    <row r="1187" ht="12" customHeight="1"/>
    <row r="1188" ht="12" customHeight="1"/>
    <row r="1189" ht="12" customHeight="1"/>
    <row r="1190" ht="12" customHeight="1"/>
    <row r="1191" ht="12" customHeight="1"/>
    <row r="1192" ht="12" customHeight="1"/>
    <row r="1193" ht="12" customHeight="1"/>
    <row r="1194" ht="12" customHeight="1"/>
    <row r="1195" ht="12" customHeight="1"/>
    <row r="1196" ht="12" customHeight="1"/>
    <row r="1197" ht="12" customHeight="1"/>
    <row r="1198" ht="12" customHeight="1"/>
    <row r="1199" ht="12" customHeight="1"/>
    <row r="1200" ht="12" customHeight="1"/>
    <row r="1201" ht="12" customHeight="1"/>
    <row r="1202" ht="12" customHeight="1"/>
    <row r="1203" ht="12" customHeight="1"/>
    <row r="1204" ht="12" customHeight="1"/>
    <row r="1205" ht="12" customHeight="1"/>
    <row r="1206" ht="12" customHeight="1"/>
    <row r="1207" ht="12" customHeight="1"/>
    <row r="1208" ht="12" customHeight="1"/>
    <row r="1209" ht="12" customHeight="1"/>
    <row r="1210" ht="12" customHeight="1"/>
    <row r="1211" ht="12" customHeight="1"/>
    <row r="1212" ht="12" customHeight="1"/>
    <row r="1213" ht="12" customHeight="1"/>
    <row r="1214" ht="12" customHeight="1"/>
    <row r="1215" ht="12" customHeight="1"/>
    <row r="1216" ht="12" customHeight="1"/>
    <row r="1217" ht="12" customHeight="1"/>
    <row r="1218" ht="12" customHeight="1"/>
    <row r="1219" ht="12" customHeight="1"/>
    <row r="1220" ht="12" customHeight="1"/>
    <row r="1221" ht="12" customHeight="1"/>
    <row r="1222" ht="12" customHeight="1"/>
    <row r="1223" ht="12" customHeight="1"/>
    <row r="1224" ht="12" customHeight="1"/>
    <row r="1225" ht="12" customHeight="1"/>
    <row r="1226" ht="12" customHeight="1"/>
    <row r="1227" ht="12" customHeight="1"/>
    <row r="1228" ht="12" customHeight="1"/>
    <row r="1229" ht="12" customHeight="1"/>
    <row r="1230" ht="12" customHeight="1"/>
    <row r="1231" ht="12" customHeight="1"/>
    <row r="1232" ht="12" customHeight="1"/>
    <row r="1233" ht="12" customHeight="1"/>
    <row r="1234" ht="12" customHeight="1"/>
    <row r="1235" ht="12" customHeight="1"/>
    <row r="1236" ht="12" customHeight="1"/>
    <row r="1237" ht="12" customHeight="1"/>
    <row r="1238" ht="12" customHeight="1"/>
    <row r="1239" ht="12" customHeight="1"/>
    <row r="1240" ht="12" customHeight="1"/>
    <row r="1241" ht="12" customHeight="1"/>
    <row r="1242" ht="12" customHeight="1"/>
    <row r="1243" ht="12" customHeight="1"/>
    <row r="1244" ht="12" customHeight="1"/>
    <row r="1245" ht="12" customHeight="1"/>
    <row r="1246" ht="12" customHeight="1"/>
    <row r="1247" ht="12" customHeight="1"/>
    <row r="1248" ht="12" customHeight="1"/>
    <row r="1249" ht="12" customHeight="1"/>
    <row r="1250" ht="12" customHeight="1"/>
    <row r="1251" ht="12" customHeight="1"/>
    <row r="1252" ht="12" customHeight="1"/>
    <row r="1253" ht="12" customHeight="1"/>
    <row r="1254" ht="12" customHeight="1"/>
    <row r="1255" ht="12" customHeight="1"/>
    <row r="1256" ht="12" customHeight="1"/>
    <row r="1257" ht="12" customHeight="1"/>
    <row r="1258" ht="12" customHeight="1"/>
    <row r="1259" ht="12" customHeight="1"/>
    <row r="1260" ht="12" customHeight="1"/>
    <row r="1261" ht="12" customHeight="1"/>
    <row r="1262" ht="12" customHeight="1"/>
    <row r="1263" ht="12" customHeight="1"/>
    <row r="1264" ht="12" customHeight="1"/>
    <row r="1265" ht="12" customHeight="1"/>
    <row r="1266" ht="12" customHeight="1"/>
    <row r="1267" ht="12" customHeight="1"/>
    <row r="1268" ht="12" customHeight="1"/>
    <row r="1269" ht="12" customHeight="1"/>
    <row r="1270" ht="12" customHeight="1"/>
    <row r="1271" ht="12" customHeight="1"/>
    <row r="1272" ht="12" customHeight="1"/>
    <row r="1273" ht="12" customHeight="1"/>
    <row r="1274" ht="12" customHeight="1"/>
    <row r="1275" ht="12" customHeight="1"/>
    <row r="1276" ht="12" customHeight="1"/>
    <row r="1277" ht="12" customHeight="1"/>
    <row r="1278" ht="12" customHeight="1"/>
    <row r="1279" ht="12" customHeight="1"/>
    <row r="1280" ht="12" customHeight="1"/>
    <row r="1281" ht="12" customHeight="1"/>
    <row r="1282" ht="12" customHeight="1"/>
    <row r="1283" ht="12" customHeight="1"/>
    <row r="1284" ht="12" customHeight="1"/>
    <row r="1285" ht="12" customHeight="1"/>
    <row r="1286" ht="12" customHeight="1"/>
    <row r="1287" ht="12" customHeight="1"/>
    <row r="1288" ht="12" customHeight="1"/>
    <row r="1289" ht="12" customHeight="1"/>
    <row r="1290" ht="12" customHeight="1"/>
    <row r="1291" ht="12" customHeight="1"/>
    <row r="1292" ht="12" customHeight="1"/>
    <row r="1293" ht="12" customHeight="1"/>
    <row r="1294" ht="12" customHeight="1"/>
    <row r="1295" ht="12" customHeight="1"/>
    <row r="1296" ht="12" customHeight="1"/>
    <row r="1297" ht="12" customHeight="1"/>
    <row r="1298" ht="12" customHeight="1"/>
    <row r="1299" ht="12" customHeight="1"/>
    <row r="1300" ht="12" customHeight="1"/>
    <row r="1301" ht="12" customHeight="1"/>
    <row r="1302" ht="12" customHeight="1"/>
    <row r="1303" ht="12" customHeight="1"/>
    <row r="1304" ht="12" customHeight="1"/>
    <row r="1305" ht="12" customHeight="1"/>
    <row r="1306" ht="12" customHeight="1"/>
    <row r="1307" ht="12" customHeight="1"/>
    <row r="1308" ht="12" customHeight="1"/>
    <row r="1309" ht="12" customHeight="1"/>
    <row r="1310" ht="12" customHeight="1"/>
    <row r="1311" ht="12" customHeight="1"/>
    <row r="1312" ht="12" customHeight="1"/>
    <row r="1313" ht="12" customHeight="1"/>
    <row r="1314" ht="12" customHeight="1"/>
    <row r="1315" ht="12" customHeight="1"/>
    <row r="1316" ht="12" customHeight="1"/>
    <row r="1317" ht="12" customHeight="1"/>
    <row r="1318" ht="12" customHeight="1"/>
    <row r="1319" ht="12" customHeight="1"/>
    <row r="1320" ht="12" customHeight="1"/>
    <row r="1321" ht="12" customHeight="1"/>
    <row r="1322" ht="12" customHeight="1"/>
    <row r="1323" ht="12" customHeight="1"/>
    <row r="1324" ht="12" customHeight="1"/>
    <row r="1325" ht="12" customHeight="1"/>
    <row r="1326" ht="12" customHeight="1"/>
    <row r="1327" ht="12" customHeight="1"/>
    <row r="1328" ht="12" customHeight="1"/>
    <row r="1329" ht="12" customHeight="1"/>
    <row r="1330" ht="12" customHeight="1"/>
    <row r="1331" ht="12" customHeight="1"/>
    <row r="1332" ht="12" customHeight="1"/>
    <row r="1333" ht="12" customHeight="1"/>
    <row r="1334" ht="12" customHeight="1"/>
    <row r="1335" ht="12" customHeight="1"/>
    <row r="1336" ht="12" customHeight="1"/>
    <row r="1337" ht="12" customHeight="1"/>
    <row r="1338" ht="12" customHeight="1"/>
    <row r="1339" ht="12" customHeight="1"/>
    <row r="1340" ht="12" customHeight="1"/>
    <row r="1341" ht="12" customHeight="1"/>
    <row r="1342" ht="12" customHeight="1"/>
    <row r="1343" ht="12" customHeight="1"/>
    <row r="1344" ht="12" customHeight="1"/>
    <row r="1345" ht="12" customHeight="1"/>
    <row r="1346" ht="12" customHeight="1"/>
    <row r="1347" ht="12" customHeight="1"/>
    <row r="1348" ht="12" customHeight="1"/>
    <row r="1349" ht="12" customHeight="1"/>
    <row r="1350" ht="12" customHeight="1"/>
    <row r="1351" ht="12" customHeight="1"/>
    <row r="1352" ht="12" customHeight="1"/>
    <row r="1353" ht="12" customHeight="1"/>
    <row r="1354" ht="12" customHeight="1"/>
    <row r="1355" ht="12" customHeight="1"/>
    <row r="1356" ht="12" customHeight="1"/>
    <row r="1357" ht="12" customHeight="1"/>
    <row r="1358" ht="12" customHeight="1"/>
    <row r="1359" ht="12" customHeight="1"/>
    <row r="1360" ht="12" customHeight="1"/>
    <row r="1361" ht="12" customHeight="1"/>
    <row r="1362" ht="12" customHeight="1"/>
    <row r="1363" ht="12" customHeight="1"/>
    <row r="1364" ht="12" customHeight="1"/>
    <row r="1365" ht="12" customHeight="1"/>
    <row r="1366" ht="12" customHeight="1"/>
    <row r="1367" ht="12" customHeight="1"/>
    <row r="1368" ht="12" customHeight="1"/>
    <row r="1369" ht="12" customHeight="1"/>
    <row r="1370" ht="12" customHeight="1"/>
    <row r="1371" ht="12" customHeight="1"/>
    <row r="1372" ht="12" customHeight="1"/>
    <row r="1373" ht="12" customHeight="1"/>
    <row r="1374" ht="12" customHeight="1"/>
    <row r="1375" ht="12" customHeight="1"/>
    <row r="1376" ht="12" customHeight="1"/>
    <row r="1377" ht="12" customHeight="1"/>
    <row r="1378" ht="12" customHeight="1"/>
    <row r="1379" ht="12" customHeight="1"/>
    <row r="1380" ht="12" customHeight="1"/>
    <row r="1381" ht="12" customHeight="1"/>
    <row r="1382" ht="12" customHeight="1"/>
    <row r="1383" ht="12" customHeight="1"/>
    <row r="1384" ht="12" customHeight="1"/>
    <row r="1385" ht="12" customHeight="1"/>
    <row r="1386" ht="12" customHeight="1"/>
    <row r="1387" ht="12" customHeight="1"/>
    <row r="1388" ht="12" customHeight="1"/>
    <row r="1389" ht="12" customHeight="1"/>
    <row r="1390" ht="12" customHeight="1"/>
    <row r="1391" ht="12" customHeight="1"/>
    <row r="1392" ht="12" customHeight="1"/>
    <row r="1393" ht="12" customHeight="1"/>
    <row r="1394" ht="12" customHeight="1"/>
    <row r="1395" ht="12" customHeight="1"/>
    <row r="1396" ht="12" customHeight="1"/>
    <row r="1397" ht="12" customHeight="1"/>
    <row r="1398" ht="12" customHeight="1"/>
    <row r="1399" ht="12" customHeight="1"/>
    <row r="1400" ht="12" customHeight="1"/>
    <row r="1401" ht="12" customHeight="1"/>
    <row r="1402" ht="12" customHeight="1"/>
    <row r="1403" ht="12" customHeight="1"/>
    <row r="1404" ht="12" customHeight="1"/>
    <row r="1405" ht="12" customHeight="1"/>
    <row r="1406" ht="12" customHeight="1"/>
    <row r="1407" ht="12" customHeight="1"/>
    <row r="1408" ht="12" customHeight="1"/>
    <row r="1409" ht="12" customHeight="1"/>
    <row r="1410" ht="12" customHeight="1"/>
    <row r="1411" ht="12" customHeight="1"/>
    <row r="1412" ht="12" customHeight="1"/>
    <row r="1413" ht="12" customHeight="1"/>
    <row r="1414" ht="12" customHeight="1"/>
    <row r="1415" ht="12" customHeight="1"/>
    <row r="1416" ht="12" customHeight="1"/>
    <row r="1417" ht="12" customHeight="1"/>
    <row r="1418" ht="12" customHeight="1"/>
    <row r="1419" ht="12" customHeight="1"/>
    <row r="1420" ht="12" customHeight="1"/>
    <row r="1421" ht="12" customHeight="1"/>
    <row r="1422" ht="12" customHeight="1"/>
    <row r="1423" ht="12" customHeight="1"/>
    <row r="1424" ht="12" customHeight="1"/>
    <row r="1425" ht="12" customHeight="1"/>
    <row r="1426" ht="12" customHeight="1"/>
    <row r="1427" ht="12" customHeight="1"/>
    <row r="1428" ht="12" customHeight="1"/>
    <row r="1429" ht="12" customHeight="1"/>
    <row r="1430" ht="12" customHeight="1"/>
    <row r="1431" ht="12" customHeight="1"/>
    <row r="1432" ht="12" customHeight="1"/>
    <row r="1433" ht="12" customHeight="1"/>
    <row r="1434" ht="12" customHeight="1"/>
    <row r="1435" ht="12" customHeight="1"/>
    <row r="1436" ht="12" customHeight="1"/>
    <row r="1437" ht="12" customHeight="1"/>
    <row r="1438" ht="12" customHeight="1"/>
    <row r="1439" ht="12" customHeight="1"/>
    <row r="1440" ht="12" customHeight="1"/>
    <row r="1441" ht="12" customHeight="1"/>
    <row r="1442" ht="12" customHeight="1"/>
    <row r="1443" ht="12" customHeight="1"/>
    <row r="1444" ht="12" customHeight="1"/>
    <row r="1445" ht="12" customHeight="1"/>
    <row r="1446" ht="12" customHeight="1"/>
    <row r="1447" ht="12" customHeight="1"/>
    <row r="1448" ht="12" customHeight="1"/>
    <row r="1449" ht="12" customHeight="1"/>
    <row r="1450" ht="12" customHeight="1"/>
    <row r="1451" ht="12" customHeight="1"/>
    <row r="1452" ht="12" customHeight="1"/>
    <row r="1453" ht="12" customHeight="1"/>
    <row r="1454" ht="12" customHeight="1"/>
    <row r="1455" ht="12" customHeight="1"/>
    <row r="1456" ht="12" customHeight="1"/>
    <row r="1457" ht="12" customHeight="1"/>
    <row r="1458" ht="12" customHeight="1"/>
    <row r="1459" ht="12" customHeight="1"/>
    <row r="1460" ht="12" customHeight="1"/>
    <row r="1461" ht="12" customHeight="1"/>
    <row r="1462" ht="12" customHeight="1"/>
    <row r="1463" ht="12" customHeight="1"/>
    <row r="1464" ht="12" customHeight="1"/>
    <row r="1465" ht="12" customHeight="1"/>
    <row r="1466" ht="12" customHeight="1"/>
    <row r="1467" ht="12" customHeight="1"/>
    <row r="1468" ht="12" customHeight="1"/>
    <row r="1469" ht="12" customHeight="1"/>
    <row r="1470" ht="12" customHeight="1"/>
    <row r="1471" ht="12" customHeight="1"/>
    <row r="1472" ht="12" customHeight="1"/>
    <row r="1473" ht="12" customHeight="1"/>
    <row r="1474" ht="12" customHeight="1"/>
    <row r="1475" ht="12" customHeight="1"/>
    <row r="1476" ht="12" customHeight="1"/>
    <row r="1477" ht="12" customHeight="1"/>
    <row r="1478" ht="12" customHeight="1"/>
    <row r="1479" ht="12" customHeight="1"/>
    <row r="1480" ht="12" customHeight="1"/>
    <row r="1481" ht="12" customHeight="1"/>
    <row r="1482" ht="12" customHeight="1"/>
    <row r="1483" ht="12" customHeight="1"/>
    <row r="1484" ht="12" customHeight="1"/>
    <row r="1485" ht="12" customHeight="1"/>
    <row r="1486" ht="12" customHeight="1"/>
    <row r="1487" ht="12" customHeight="1"/>
    <row r="1488" ht="12" customHeight="1"/>
    <row r="1489" ht="12" customHeight="1"/>
    <row r="1490" ht="12" customHeight="1"/>
    <row r="1491" ht="12" customHeight="1"/>
    <row r="1492" ht="12" customHeight="1"/>
    <row r="1493" ht="12" customHeight="1"/>
    <row r="1494" ht="12" customHeight="1"/>
    <row r="1495" ht="12" customHeight="1"/>
    <row r="1496" ht="12" customHeight="1"/>
    <row r="1497" ht="12" customHeight="1"/>
    <row r="1498" ht="12" customHeight="1"/>
    <row r="1499" ht="12" customHeight="1"/>
    <row r="1500" ht="12" customHeight="1"/>
    <row r="1501" ht="12" customHeight="1"/>
    <row r="1502" ht="12" customHeight="1"/>
    <row r="1503" ht="12" customHeight="1"/>
    <row r="1504" ht="12" customHeight="1"/>
    <row r="1505" ht="12" customHeight="1"/>
    <row r="1506" ht="12" customHeight="1"/>
    <row r="1507" ht="12" customHeight="1"/>
    <row r="1508" ht="12" customHeight="1"/>
    <row r="1509" ht="12" customHeight="1"/>
    <row r="1510" ht="12" customHeight="1"/>
    <row r="1511" ht="12" customHeight="1"/>
    <row r="1512" ht="12" customHeight="1"/>
    <row r="1513" ht="12" customHeight="1"/>
    <row r="1514" ht="12" customHeight="1"/>
    <row r="1515" ht="12" customHeight="1"/>
    <row r="1516" ht="12" customHeight="1"/>
    <row r="1517" ht="12" customHeight="1"/>
    <row r="1518" ht="12" customHeight="1"/>
    <row r="1519" ht="12" customHeight="1"/>
    <row r="1520" ht="12" customHeight="1"/>
    <row r="1521" ht="12" customHeight="1"/>
    <row r="1522" ht="12" customHeight="1"/>
    <row r="1523" ht="12" customHeight="1"/>
    <row r="1524" ht="12" customHeight="1"/>
    <row r="1525" ht="12" customHeight="1"/>
    <row r="1526" ht="12" customHeight="1"/>
    <row r="1527" ht="12" customHeight="1"/>
    <row r="1528" ht="12" customHeight="1"/>
    <row r="1529" ht="12" customHeight="1"/>
    <row r="1530" ht="12" customHeight="1"/>
    <row r="1531" ht="12" customHeight="1"/>
    <row r="1532" ht="12" customHeight="1"/>
    <row r="1533" ht="12" customHeight="1"/>
    <row r="1534" ht="12" customHeight="1"/>
    <row r="1535" ht="12" customHeight="1"/>
    <row r="1536" ht="12" customHeight="1"/>
    <row r="1537" ht="12" customHeight="1"/>
    <row r="1538" ht="12" customHeight="1"/>
    <row r="1539" ht="12" customHeight="1"/>
    <row r="1540" ht="12" customHeight="1"/>
    <row r="1541" ht="12" customHeight="1"/>
    <row r="1542" ht="12" customHeight="1"/>
    <row r="1543" ht="12" customHeight="1"/>
    <row r="1544" ht="12" customHeight="1"/>
    <row r="1545" ht="12" customHeight="1"/>
    <row r="1546" ht="12" customHeight="1"/>
    <row r="1547" ht="12" customHeight="1"/>
    <row r="1548" ht="12" customHeight="1"/>
    <row r="1549" ht="12" customHeight="1"/>
    <row r="1550" ht="12" customHeight="1"/>
    <row r="1551" ht="12" customHeight="1"/>
    <row r="1552" ht="12" customHeight="1"/>
    <row r="1553" ht="12" customHeight="1"/>
    <row r="1554" ht="12" customHeight="1"/>
    <row r="1555" ht="12" customHeight="1"/>
    <row r="1556" ht="12" customHeight="1"/>
    <row r="1557" ht="12" customHeight="1"/>
    <row r="1558" ht="12" customHeight="1"/>
    <row r="1559" ht="12" customHeight="1"/>
    <row r="1560" ht="12" customHeight="1"/>
    <row r="1561" ht="12" customHeight="1"/>
    <row r="1562" ht="12" customHeight="1"/>
    <row r="1563" ht="12" customHeight="1"/>
    <row r="1564" ht="12" customHeight="1"/>
    <row r="1565" ht="12" customHeight="1"/>
    <row r="1566" ht="12" customHeight="1"/>
    <row r="1567" ht="12" customHeight="1"/>
    <row r="1568" ht="12" customHeight="1"/>
    <row r="1569" ht="12" customHeight="1"/>
    <row r="1570" ht="12" customHeight="1"/>
    <row r="1571" ht="12" customHeight="1"/>
    <row r="1572" ht="12" customHeight="1"/>
    <row r="1573" ht="12" customHeight="1"/>
    <row r="1574" ht="12" customHeight="1"/>
    <row r="1575" ht="12" customHeight="1"/>
    <row r="1576" ht="12" customHeight="1"/>
    <row r="1577" ht="12" customHeight="1"/>
    <row r="1578" ht="12" customHeight="1"/>
    <row r="1579" ht="12" customHeight="1"/>
    <row r="1580" ht="12" customHeight="1"/>
    <row r="1581" ht="12" customHeight="1"/>
    <row r="1582" ht="12" customHeight="1"/>
    <row r="1583" ht="12" customHeight="1"/>
    <row r="1584" ht="12" customHeight="1"/>
    <row r="1585" ht="12" customHeight="1"/>
    <row r="1586" ht="12" customHeight="1"/>
    <row r="1587" ht="12" customHeight="1"/>
    <row r="1588" ht="12" customHeight="1"/>
    <row r="1589" ht="12" customHeight="1"/>
    <row r="1590" ht="12" customHeight="1"/>
    <row r="1591" ht="12" customHeight="1"/>
    <row r="1592" ht="12" customHeight="1"/>
    <row r="1593" ht="12" customHeight="1"/>
    <row r="1594" ht="12" customHeight="1"/>
    <row r="1595" ht="12" customHeight="1"/>
    <row r="1596" ht="12" customHeight="1"/>
    <row r="1597" ht="12" customHeight="1"/>
    <row r="1598" ht="12" customHeight="1"/>
    <row r="1599" ht="12" customHeight="1"/>
    <row r="1600" ht="12" customHeight="1"/>
    <row r="1601" ht="12" customHeight="1"/>
    <row r="1602" ht="12" customHeight="1"/>
    <row r="1603" ht="12" customHeight="1"/>
    <row r="1604" ht="12" customHeight="1"/>
    <row r="1605" ht="12" customHeight="1"/>
    <row r="1606" ht="12" customHeight="1"/>
    <row r="1607" ht="12" customHeight="1"/>
    <row r="1608" ht="12" customHeight="1"/>
    <row r="1609" ht="12" customHeight="1"/>
    <row r="1610" ht="12" customHeight="1"/>
    <row r="1611" ht="12" customHeight="1"/>
    <row r="1612" ht="12" customHeight="1"/>
    <row r="1613" ht="12" customHeight="1"/>
    <row r="1614" ht="12" customHeight="1"/>
    <row r="1615" ht="12" customHeight="1"/>
    <row r="1616" ht="12" customHeight="1"/>
    <row r="1617" ht="12" customHeight="1"/>
    <row r="1618" ht="12" customHeight="1"/>
    <row r="1619" ht="12" customHeight="1"/>
    <row r="1620" ht="12" customHeight="1"/>
    <row r="1621" ht="12" customHeight="1"/>
    <row r="1622" ht="12" customHeight="1"/>
    <row r="1623" ht="12" customHeight="1"/>
    <row r="1624" ht="12" customHeight="1"/>
    <row r="1625" ht="12" customHeight="1"/>
    <row r="1626" ht="12" customHeight="1"/>
    <row r="1627" ht="12" customHeight="1"/>
    <row r="1628" ht="12" customHeight="1"/>
    <row r="1629" ht="12" customHeight="1"/>
    <row r="1630" ht="12" customHeight="1"/>
    <row r="1631" ht="12" customHeight="1"/>
    <row r="1632" ht="12" customHeight="1"/>
    <row r="1633" ht="12" customHeight="1"/>
    <row r="1634" ht="12" customHeight="1"/>
    <row r="1635" ht="12" customHeight="1"/>
    <row r="1636" ht="12" customHeight="1"/>
    <row r="1637" ht="12" customHeight="1"/>
    <row r="1638" ht="12" customHeight="1"/>
    <row r="1639" ht="12" customHeight="1"/>
    <row r="1640" ht="12" customHeight="1"/>
    <row r="1641" ht="12" customHeight="1"/>
    <row r="1642" ht="12" customHeight="1"/>
    <row r="1643" ht="12" customHeight="1"/>
    <row r="1644" ht="12" customHeight="1"/>
    <row r="1645" ht="12" customHeight="1"/>
    <row r="1646" ht="12" customHeight="1"/>
    <row r="1647" ht="12" customHeight="1"/>
    <row r="1648" ht="12" customHeight="1"/>
    <row r="1649" ht="12" customHeight="1"/>
    <row r="1650" ht="12" customHeight="1"/>
    <row r="1651" ht="12" customHeight="1"/>
    <row r="1652" ht="12" customHeight="1"/>
    <row r="1653" ht="12" customHeight="1"/>
    <row r="1654" ht="12" customHeight="1"/>
    <row r="1655" ht="12" customHeight="1"/>
    <row r="1656" ht="12" customHeight="1"/>
    <row r="1657" ht="12" customHeight="1"/>
    <row r="1658" ht="12" customHeight="1"/>
    <row r="1659" ht="12" customHeight="1"/>
    <row r="1660" ht="12" customHeight="1"/>
    <row r="1661" ht="12" customHeight="1"/>
    <row r="1662" ht="12" customHeight="1"/>
    <row r="1663" ht="12" customHeight="1"/>
    <row r="1664" ht="12" customHeight="1"/>
    <row r="1665" ht="12" customHeight="1"/>
    <row r="1666" ht="12" customHeight="1"/>
    <row r="1667" ht="12" customHeight="1"/>
    <row r="1668" ht="12" customHeight="1"/>
    <row r="1669" ht="12" customHeight="1"/>
    <row r="1670" ht="12" customHeight="1"/>
    <row r="1671" ht="12" customHeight="1"/>
    <row r="1672" ht="12" customHeight="1"/>
    <row r="1673" ht="12" customHeight="1"/>
    <row r="1674" ht="12" customHeight="1"/>
    <row r="1675" ht="12" customHeight="1"/>
    <row r="1676" ht="12" customHeight="1"/>
    <row r="1677" ht="12" customHeight="1"/>
    <row r="1678" ht="12" customHeight="1"/>
    <row r="1679" ht="12" customHeight="1"/>
    <row r="1680" ht="12" customHeight="1"/>
    <row r="1681" ht="12" customHeight="1"/>
    <row r="1682" ht="12" customHeight="1"/>
    <row r="1683" ht="12" customHeight="1"/>
    <row r="1684" ht="12" customHeight="1"/>
    <row r="1685" ht="12" customHeight="1"/>
    <row r="1686" ht="12" customHeight="1"/>
    <row r="1687" ht="12" customHeight="1"/>
    <row r="1688" ht="12" customHeight="1"/>
    <row r="1689" ht="12" customHeight="1"/>
    <row r="1690" ht="12" customHeight="1"/>
    <row r="1691" ht="12" customHeight="1"/>
    <row r="1692" ht="12" customHeight="1"/>
    <row r="1693" ht="12" customHeight="1"/>
    <row r="1694" ht="12" customHeight="1"/>
    <row r="1695" ht="12" customHeight="1"/>
    <row r="1696" ht="12" customHeight="1"/>
    <row r="1697" ht="12" customHeight="1"/>
    <row r="1698" ht="12" customHeight="1"/>
    <row r="1699" ht="12" customHeight="1"/>
    <row r="1700" ht="12" customHeight="1"/>
    <row r="1701" ht="12" customHeight="1"/>
    <row r="1702" ht="12" customHeight="1"/>
    <row r="1703" ht="12" customHeight="1"/>
    <row r="1704" ht="12" customHeight="1"/>
    <row r="1705" ht="12" customHeight="1"/>
    <row r="1706" ht="12" customHeight="1"/>
    <row r="1707" ht="12" customHeight="1"/>
    <row r="1708" ht="12" customHeight="1"/>
    <row r="1709" ht="12" customHeight="1"/>
    <row r="1710" ht="12" customHeight="1"/>
    <row r="1711" ht="12" customHeight="1"/>
    <row r="1712" ht="12" customHeight="1"/>
    <row r="1713" ht="12" customHeight="1"/>
    <row r="1714" ht="12" customHeight="1"/>
    <row r="1715" ht="12" customHeight="1"/>
    <row r="1716" ht="12" customHeight="1"/>
    <row r="1717" ht="12" customHeight="1"/>
    <row r="1718" ht="12" customHeight="1"/>
    <row r="1719" ht="12" customHeight="1"/>
    <row r="1720" ht="12" customHeight="1"/>
    <row r="1721" ht="12" customHeight="1"/>
    <row r="1722" ht="12" customHeight="1"/>
    <row r="1723" ht="12" customHeight="1"/>
    <row r="1724" ht="12" customHeight="1"/>
    <row r="1725" ht="12" customHeight="1"/>
    <row r="1726" ht="12" customHeight="1"/>
    <row r="1727" ht="12" customHeight="1"/>
    <row r="1728" ht="12" customHeight="1"/>
    <row r="1729" ht="12" customHeight="1"/>
    <row r="1730" ht="12" customHeight="1"/>
    <row r="1731" ht="12" customHeight="1"/>
    <row r="1732" ht="12" customHeight="1"/>
    <row r="1733" ht="12" customHeight="1"/>
    <row r="1734" ht="12" customHeight="1"/>
    <row r="1735" ht="12" customHeight="1"/>
    <row r="1736" ht="12" customHeight="1"/>
    <row r="1737" ht="12" customHeight="1"/>
    <row r="1738" ht="12" customHeight="1"/>
    <row r="1739" ht="12" customHeight="1"/>
    <row r="1740" ht="12" customHeight="1"/>
    <row r="1741" ht="12" customHeight="1"/>
    <row r="1742" ht="12" customHeight="1"/>
    <row r="1743" ht="12" customHeight="1"/>
    <row r="1744" ht="12" customHeight="1"/>
    <row r="1745" ht="12" customHeight="1"/>
    <row r="1746" ht="12" customHeight="1"/>
    <row r="1747" ht="12" customHeight="1"/>
    <row r="1748" ht="12" customHeight="1"/>
    <row r="1749" ht="12" customHeight="1"/>
    <row r="1750" ht="12" customHeight="1"/>
    <row r="1751" ht="12" customHeight="1"/>
    <row r="1752" ht="12" customHeight="1"/>
    <row r="1753" ht="12" customHeight="1"/>
    <row r="1754" ht="12" customHeight="1"/>
    <row r="1755" ht="12" customHeight="1"/>
    <row r="1756" ht="12" customHeight="1"/>
    <row r="1757" ht="12" customHeight="1"/>
    <row r="1758" ht="12" customHeight="1"/>
    <row r="1759" ht="12" customHeight="1"/>
    <row r="1760" ht="12" customHeight="1"/>
    <row r="1761" ht="12" customHeight="1"/>
    <row r="1762" ht="12" customHeight="1"/>
    <row r="1763" ht="12" customHeight="1"/>
    <row r="1764" ht="12" customHeight="1"/>
    <row r="1765" ht="12" customHeight="1"/>
    <row r="1766" ht="12" customHeight="1"/>
    <row r="1767" ht="12" customHeight="1"/>
    <row r="1768" ht="12" customHeight="1"/>
    <row r="1769" ht="12" customHeight="1"/>
    <row r="1770" ht="12" customHeight="1"/>
    <row r="1771" ht="12" customHeight="1"/>
    <row r="1772" ht="12" customHeight="1"/>
    <row r="1773" ht="12" customHeight="1"/>
    <row r="1774" ht="12" customHeight="1"/>
    <row r="1775" ht="12" customHeight="1"/>
    <row r="1776" ht="12" customHeight="1"/>
    <row r="1777" ht="12" customHeight="1"/>
    <row r="1778" ht="12" customHeight="1"/>
    <row r="1779" ht="12" customHeight="1"/>
    <row r="1780" ht="12" customHeight="1"/>
    <row r="1781" ht="12" customHeight="1"/>
    <row r="1782" ht="12" customHeight="1"/>
    <row r="1783" ht="12" customHeight="1"/>
    <row r="1784" ht="12" customHeight="1"/>
    <row r="1785" ht="12" customHeight="1"/>
    <row r="1786" ht="12" customHeight="1"/>
    <row r="1787" ht="12" customHeight="1"/>
    <row r="1788" ht="12" customHeight="1"/>
    <row r="1789" ht="12" customHeight="1"/>
    <row r="1790" ht="12" customHeight="1"/>
    <row r="1791" ht="12" customHeight="1"/>
    <row r="1792" ht="12" customHeight="1"/>
    <row r="1793" ht="12" customHeight="1"/>
    <row r="1794" ht="12" customHeight="1"/>
    <row r="1795" ht="12" customHeight="1"/>
    <row r="1796" ht="12" customHeight="1"/>
    <row r="1797" ht="12" customHeight="1"/>
    <row r="1798" ht="12" customHeight="1"/>
    <row r="1799" ht="12" customHeight="1"/>
    <row r="1800" ht="12" customHeight="1"/>
    <row r="1801" ht="12" customHeight="1"/>
    <row r="1802" ht="12" customHeight="1"/>
    <row r="1803" ht="12" customHeight="1"/>
    <row r="1804" ht="12" customHeight="1"/>
    <row r="1805" ht="12" customHeight="1"/>
    <row r="1806" ht="12" customHeight="1"/>
    <row r="1807" ht="12" customHeight="1"/>
    <row r="1808" ht="12" customHeight="1"/>
    <row r="1809" ht="12" customHeight="1"/>
    <row r="1810" ht="12" customHeight="1"/>
    <row r="1811" ht="12" customHeight="1"/>
    <row r="1812" ht="12" customHeight="1"/>
    <row r="1813" ht="12" customHeight="1"/>
    <row r="1814" ht="12" customHeight="1"/>
    <row r="1815" ht="12" customHeight="1"/>
    <row r="1816" ht="12" customHeight="1"/>
    <row r="1817" ht="12" customHeight="1"/>
    <row r="1818" ht="12" customHeight="1"/>
    <row r="1819" ht="12" customHeight="1"/>
    <row r="1820" ht="12" customHeight="1"/>
    <row r="1821" ht="12" customHeight="1"/>
    <row r="1822" ht="12" customHeight="1"/>
    <row r="1823" ht="12" customHeight="1"/>
    <row r="1824" ht="12" customHeight="1"/>
    <row r="1825" ht="12" customHeight="1"/>
    <row r="1826" ht="12" customHeight="1"/>
    <row r="1827" ht="12" customHeight="1"/>
    <row r="1828" ht="12" customHeight="1"/>
    <row r="1829" ht="12" customHeight="1"/>
    <row r="1830" ht="12" customHeight="1"/>
    <row r="1831" ht="12" customHeight="1"/>
    <row r="1832" ht="12" customHeight="1"/>
    <row r="1833" ht="12" customHeight="1"/>
    <row r="1834" ht="12" customHeight="1"/>
    <row r="1835" ht="12" customHeight="1"/>
    <row r="1836" ht="12" customHeight="1"/>
    <row r="1837" ht="12" customHeight="1"/>
    <row r="1838" ht="12" customHeight="1"/>
    <row r="1839" ht="12" customHeight="1"/>
    <row r="1840" ht="12" customHeight="1"/>
    <row r="1841" ht="12" customHeight="1"/>
    <row r="1842" ht="12" customHeight="1"/>
    <row r="1843" ht="12" customHeight="1"/>
    <row r="1844" ht="12" customHeight="1"/>
    <row r="1845" ht="12" customHeight="1"/>
    <row r="1846" ht="12" customHeight="1"/>
    <row r="1847" ht="12" customHeight="1"/>
    <row r="1848" ht="12" customHeight="1"/>
    <row r="1849" ht="12" customHeight="1"/>
    <row r="1850" ht="12" customHeight="1"/>
    <row r="1851" ht="12" customHeight="1"/>
    <row r="1852" ht="12" customHeight="1"/>
    <row r="1853" ht="12" customHeight="1"/>
    <row r="1854" ht="12" customHeight="1"/>
    <row r="1855" ht="12" customHeight="1"/>
    <row r="1856" ht="12" customHeight="1"/>
    <row r="1857" ht="12" customHeight="1"/>
    <row r="1858" ht="12" customHeight="1"/>
    <row r="1859" ht="12" customHeight="1"/>
    <row r="1860" ht="12" customHeight="1"/>
    <row r="1861" ht="12" customHeight="1"/>
    <row r="1862" ht="12" customHeight="1"/>
    <row r="1863" ht="12" customHeight="1"/>
    <row r="1864" ht="12" customHeight="1"/>
    <row r="1865" ht="12" customHeight="1"/>
    <row r="1866" ht="12" customHeight="1"/>
    <row r="1867" ht="12" customHeight="1"/>
    <row r="1868" ht="12" customHeight="1"/>
    <row r="1869" ht="12" customHeight="1"/>
    <row r="1870" ht="12" customHeight="1"/>
    <row r="1871" ht="12" customHeight="1"/>
    <row r="1872" ht="12" customHeight="1"/>
    <row r="1873" ht="12" customHeight="1"/>
    <row r="1874" ht="12" customHeight="1"/>
    <row r="1875" ht="12" customHeight="1"/>
    <row r="1876" ht="12" customHeight="1"/>
    <row r="1877" ht="12" customHeight="1"/>
    <row r="1878" ht="12" customHeight="1"/>
    <row r="1879" ht="12" customHeight="1"/>
    <row r="1880" ht="12" customHeight="1"/>
    <row r="1881" ht="12" customHeight="1"/>
    <row r="1882" ht="12" customHeight="1"/>
    <row r="1883" ht="12" customHeight="1"/>
    <row r="1884" ht="12" customHeight="1"/>
    <row r="1885" ht="12" customHeight="1"/>
    <row r="1886" ht="12" customHeight="1"/>
    <row r="1887" ht="12" customHeight="1"/>
    <row r="1888" ht="12" customHeight="1"/>
    <row r="1889" ht="12" customHeight="1"/>
    <row r="1890" ht="12" customHeight="1"/>
    <row r="1891" ht="12" customHeight="1"/>
    <row r="1892" ht="12" customHeight="1"/>
    <row r="1893" ht="12" customHeight="1"/>
    <row r="1894" ht="12" customHeight="1"/>
    <row r="1895" ht="12" customHeight="1"/>
    <row r="1896" ht="12" customHeight="1"/>
    <row r="1897" ht="12" customHeight="1"/>
    <row r="1898" ht="12" customHeight="1"/>
    <row r="1899" ht="12" customHeight="1"/>
    <row r="1900" ht="12" customHeight="1"/>
    <row r="1901" ht="12" customHeight="1"/>
    <row r="1902" ht="12" customHeight="1"/>
    <row r="1903" ht="12" customHeight="1"/>
    <row r="1904" ht="12" customHeight="1"/>
    <row r="1905" ht="12" customHeight="1"/>
    <row r="1906" ht="12" customHeight="1"/>
    <row r="1907" ht="12" customHeight="1"/>
    <row r="1908" ht="12" customHeight="1"/>
    <row r="1909" ht="12" customHeight="1"/>
    <row r="1910" ht="12" customHeight="1"/>
    <row r="1911" ht="12" customHeight="1"/>
    <row r="1912" ht="12" customHeight="1"/>
    <row r="1913" ht="12" customHeight="1"/>
    <row r="1914" ht="12" customHeight="1"/>
    <row r="1915" ht="12" customHeight="1"/>
    <row r="1916" ht="12" customHeight="1"/>
    <row r="1917" ht="12" customHeight="1"/>
    <row r="1918" ht="12" customHeight="1"/>
    <row r="1919" ht="12" customHeight="1"/>
    <row r="1920" ht="12" customHeight="1"/>
    <row r="1921" ht="12" customHeight="1"/>
    <row r="1922" ht="12" customHeight="1"/>
    <row r="1923" ht="12" customHeight="1"/>
    <row r="1924" ht="12" customHeight="1"/>
    <row r="1925" ht="12" customHeight="1"/>
    <row r="1926" ht="12" customHeight="1"/>
    <row r="1927" ht="12" customHeight="1"/>
    <row r="1928" ht="12" customHeight="1"/>
    <row r="1929" ht="12" customHeight="1"/>
    <row r="1930" ht="12" customHeight="1"/>
    <row r="1931" ht="12" customHeight="1"/>
    <row r="1932" ht="12" customHeight="1"/>
    <row r="1933" ht="12" customHeight="1"/>
    <row r="1934" ht="12" customHeight="1"/>
    <row r="1935" ht="12" customHeight="1"/>
    <row r="1936" ht="12" customHeight="1"/>
    <row r="1937" ht="12" customHeight="1"/>
    <row r="1938" ht="12" customHeight="1"/>
    <row r="1939" ht="12" customHeight="1"/>
    <row r="1940" ht="12" customHeight="1"/>
    <row r="1941" ht="12" customHeight="1"/>
    <row r="1942" ht="12" customHeight="1"/>
    <row r="1943" ht="12" customHeight="1"/>
    <row r="1944" ht="12" customHeight="1"/>
    <row r="1945" ht="12" customHeight="1"/>
    <row r="1946" ht="12" customHeight="1"/>
    <row r="1947" ht="12" customHeight="1"/>
    <row r="1948" ht="12" customHeight="1"/>
    <row r="1949" ht="12" customHeight="1"/>
    <row r="1950" ht="12" customHeight="1"/>
    <row r="1951" ht="12" customHeight="1"/>
    <row r="1952" ht="12" customHeight="1"/>
    <row r="1953" ht="12" customHeight="1"/>
    <row r="1954" ht="12" customHeight="1"/>
    <row r="1955" ht="12" customHeight="1"/>
    <row r="1956" ht="12" customHeight="1"/>
    <row r="1957" ht="12" customHeight="1"/>
    <row r="1958" ht="12" customHeight="1"/>
    <row r="1959" ht="12" customHeight="1"/>
    <row r="1960" ht="12" customHeight="1"/>
    <row r="1961" ht="12" customHeight="1"/>
    <row r="1962" ht="12" customHeight="1"/>
    <row r="1963" ht="12" customHeight="1"/>
    <row r="1964" ht="12" customHeight="1"/>
    <row r="1965" ht="12" customHeight="1"/>
    <row r="1966" ht="12" customHeight="1"/>
    <row r="1967" ht="12" customHeight="1"/>
    <row r="1968" ht="12" customHeight="1"/>
    <row r="1969" ht="12" customHeight="1"/>
    <row r="1970" ht="12" customHeight="1"/>
    <row r="1971" ht="12" customHeight="1"/>
    <row r="1972" ht="12" customHeight="1"/>
    <row r="1973" ht="12" customHeight="1"/>
    <row r="1974" ht="12" customHeight="1"/>
    <row r="1975" ht="12" customHeight="1"/>
    <row r="1976" ht="12" customHeight="1"/>
    <row r="1977" ht="12" customHeight="1"/>
    <row r="1978" ht="12" customHeight="1"/>
    <row r="1979" ht="12" customHeight="1"/>
    <row r="1980" ht="12" customHeight="1"/>
    <row r="1981" ht="12" customHeight="1"/>
    <row r="1982" ht="12" customHeight="1"/>
    <row r="1983" ht="12" customHeight="1"/>
    <row r="1984" ht="12" customHeight="1"/>
    <row r="1985" ht="12" customHeight="1"/>
    <row r="1986" ht="12" customHeight="1"/>
    <row r="1987" ht="12" customHeight="1"/>
    <row r="1988" ht="12" customHeight="1"/>
    <row r="1989" ht="12" customHeight="1"/>
    <row r="1990" ht="12" customHeight="1"/>
    <row r="1991" ht="12" customHeight="1"/>
    <row r="1992" ht="12" customHeight="1"/>
    <row r="1993" ht="12" customHeight="1"/>
    <row r="1994" ht="12" customHeight="1"/>
    <row r="1995" ht="12" customHeight="1"/>
    <row r="1996" ht="12" customHeight="1"/>
    <row r="1997" ht="12" customHeight="1"/>
    <row r="1998" ht="12" customHeight="1"/>
    <row r="1999" ht="12" customHeight="1"/>
    <row r="2000" ht="12" customHeight="1"/>
    <row r="2001" ht="12" customHeight="1"/>
    <row r="2002" ht="12" customHeight="1"/>
    <row r="2003" ht="12" customHeight="1"/>
    <row r="2004" ht="12" customHeight="1"/>
    <row r="2005" ht="12" customHeight="1"/>
    <row r="2006" ht="12" customHeight="1"/>
    <row r="2007" ht="12" customHeight="1"/>
    <row r="2008" ht="12" customHeight="1"/>
    <row r="2009" ht="12" customHeight="1"/>
    <row r="2010" ht="12" customHeight="1"/>
    <row r="2011" ht="12" customHeight="1"/>
    <row r="2012" ht="12" customHeight="1"/>
    <row r="2013" ht="12" customHeight="1"/>
    <row r="2014" ht="12" customHeight="1"/>
    <row r="2015" ht="12" customHeight="1"/>
    <row r="2016" ht="12" customHeight="1"/>
    <row r="2017" ht="12" customHeight="1"/>
    <row r="2018" ht="12" customHeight="1"/>
    <row r="2019" ht="12" customHeight="1"/>
    <row r="2020" ht="12" customHeight="1"/>
    <row r="2021" ht="12" customHeight="1"/>
    <row r="2022" ht="12" customHeight="1"/>
    <row r="2023" ht="12" customHeight="1"/>
    <row r="2024" ht="12" customHeight="1"/>
    <row r="2025" ht="12" customHeight="1"/>
    <row r="2026" ht="12" customHeight="1"/>
    <row r="2027" ht="12" customHeight="1"/>
    <row r="2028" ht="12" customHeight="1"/>
    <row r="2029" ht="12" customHeight="1"/>
    <row r="2030" ht="12" customHeight="1"/>
    <row r="2031" ht="12" customHeight="1"/>
    <row r="2032" ht="12" customHeight="1"/>
    <row r="2033" ht="12" customHeight="1"/>
    <row r="2034" ht="12" customHeight="1"/>
    <row r="2035" ht="12" customHeight="1"/>
    <row r="2036" ht="12" customHeight="1"/>
    <row r="2037" ht="12" customHeight="1"/>
    <row r="2038" ht="12" customHeight="1"/>
    <row r="2039" ht="12" customHeight="1"/>
    <row r="2040" ht="12" customHeight="1"/>
    <row r="2041" ht="12" customHeight="1"/>
    <row r="2042" ht="12" customHeight="1"/>
    <row r="2043" ht="12" customHeight="1"/>
    <row r="2044" ht="12" customHeight="1"/>
    <row r="2045" ht="12" customHeight="1"/>
    <row r="2046" ht="12" customHeight="1"/>
    <row r="2047" ht="12" customHeight="1"/>
    <row r="2048" ht="12" customHeight="1"/>
    <row r="2049" ht="12" customHeight="1"/>
    <row r="2050" ht="12" customHeight="1"/>
    <row r="2051" ht="12" customHeight="1"/>
    <row r="2052" ht="12" customHeight="1"/>
    <row r="2053" ht="12" customHeight="1"/>
    <row r="2054" ht="12" customHeight="1"/>
    <row r="2055" ht="12" customHeight="1"/>
    <row r="2056" ht="12" customHeight="1"/>
    <row r="2057" ht="12" customHeight="1"/>
    <row r="2058" ht="12" customHeight="1"/>
    <row r="2059" ht="12" customHeight="1"/>
    <row r="2060" ht="12" customHeight="1"/>
    <row r="2061" ht="12" customHeight="1"/>
    <row r="2062" ht="12" customHeight="1"/>
    <row r="2063" ht="12" customHeight="1"/>
    <row r="2064" ht="12" customHeight="1"/>
    <row r="2065" ht="12" customHeight="1"/>
    <row r="2066" ht="12" customHeight="1"/>
    <row r="2067" ht="12" customHeight="1"/>
    <row r="2068" ht="12" customHeight="1"/>
    <row r="2069" ht="12" customHeight="1"/>
    <row r="2070" ht="12" customHeight="1"/>
    <row r="2071" ht="12" customHeight="1"/>
    <row r="2072" ht="12" customHeight="1"/>
    <row r="2073" ht="12" customHeight="1"/>
    <row r="2074" ht="12" customHeight="1"/>
    <row r="2075" ht="12" customHeight="1"/>
    <row r="2076" ht="12" customHeight="1"/>
    <row r="2077" ht="12" customHeight="1"/>
    <row r="2078" ht="12" customHeight="1"/>
    <row r="2079" ht="12" customHeight="1"/>
    <row r="2080" ht="12" customHeight="1"/>
    <row r="2081" ht="12" customHeight="1"/>
    <row r="2082" ht="12" customHeight="1"/>
    <row r="2083" ht="12" customHeight="1"/>
    <row r="2084" ht="12" customHeight="1"/>
    <row r="2085" ht="12" customHeight="1"/>
    <row r="2086" ht="12" customHeight="1"/>
    <row r="2087" ht="12" customHeight="1"/>
    <row r="2088" ht="12" customHeight="1"/>
    <row r="2089" ht="12" customHeight="1"/>
    <row r="2090" ht="12" customHeight="1"/>
    <row r="2091" ht="12" customHeight="1"/>
    <row r="2092" ht="12" customHeight="1"/>
    <row r="2093" ht="12" customHeight="1"/>
    <row r="2094" ht="12" customHeight="1"/>
    <row r="2095" ht="12" customHeight="1"/>
    <row r="2096" ht="12" customHeight="1"/>
    <row r="2097" ht="12" customHeight="1"/>
    <row r="2098" ht="12" customHeight="1"/>
    <row r="2099" ht="12" customHeight="1"/>
    <row r="2100" ht="12" customHeight="1"/>
    <row r="2101" ht="12" customHeight="1"/>
    <row r="2102" ht="12" customHeight="1"/>
    <row r="2103" ht="12" customHeight="1"/>
    <row r="2104" ht="12" customHeight="1"/>
    <row r="2105" ht="12" customHeight="1"/>
    <row r="2106" ht="12" customHeight="1"/>
    <row r="2107" ht="12" customHeight="1"/>
    <row r="2108" ht="12" customHeight="1"/>
    <row r="2109" ht="12" customHeight="1"/>
    <row r="2110" ht="12" customHeight="1"/>
    <row r="2111" ht="12" customHeight="1"/>
    <row r="2112" ht="12" customHeight="1"/>
    <row r="2113" ht="12" customHeight="1"/>
    <row r="2114" ht="12" customHeight="1"/>
    <row r="2115" ht="12" customHeight="1"/>
    <row r="2116" ht="12" customHeight="1"/>
    <row r="2117" ht="12" customHeight="1"/>
    <row r="2118" ht="12" customHeight="1"/>
    <row r="2119" ht="12" customHeight="1"/>
    <row r="2120" ht="12" customHeight="1"/>
    <row r="2121" ht="12" customHeight="1"/>
    <row r="2122" ht="12" customHeight="1"/>
    <row r="2123" ht="12" customHeight="1"/>
    <row r="2124" ht="12" customHeight="1"/>
    <row r="2125" ht="12" customHeight="1"/>
    <row r="2126" ht="12" customHeight="1"/>
    <row r="2127" ht="12" customHeight="1"/>
    <row r="2128" ht="12" customHeight="1"/>
    <row r="2129" ht="12" customHeight="1"/>
    <row r="2130" ht="12" customHeight="1"/>
    <row r="2131" ht="12" customHeight="1"/>
    <row r="2132" ht="12" customHeight="1"/>
    <row r="2133" ht="12" customHeight="1"/>
    <row r="2134" ht="12" customHeight="1"/>
    <row r="2135" ht="12" customHeight="1"/>
    <row r="2136" ht="12" customHeight="1"/>
    <row r="2137" ht="12" customHeight="1"/>
    <row r="2138" ht="12" customHeight="1"/>
    <row r="2139" ht="12" customHeight="1"/>
    <row r="2140" ht="12" customHeight="1"/>
    <row r="2141" ht="12" customHeight="1"/>
    <row r="2142" ht="12" customHeight="1"/>
    <row r="2143" ht="12" customHeight="1"/>
    <row r="2144" ht="12" customHeight="1"/>
    <row r="2145" ht="12" customHeight="1"/>
    <row r="2146" ht="12" customHeight="1"/>
    <row r="2147" ht="12" customHeight="1"/>
    <row r="2148" ht="12" customHeight="1"/>
    <row r="2149" ht="12" customHeight="1"/>
    <row r="2150" ht="12" customHeight="1"/>
    <row r="2151" ht="12" customHeight="1"/>
    <row r="2152" ht="12" customHeight="1"/>
    <row r="2153" ht="12" customHeight="1"/>
    <row r="2154" ht="12" customHeight="1"/>
    <row r="2155" ht="12" customHeight="1"/>
    <row r="2156" ht="12" customHeight="1"/>
    <row r="2157" ht="12" customHeight="1"/>
    <row r="2158" ht="12" customHeight="1"/>
    <row r="2159" ht="12" customHeight="1"/>
    <row r="2160" ht="12" customHeight="1"/>
    <row r="2161" ht="12" customHeight="1"/>
    <row r="2162" ht="12" customHeight="1"/>
    <row r="2163" ht="12" customHeight="1"/>
    <row r="2164" ht="12" customHeight="1"/>
    <row r="2165" ht="12" customHeight="1"/>
    <row r="2166" ht="12" customHeight="1"/>
    <row r="2167" ht="12" customHeight="1"/>
    <row r="2168" ht="12" customHeight="1"/>
    <row r="2169" ht="12" customHeight="1"/>
    <row r="2170" ht="12" customHeight="1"/>
    <row r="2171" ht="12" customHeight="1"/>
    <row r="2172" ht="12" customHeight="1"/>
    <row r="2173" ht="12" customHeight="1"/>
    <row r="2174" ht="12" customHeight="1"/>
    <row r="2175" ht="12" customHeight="1"/>
    <row r="2176" ht="12" customHeight="1"/>
    <row r="2177" ht="12" customHeight="1"/>
    <row r="2178" ht="12" customHeight="1"/>
    <row r="2179" ht="12" customHeight="1"/>
    <row r="2180" ht="12" customHeight="1"/>
    <row r="2181" ht="12" customHeight="1"/>
    <row r="2182" ht="12" customHeight="1"/>
    <row r="2183" ht="12" customHeight="1"/>
    <row r="2184" ht="12" customHeight="1"/>
    <row r="2185" ht="12" customHeight="1"/>
    <row r="2186" ht="12" customHeight="1"/>
    <row r="2187" ht="12" customHeight="1"/>
    <row r="2188" ht="12" customHeight="1"/>
    <row r="2189" ht="12" customHeight="1"/>
    <row r="2190" ht="12" customHeight="1"/>
    <row r="2191" ht="12" customHeight="1"/>
    <row r="2192" ht="12" customHeight="1"/>
    <row r="2193" ht="12" customHeight="1"/>
    <row r="2194" ht="12" customHeight="1"/>
    <row r="2195" ht="12" customHeight="1"/>
    <row r="2196" ht="12" customHeight="1"/>
    <row r="2197" ht="12" customHeight="1"/>
    <row r="2198" ht="12" customHeight="1"/>
    <row r="2199" ht="12" customHeight="1"/>
    <row r="2200" ht="12" customHeight="1"/>
    <row r="2201" ht="12" customHeight="1"/>
    <row r="2202" ht="12" customHeight="1"/>
    <row r="2203" ht="12" customHeight="1"/>
    <row r="2204" ht="12" customHeight="1"/>
    <row r="2205" ht="12" customHeight="1"/>
    <row r="2206" ht="12" customHeight="1"/>
    <row r="2207" ht="12" customHeight="1"/>
    <row r="2208" ht="12" customHeight="1"/>
    <row r="2209" ht="12" customHeight="1"/>
    <row r="2210" ht="12" customHeight="1"/>
    <row r="2211" ht="12" customHeight="1"/>
    <row r="2212" ht="12" customHeight="1"/>
    <row r="2213" ht="12" customHeight="1"/>
    <row r="2214" ht="12" customHeight="1"/>
    <row r="2215" ht="12" customHeight="1"/>
    <row r="2216" ht="12" customHeight="1"/>
    <row r="2217" ht="12" customHeight="1"/>
    <row r="2218" ht="12" customHeight="1"/>
    <row r="2219" ht="12" customHeight="1"/>
    <row r="2220" ht="12" customHeight="1"/>
    <row r="2221" ht="12" customHeight="1"/>
    <row r="2222" ht="12" customHeight="1"/>
    <row r="2223" ht="12" customHeight="1"/>
    <row r="2224" ht="12" customHeight="1"/>
    <row r="2225" ht="12" customHeight="1"/>
    <row r="2226" ht="12" customHeight="1"/>
    <row r="2227" ht="12" customHeight="1"/>
    <row r="2228" ht="12" customHeight="1"/>
    <row r="2229" ht="12" customHeight="1"/>
    <row r="2230" ht="12" customHeight="1"/>
    <row r="2231" ht="12" customHeight="1"/>
    <row r="2232" ht="12" customHeight="1"/>
    <row r="2233" ht="12" customHeight="1"/>
    <row r="2234" ht="12" customHeight="1"/>
    <row r="2235" ht="12" customHeight="1"/>
    <row r="2236" ht="12" customHeight="1"/>
    <row r="2237" ht="12" customHeight="1"/>
    <row r="2238" ht="12" customHeight="1"/>
    <row r="2239" ht="12" customHeight="1"/>
    <row r="2240" ht="12" customHeight="1"/>
    <row r="2241" ht="12" customHeight="1"/>
    <row r="2242" ht="12" customHeight="1"/>
    <row r="2243" ht="12" customHeight="1"/>
    <row r="2244" ht="12" customHeight="1"/>
    <row r="2245" ht="12" customHeight="1"/>
    <row r="2246" ht="12" customHeight="1"/>
    <row r="2247" ht="12" customHeight="1"/>
    <row r="2248" ht="12" customHeight="1"/>
    <row r="2249" ht="12" customHeight="1"/>
    <row r="2250" ht="12" customHeight="1"/>
    <row r="2251" ht="12" customHeight="1"/>
    <row r="2252" ht="12" customHeight="1"/>
    <row r="2253" ht="12" customHeight="1"/>
    <row r="2254" ht="12" customHeight="1"/>
    <row r="2255" ht="12" customHeight="1"/>
    <row r="2256" ht="12" customHeight="1"/>
    <row r="2257" ht="12" customHeight="1"/>
    <row r="2258" ht="12" customHeight="1"/>
    <row r="2259" ht="12" customHeight="1"/>
    <row r="2260" ht="12" customHeight="1"/>
    <row r="2261" ht="12" customHeight="1"/>
    <row r="2262" ht="12" customHeight="1"/>
    <row r="2263" ht="12" customHeight="1"/>
    <row r="2264" ht="12" customHeight="1"/>
    <row r="2265" ht="12" customHeight="1"/>
    <row r="2266" ht="12" customHeight="1"/>
    <row r="2267" ht="12" customHeight="1"/>
    <row r="2268" ht="12" customHeight="1"/>
    <row r="2269" ht="12" customHeight="1"/>
    <row r="2270" ht="12" customHeight="1"/>
    <row r="2271" ht="12" customHeight="1"/>
    <row r="2272" ht="12" customHeight="1"/>
    <row r="2273" ht="12" customHeight="1"/>
    <row r="2274" ht="12" customHeight="1"/>
    <row r="2275" ht="12" customHeight="1"/>
    <row r="2276" ht="12" customHeight="1"/>
    <row r="2277" ht="12" customHeight="1"/>
    <row r="2278" ht="12" customHeight="1"/>
    <row r="2279" ht="12" customHeight="1"/>
    <row r="2280" ht="12" customHeight="1"/>
    <row r="2281" ht="12" customHeight="1"/>
    <row r="2282" ht="12" customHeight="1"/>
    <row r="2283" ht="12" customHeight="1"/>
    <row r="2284" ht="12" customHeight="1"/>
    <row r="2285" ht="12" customHeight="1"/>
    <row r="2286" ht="12" customHeight="1"/>
    <row r="2287" ht="12" customHeight="1"/>
    <row r="2288" ht="12" customHeight="1"/>
    <row r="2289" ht="12" customHeight="1"/>
    <row r="2290" ht="12" customHeight="1"/>
    <row r="2291" ht="12" customHeight="1"/>
    <row r="2292" ht="12" customHeight="1"/>
    <row r="2293" ht="12" customHeight="1"/>
    <row r="2294" ht="12" customHeight="1"/>
    <row r="2295" ht="12" customHeight="1"/>
    <row r="2296" ht="12" customHeight="1"/>
    <row r="2297" ht="12" customHeight="1"/>
    <row r="2298" ht="12" customHeight="1"/>
    <row r="2299" ht="12" customHeight="1"/>
    <row r="2300" ht="12" customHeight="1"/>
    <row r="2301" ht="12" customHeight="1"/>
    <row r="2302" ht="12" customHeight="1"/>
    <row r="2303" ht="12" customHeight="1"/>
    <row r="2304" ht="12" customHeight="1"/>
    <row r="2305" ht="12" customHeight="1"/>
    <row r="2306" ht="12" customHeight="1"/>
    <row r="2307" ht="12" customHeight="1"/>
    <row r="2308" ht="12" customHeight="1"/>
    <row r="2309" ht="12" customHeight="1"/>
    <row r="2310" ht="12" customHeight="1"/>
    <row r="2311" ht="12" customHeight="1"/>
    <row r="2312" ht="12" customHeight="1"/>
    <row r="2313" ht="12" customHeight="1"/>
    <row r="2314" ht="12" customHeight="1"/>
    <row r="2315" ht="12" customHeight="1"/>
    <row r="2316" ht="12" customHeight="1"/>
    <row r="2317" ht="12" customHeight="1"/>
    <row r="2318" ht="12" customHeight="1"/>
    <row r="2319" ht="12" customHeight="1"/>
    <row r="2320" ht="12" customHeight="1"/>
    <row r="2321" ht="12" customHeight="1"/>
    <row r="2322" ht="12" customHeight="1"/>
    <row r="2323" ht="12" customHeight="1"/>
    <row r="2324" ht="12" customHeight="1"/>
    <row r="2325" ht="12" customHeight="1"/>
    <row r="2326" ht="12" customHeight="1"/>
    <row r="2327" ht="12" customHeight="1"/>
    <row r="2328" ht="12" customHeight="1"/>
    <row r="2329" ht="12" customHeight="1"/>
    <row r="2330" ht="12" customHeight="1"/>
    <row r="2331" ht="12" customHeight="1"/>
    <row r="2332" ht="12" customHeight="1"/>
    <row r="2333" ht="12" customHeight="1"/>
    <row r="2334" ht="12" customHeight="1"/>
    <row r="2335" ht="12" customHeight="1"/>
    <row r="2336" ht="12" customHeight="1"/>
    <row r="2337" ht="12" customHeight="1"/>
    <row r="2338" ht="12" customHeight="1"/>
    <row r="2339" ht="12" customHeight="1"/>
    <row r="2340" ht="12" customHeight="1"/>
    <row r="2341" ht="12" customHeight="1"/>
    <row r="2342" ht="12" customHeight="1"/>
    <row r="2343" ht="12" customHeight="1"/>
    <row r="2344" ht="12" customHeight="1"/>
    <row r="2345" ht="12" customHeight="1"/>
    <row r="2346" ht="12" customHeight="1"/>
    <row r="2347" ht="12" customHeight="1"/>
    <row r="2348" ht="12" customHeight="1"/>
    <row r="2349" ht="12" customHeight="1"/>
    <row r="2350" ht="12" customHeight="1"/>
    <row r="2351" ht="12" customHeight="1"/>
    <row r="2352" ht="12" customHeight="1"/>
    <row r="2353" ht="12" customHeight="1"/>
    <row r="2354" ht="12" customHeight="1"/>
    <row r="2355" ht="12" customHeight="1"/>
    <row r="2356" ht="12" customHeight="1"/>
    <row r="2357" ht="12" customHeight="1"/>
    <row r="2358" ht="12" customHeight="1"/>
    <row r="2359" ht="12" customHeight="1"/>
    <row r="2360" ht="12" customHeight="1"/>
    <row r="2361" ht="12" customHeight="1"/>
    <row r="2362" ht="12" customHeight="1"/>
    <row r="2363" ht="12" customHeight="1"/>
    <row r="2364" ht="12" customHeight="1"/>
    <row r="2365" ht="12" customHeight="1"/>
    <row r="2366" ht="12" customHeight="1"/>
    <row r="2367" ht="12" customHeight="1"/>
    <row r="2368" ht="12" customHeight="1"/>
    <row r="2369" ht="12" customHeight="1"/>
    <row r="2370" ht="12" customHeight="1"/>
    <row r="2371" ht="12" customHeight="1"/>
    <row r="2372" ht="12" customHeight="1"/>
    <row r="2373" ht="12" customHeight="1"/>
    <row r="2374" ht="12" customHeight="1"/>
    <row r="2375" ht="12" customHeight="1"/>
    <row r="2376" ht="12" customHeight="1"/>
    <row r="2377" ht="12" customHeight="1"/>
    <row r="2378" ht="12" customHeight="1"/>
    <row r="2379" ht="12" customHeight="1"/>
    <row r="2380" ht="12" customHeight="1"/>
    <row r="2381" ht="12" customHeight="1"/>
    <row r="2382" ht="12" customHeight="1"/>
    <row r="2383" ht="12" customHeight="1"/>
    <row r="2384" ht="12" customHeight="1"/>
    <row r="2385" ht="12" customHeight="1"/>
    <row r="2386" ht="12" customHeight="1"/>
    <row r="2387" ht="12" customHeight="1"/>
    <row r="2388" ht="12" customHeight="1"/>
    <row r="2389" ht="12" customHeight="1"/>
    <row r="2390" ht="12" customHeight="1"/>
    <row r="2391" ht="12" customHeight="1"/>
    <row r="2392" ht="12" customHeight="1"/>
    <row r="2393" ht="12" customHeight="1"/>
    <row r="2394" ht="12" customHeight="1"/>
    <row r="2395" ht="12" customHeight="1"/>
    <row r="2396" ht="12" customHeight="1"/>
    <row r="2397" ht="12" customHeight="1"/>
    <row r="2398" ht="12" customHeight="1"/>
    <row r="2399" ht="12" customHeight="1"/>
    <row r="2400" ht="12" customHeight="1"/>
    <row r="2401" ht="12" customHeight="1"/>
    <row r="2402" ht="12" customHeight="1"/>
    <row r="2403" ht="12" customHeight="1"/>
    <row r="2404" ht="12" customHeight="1"/>
    <row r="2405" ht="12" customHeight="1"/>
    <row r="2406" ht="12" customHeight="1"/>
    <row r="2407" ht="12" customHeight="1"/>
    <row r="2408" ht="12" customHeight="1"/>
    <row r="2409" ht="12" customHeight="1"/>
    <row r="2410" ht="12" customHeight="1"/>
    <row r="2411" ht="12" customHeight="1"/>
    <row r="2412" ht="12" customHeight="1"/>
    <row r="2413" ht="12" customHeight="1"/>
    <row r="2414" ht="12" customHeight="1"/>
    <row r="2415" ht="12" customHeight="1"/>
    <row r="2416" ht="12" customHeight="1"/>
    <row r="2417" ht="12" customHeight="1"/>
    <row r="2418" ht="12" customHeight="1"/>
    <row r="2419" ht="12" customHeight="1"/>
    <row r="2420" ht="12" customHeight="1"/>
    <row r="2421" ht="12" customHeight="1"/>
    <row r="2422" ht="12" customHeight="1"/>
    <row r="2423" ht="12" customHeight="1"/>
    <row r="2424" ht="12" customHeight="1"/>
    <row r="2425" ht="12" customHeight="1"/>
    <row r="2426" ht="12" customHeight="1"/>
    <row r="2427" ht="12" customHeight="1"/>
    <row r="2428" ht="12" customHeight="1"/>
    <row r="2429" ht="12" customHeight="1"/>
    <row r="2430" ht="12" customHeight="1"/>
    <row r="2431" ht="12" customHeight="1"/>
    <row r="2432" ht="12" customHeight="1"/>
    <row r="2433" ht="12" customHeight="1"/>
    <row r="2434" ht="12" customHeight="1"/>
    <row r="2435" ht="12" customHeight="1"/>
    <row r="2436" ht="12" customHeight="1"/>
    <row r="2437" ht="12" customHeight="1"/>
    <row r="2438" ht="12" customHeight="1"/>
    <row r="2439" ht="12" customHeight="1"/>
    <row r="2440" ht="12" customHeight="1"/>
    <row r="2441" ht="12" customHeight="1"/>
    <row r="2442" ht="12" customHeight="1"/>
    <row r="2443" ht="12" customHeight="1"/>
    <row r="2444" ht="12" customHeight="1"/>
    <row r="2445" ht="12" customHeight="1"/>
    <row r="2446" ht="12" customHeight="1"/>
    <row r="2447" ht="12" customHeight="1"/>
    <row r="2448" ht="12" customHeight="1"/>
    <row r="2449" ht="12" customHeight="1"/>
    <row r="2450" ht="12" customHeight="1"/>
    <row r="2451" ht="12" customHeight="1"/>
    <row r="2452" ht="12" customHeight="1"/>
    <row r="2453" ht="12" customHeight="1"/>
    <row r="2454" ht="12" customHeight="1"/>
    <row r="2455" ht="12" customHeight="1"/>
    <row r="2456" ht="12" customHeight="1"/>
    <row r="2457" ht="12" customHeight="1"/>
    <row r="2458" ht="12" customHeight="1"/>
    <row r="2459" ht="12" customHeight="1"/>
    <row r="2460" ht="12" customHeight="1"/>
    <row r="2461" ht="12" customHeight="1"/>
    <row r="2462" ht="12" customHeight="1"/>
    <row r="2463" ht="12" customHeight="1"/>
    <row r="2464" ht="12" customHeight="1"/>
    <row r="2465" ht="12" customHeight="1"/>
    <row r="2466" ht="12" customHeight="1"/>
    <row r="2467" ht="12" customHeight="1"/>
    <row r="2468" ht="12" customHeight="1"/>
    <row r="2469" ht="12" customHeight="1"/>
    <row r="2470" ht="12" customHeight="1"/>
    <row r="2471" ht="12" customHeight="1"/>
    <row r="2472" ht="12" customHeight="1"/>
    <row r="2473" ht="12" customHeight="1"/>
    <row r="2474" ht="12" customHeight="1"/>
    <row r="2475" ht="12" customHeight="1"/>
    <row r="2476" ht="12" customHeight="1"/>
    <row r="2477" ht="12" customHeight="1"/>
    <row r="2478" ht="12" customHeight="1"/>
    <row r="2479" ht="12" customHeight="1"/>
    <row r="2480" ht="12" customHeight="1"/>
    <row r="2481" ht="12" customHeight="1"/>
    <row r="2482" ht="12" customHeight="1"/>
    <row r="2483" ht="12" customHeight="1"/>
    <row r="2484" ht="12" customHeight="1"/>
    <row r="2485" ht="12" customHeight="1"/>
    <row r="2486" ht="12" customHeight="1"/>
    <row r="2487" ht="12" customHeight="1"/>
    <row r="2488" ht="12" customHeight="1"/>
    <row r="2489" ht="12" customHeight="1"/>
    <row r="2490" ht="12" customHeight="1"/>
    <row r="2491" ht="12" customHeight="1"/>
    <row r="2492" ht="12" customHeight="1"/>
    <row r="2493" ht="12" customHeight="1"/>
    <row r="2494" ht="12" customHeight="1"/>
    <row r="2495" ht="12" customHeight="1"/>
    <row r="2496" ht="12" customHeight="1"/>
    <row r="2497" ht="12" customHeight="1"/>
    <row r="2498" ht="12" customHeight="1"/>
    <row r="2499" ht="12" customHeight="1"/>
    <row r="2500" ht="12" customHeight="1"/>
    <row r="2501" ht="12" customHeight="1"/>
    <row r="2502" ht="12" customHeight="1"/>
    <row r="2503" ht="12" customHeight="1"/>
    <row r="2504" ht="12" customHeight="1"/>
    <row r="2505" ht="12" customHeight="1"/>
    <row r="2506" ht="12" customHeight="1"/>
    <row r="2507" ht="12" customHeight="1"/>
    <row r="2508" ht="12" customHeight="1"/>
    <row r="2509" ht="12" customHeight="1"/>
    <row r="2510" ht="12" customHeight="1"/>
    <row r="2511" ht="12" customHeight="1"/>
    <row r="2512" ht="12" customHeight="1"/>
    <row r="2513" ht="12" customHeight="1"/>
    <row r="2514" ht="12" customHeight="1"/>
    <row r="2515" ht="12" customHeight="1"/>
    <row r="2516" ht="12" customHeight="1"/>
    <row r="2517" ht="12" customHeight="1"/>
    <row r="2518" ht="12" customHeight="1"/>
    <row r="2519" ht="12" customHeight="1"/>
    <row r="2520" ht="12" customHeight="1"/>
    <row r="2521" ht="12" customHeight="1"/>
    <row r="2522" ht="12" customHeight="1"/>
    <row r="2523" ht="12" customHeight="1"/>
    <row r="2524" ht="12" customHeight="1"/>
    <row r="2525" ht="12" customHeight="1"/>
    <row r="2526" ht="12" customHeight="1"/>
    <row r="2527" ht="12" customHeight="1"/>
    <row r="2528" ht="12" customHeight="1"/>
    <row r="2529" ht="12" customHeight="1"/>
    <row r="2530" ht="12" customHeight="1"/>
    <row r="2531" ht="12" customHeight="1"/>
    <row r="2532" ht="12" customHeight="1"/>
    <row r="2533" ht="12" customHeight="1"/>
    <row r="2534" ht="12" customHeight="1"/>
    <row r="2535" ht="12" customHeight="1"/>
    <row r="2536" ht="12" customHeight="1"/>
    <row r="2537" ht="12" customHeight="1"/>
    <row r="2538" ht="12" customHeight="1"/>
    <row r="2539" ht="12" customHeight="1"/>
    <row r="2540" ht="12" customHeight="1"/>
    <row r="2541" ht="12" customHeight="1"/>
    <row r="2542" ht="12" customHeight="1"/>
    <row r="2543" ht="12" customHeight="1"/>
    <row r="2544" ht="12" customHeight="1"/>
    <row r="2545" ht="12" customHeight="1"/>
    <row r="2546" ht="12" customHeight="1"/>
    <row r="2547" ht="12" customHeight="1"/>
    <row r="2548" ht="12" customHeight="1"/>
    <row r="2549" ht="12" customHeight="1"/>
    <row r="2550" ht="12" customHeight="1"/>
    <row r="2551" ht="12" customHeight="1"/>
    <row r="2552" ht="12" customHeight="1"/>
    <row r="2553" ht="12" customHeight="1"/>
    <row r="2554" ht="12" customHeight="1"/>
    <row r="2555" ht="12" customHeight="1"/>
    <row r="2556" ht="12" customHeight="1"/>
    <row r="2557" ht="12" customHeight="1"/>
    <row r="2558" ht="12" customHeight="1"/>
    <row r="2559" ht="12" customHeight="1"/>
    <row r="2560" ht="12" customHeight="1"/>
    <row r="2561" ht="12" customHeight="1"/>
    <row r="2562" ht="12" customHeight="1"/>
    <row r="2563" ht="12" customHeight="1"/>
    <row r="2564" ht="12" customHeight="1"/>
    <row r="2565" ht="12" customHeight="1"/>
    <row r="2566" ht="12" customHeight="1"/>
    <row r="2567" ht="12" customHeight="1"/>
    <row r="2568" ht="12" customHeight="1"/>
    <row r="2569" ht="12" customHeight="1"/>
    <row r="2570" ht="12" customHeight="1"/>
    <row r="2571" ht="12" customHeight="1"/>
    <row r="2572" ht="12" customHeight="1"/>
    <row r="2573" ht="12" customHeight="1"/>
    <row r="2574" ht="12" customHeight="1"/>
    <row r="2575" ht="12" customHeight="1"/>
    <row r="2576" ht="12" customHeight="1"/>
    <row r="2577" ht="12" customHeight="1"/>
    <row r="2578" ht="12" customHeight="1"/>
    <row r="2579" ht="12" customHeight="1"/>
    <row r="2580" ht="12" customHeight="1"/>
    <row r="2581" ht="12" customHeight="1"/>
    <row r="2582" ht="12" customHeight="1"/>
    <row r="2583" ht="12" customHeight="1"/>
    <row r="2584" ht="12" customHeight="1"/>
    <row r="2585" ht="12" customHeight="1"/>
    <row r="2586" ht="12" customHeight="1"/>
    <row r="2587" ht="12" customHeight="1"/>
    <row r="2588" ht="12" customHeight="1"/>
    <row r="2589" ht="12" customHeight="1"/>
    <row r="2590" ht="12" customHeight="1"/>
    <row r="2591" ht="12" customHeight="1"/>
    <row r="2592" ht="12" customHeight="1"/>
    <row r="2593" ht="12" customHeight="1"/>
    <row r="2594" ht="12" customHeight="1"/>
    <row r="2595" ht="12" customHeight="1"/>
    <row r="2596" ht="12" customHeight="1"/>
    <row r="2597" ht="12" customHeight="1"/>
    <row r="2598" ht="12" customHeight="1"/>
    <row r="2599" ht="12" customHeight="1"/>
    <row r="2600" ht="12" customHeight="1"/>
    <row r="2601" ht="12" customHeight="1"/>
    <row r="2602" ht="12" customHeight="1"/>
    <row r="2603" ht="12" customHeight="1"/>
    <row r="2604" ht="12" customHeight="1"/>
    <row r="2605" ht="12" customHeight="1"/>
    <row r="2606" ht="12" customHeight="1"/>
    <row r="2607" ht="12" customHeight="1"/>
    <row r="2608" ht="12" customHeight="1"/>
    <row r="2609" ht="12" customHeight="1"/>
    <row r="2610" ht="12" customHeight="1"/>
    <row r="2611" ht="12" customHeight="1"/>
    <row r="2612" ht="12" customHeight="1"/>
    <row r="2613" ht="12" customHeight="1"/>
    <row r="2614" ht="12" customHeight="1"/>
    <row r="2615" ht="12" customHeight="1"/>
    <row r="2616" ht="12" customHeight="1"/>
    <row r="2617" ht="12" customHeight="1"/>
    <row r="2618" ht="12" customHeight="1"/>
    <row r="2619" ht="12" customHeight="1"/>
    <row r="2620" ht="12" customHeight="1"/>
    <row r="2621" ht="12" customHeight="1"/>
    <row r="2622" ht="12" customHeight="1"/>
    <row r="2623" ht="12" customHeight="1"/>
    <row r="2624" ht="12" customHeight="1"/>
    <row r="2625" ht="12" customHeight="1"/>
    <row r="2626" ht="12" customHeight="1"/>
    <row r="2627" ht="12" customHeight="1"/>
    <row r="2628" ht="12" customHeight="1"/>
    <row r="2629" ht="12" customHeight="1"/>
    <row r="2630" ht="12" customHeight="1"/>
    <row r="2631" ht="12" customHeight="1"/>
    <row r="2632" ht="12" customHeight="1"/>
    <row r="2633" ht="12" customHeight="1"/>
    <row r="2634" ht="12" customHeight="1"/>
    <row r="2635" ht="12" customHeight="1"/>
    <row r="2636" ht="12" customHeight="1"/>
    <row r="2637" ht="12" customHeight="1"/>
    <row r="2638" ht="12" customHeight="1"/>
    <row r="2639" ht="12" customHeight="1"/>
    <row r="2640" ht="12" customHeight="1"/>
    <row r="2641" ht="12" customHeight="1"/>
    <row r="2642" ht="12" customHeight="1"/>
    <row r="2643" ht="12" customHeight="1"/>
    <row r="2644" ht="12" customHeight="1"/>
    <row r="2645" ht="12" customHeight="1"/>
    <row r="2646" ht="12" customHeight="1"/>
    <row r="2647" ht="12" customHeight="1"/>
    <row r="2648" ht="12" customHeight="1"/>
    <row r="2649" ht="12" customHeight="1"/>
    <row r="2650" ht="12" customHeight="1"/>
    <row r="2651" ht="12" customHeight="1"/>
    <row r="2652" ht="12" customHeight="1"/>
    <row r="2653" ht="12" customHeight="1"/>
    <row r="2654" ht="12" customHeight="1"/>
    <row r="2655" ht="12" customHeight="1"/>
    <row r="2656" ht="12" customHeight="1"/>
    <row r="2657" ht="12" customHeight="1"/>
    <row r="2658" ht="12" customHeight="1"/>
    <row r="2659" ht="12" customHeight="1"/>
    <row r="2660" ht="12" customHeight="1"/>
    <row r="2661" ht="12" customHeight="1"/>
    <row r="2662" ht="12" customHeight="1"/>
    <row r="2663" ht="12" customHeight="1"/>
    <row r="2664" ht="12" customHeight="1"/>
    <row r="2665" ht="12" customHeight="1"/>
    <row r="2666" ht="12" customHeight="1"/>
    <row r="2667" ht="12" customHeight="1"/>
    <row r="2668" ht="12" customHeight="1"/>
    <row r="2669" ht="12" customHeight="1"/>
    <row r="2670" ht="12" customHeight="1"/>
    <row r="2671" ht="12" customHeight="1"/>
    <row r="2672" ht="12" customHeight="1"/>
    <row r="2673" ht="12" customHeight="1"/>
    <row r="2674" ht="12" customHeight="1"/>
    <row r="2675" ht="12" customHeight="1"/>
    <row r="2676" ht="12" customHeight="1"/>
    <row r="2677" ht="12" customHeight="1"/>
    <row r="2678" ht="12" customHeight="1"/>
    <row r="2679" ht="12" customHeight="1"/>
    <row r="2680" ht="12" customHeight="1"/>
    <row r="2681" ht="12" customHeight="1"/>
    <row r="2682" ht="12" customHeight="1"/>
    <row r="2683" ht="12" customHeight="1"/>
    <row r="2684" ht="12" customHeight="1"/>
    <row r="2685" ht="12" customHeight="1"/>
    <row r="2686" ht="12" customHeight="1"/>
    <row r="2687" ht="12" customHeight="1"/>
    <row r="2688" ht="12" customHeight="1"/>
    <row r="2689" ht="12" customHeight="1"/>
    <row r="2690" ht="12" customHeight="1"/>
    <row r="2691" ht="12" customHeight="1"/>
    <row r="2692" ht="12" customHeight="1"/>
    <row r="2693" ht="12" customHeight="1"/>
    <row r="2694" ht="12" customHeight="1"/>
    <row r="2695" ht="12" customHeight="1"/>
    <row r="2696" ht="12" customHeight="1"/>
    <row r="2697" ht="12" customHeight="1"/>
    <row r="2698" ht="12" customHeight="1"/>
    <row r="2699" ht="12" customHeight="1"/>
    <row r="2700" ht="12" customHeight="1"/>
    <row r="2701" ht="12" customHeight="1"/>
    <row r="2702" ht="12" customHeight="1"/>
    <row r="2703" ht="12" customHeight="1"/>
    <row r="2704" ht="12" customHeight="1"/>
    <row r="2705" ht="12" customHeight="1"/>
    <row r="2706" ht="12" customHeight="1"/>
    <row r="2707" ht="12" customHeight="1"/>
    <row r="2708" ht="12" customHeight="1"/>
    <row r="2709" ht="12" customHeight="1"/>
    <row r="2710" ht="12" customHeight="1"/>
    <row r="2711" ht="12" customHeight="1"/>
    <row r="2712" ht="12" customHeight="1"/>
    <row r="2713" ht="12" customHeight="1"/>
    <row r="2714" ht="12" customHeight="1"/>
    <row r="2715" ht="12" customHeight="1"/>
    <row r="2716" ht="12" customHeight="1"/>
    <row r="2717" ht="12" customHeight="1"/>
    <row r="2718" ht="12" customHeight="1"/>
    <row r="2719" ht="12" customHeight="1"/>
    <row r="2720" ht="12" customHeight="1"/>
    <row r="2721" ht="12" customHeight="1"/>
    <row r="2722" ht="12" customHeight="1"/>
    <row r="2723" ht="12" customHeight="1"/>
    <row r="2724" ht="12" customHeight="1"/>
    <row r="2725" ht="12" customHeight="1"/>
    <row r="2726" ht="12" customHeight="1"/>
    <row r="2727" ht="12" customHeight="1"/>
    <row r="2728" ht="12" customHeight="1"/>
    <row r="2729" ht="12" customHeight="1"/>
    <row r="2730" ht="12" customHeight="1"/>
    <row r="2731" ht="12" customHeight="1"/>
    <row r="2732" ht="12" customHeight="1"/>
    <row r="2733" ht="12" customHeight="1"/>
    <row r="2734" ht="12" customHeight="1"/>
    <row r="2735" ht="12" customHeight="1"/>
    <row r="2736" ht="12" customHeight="1"/>
    <row r="2737" ht="12" customHeight="1"/>
    <row r="2738" ht="12" customHeight="1"/>
    <row r="2739" ht="12" customHeight="1"/>
    <row r="2740" ht="12" customHeight="1"/>
    <row r="2741" ht="12" customHeight="1"/>
    <row r="2742" ht="12" customHeight="1"/>
    <row r="2743" ht="12" customHeight="1"/>
    <row r="2744" ht="12" customHeight="1"/>
    <row r="2745" ht="12" customHeight="1"/>
    <row r="2746" ht="12" customHeight="1"/>
    <row r="2747" ht="12" customHeight="1"/>
    <row r="2748" ht="12" customHeight="1"/>
    <row r="2749" ht="12" customHeight="1"/>
    <row r="2750" ht="12" customHeight="1"/>
    <row r="2751" ht="12" customHeight="1"/>
    <row r="2752" ht="12" customHeight="1"/>
    <row r="2753" ht="12" customHeight="1"/>
    <row r="2754" ht="12" customHeight="1"/>
    <row r="2755" ht="12" customHeight="1"/>
    <row r="2756" ht="12" customHeight="1"/>
    <row r="2757" ht="12" customHeight="1"/>
    <row r="2758" ht="12" customHeight="1"/>
    <row r="2759" ht="12" customHeight="1"/>
    <row r="2760" ht="12" customHeight="1"/>
    <row r="2761" ht="12" customHeight="1"/>
    <row r="2762" ht="12" customHeight="1"/>
    <row r="2763" ht="12" customHeight="1"/>
    <row r="2764" ht="12" customHeight="1"/>
    <row r="2765" ht="12" customHeight="1"/>
    <row r="2766" ht="12" customHeight="1"/>
    <row r="2767" ht="12" customHeight="1"/>
    <row r="2768" ht="12" customHeight="1"/>
    <row r="2769" ht="12" customHeight="1"/>
    <row r="2770" ht="12" customHeight="1"/>
    <row r="2771" ht="12" customHeight="1"/>
    <row r="2772" ht="12" customHeight="1"/>
    <row r="2773" ht="12" customHeight="1"/>
    <row r="2774" ht="12" customHeight="1"/>
    <row r="2775" ht="12" customHeight="1"/>
    <row r="2776" ht="12" customHeight="1"/>
    <row r="2777" ht="12" customHeight="1"/>
    <row r="2778" ht="12" customHeight="1"/>
    <row r="2779" ht="12" customHeight="1"/>
    <row r="2780" ht="12" customHeight="1"/>
    <row r="2781" ht="12" customHeight="1"/>
    <row r="2782" ht="12" customHeight="1"/>
    <row r="2783" ht="12" customHeight="1"/>
    <row r="2784" ht="12" customHeight="1"/>
    <row r="2785" ht="12" customHeight="1"/>
    <row r="2786" ht="12" customHeight="1"/>
    <row r="2787" ht="12" customHeight="1"/>
    <row r="2788" ht="12" customHeight="1"/>
    <row r="2789" ht="12" customHeight="1"/>
    <row r="2790" ht="12" customHeight="1"/>
    <row r="2791" ht="12" customHeight="1"/>
    <row r="2792" ht="12" customHeight="1"/>
    <row r="2793" ht="12" customHeight="1"/>
    <row r="2794" ht="12" customHeight="1"/>
    <row r="2795" ht="12" customHeight="1"/>
    <row r="2796" ht="12" customHeight="1"/>
    <row r="2797" ht="12" customHeight="1"/>
    <row r="2798" ht="12" customHeight="1"/>
    <row r="2799" ht="12" customHeight="1"/>
    <row r="2800" ht="12" customHeight="1"/>
    <row r="2801" ht="12" customHeight="1"/>
    <row r="2802" ht="12" customHeight="1"/>
    <row r="2803" ht="12" customHeight="1"/>
    <row r="2804" ht="12" customHeight="1"/>
    <row r="2805" ht="12" customHeight="1"/>
    <row r="2806" ht="12" customHeight="1"/>
    <row r="2807" ht="12" customHeight="1"/>
    <row r="2808" ht="12" customHeight="1"/>
    <row r="2809" ht="12" customHeight="1"/>
    <row r="2810" ht="12" customHeight="1"/>
    <row r="2811" ht="12" customHeight="1"/>
    <row r="2812" ht="12" customHeight="1"/>
    <row r="2813" ht="12" customHeight="1"/>
    <row r="2814" ht="12" customHeight="1"/>
    <row r="2815" ht="12" customHeight="1"/>
    <row r="2816" ht="12" customHeight="1"/>
    <row r="2817" ht="12" customHeight="1"/>
    <row r="2818" ht="12" customHeight="1"/>
    <row r="2819" ht="12" customHeight="1"/>
    <row r="2820" ht="12" customHeight="1"/>
    <row r="2821" ht="12" customHeight="1"/>
    <row r="2822" ht="12" customHeight="1"/>
    <row r="2823" ht="12" customHeight="1"/>
    <row r="2824" ht="12" customHeight="1"/>
    <row r="2825" ht="12" customHeight="1"/>
    <row r="2826" ht="12" customHeight="1"/>
    <row r="2827" ht="12" customHeight="1"/>
    <row r="2828" ht="12" customHeight="1"/>
    <row r="2829" ht="12" customHeight="1"/>
    <row r="2830" ht="12" customHeight="1"/>
    <row r="2831" ht="12" customHeight="1"/>
    <row r="2832" ht="12" customHeight="1"/>
    <row r="2833" ht="12" customHeight="1"/>
    <row r="2834" ht="12" customHeight="1"/>
    <row r="2835" ht="12" customHeight="1"/>
    <row r="2836" ht="12" customHeight="1"/>
    <row r="2837" ht="12" customHeight="1"/>
    <row r="2838" ht="12" customHeight="1"/>
    <row r="2839" ht="12" customHeight="1"/>
    <row r="2840" ht="12" customHeight="1"/>
    <row r="2841" ht="12" customHeight="1"/>
    <row r="2842" ht="12" customHeight="1"/>
    <row r="2843" ht="12" customHeight="1"/>
    <row r="2844" ht="12" customHeight="1"/>
    <row r="2845" ht="12" customHeight="1"/>
    <row r="2846" ht="12" customHeight="1"/>
    <row r="2847" ht="12" customHeight="1"/>
    <row r="2848" ht="12" customHeight="1"/>
    <row r="2849" ht="12" customHeight="1"/>
    <row r="2850" ht="12" customHeight="1"/>
    <row r="2851" ht="12" customHeight="1"/>
    <row r="2852" ht="12" customHeight="1"/>
    <row r="2853" ht="12" customHeight="1"/>
    <row r="2854" ht="12" customHeight="1"/>
    <row r="2855" ht="12" customHeight="1"/>
    <row r="2856" ht="12" customHeight="1"/>
    <row r="2857" ht="12" customHeight="1"/>
    <row r="2858" ht="12" customHeight="1"/>
    <row r="2859" ht="12" customHeight="1"/>
    <row r="2860" ht="12" customHeight="1"/>
    <row r="2861" ht="12" customHeight="1"/>
    <row r="2862" ht="12" customHeight="1"/>
    <row r="2863" ht="12" customHeight="1"/>
    <row r="2864" ht="12" customHeight="1"/>
    <row r="2865" ht="12" customHeight="1"/>
    <row r="2866" ht="12" customHeight="1"/>
    <row r="2867" ht="12" customHeight="1"/>
    <row r="2868" ht="12" customHeight="1"/>
    <row r="2869" ht="12" customHeight="1"/>
    <row r="2870" ht="12" customHeight="1"/>
    <row r="2871" ht="12" customHeight="1"/>
    <row r="2872" ht="12" customHeight="1"/>
    <row r="2873" ht="12" customHeight="1"/>
    <row r="2874" ht="12" customHeight="1"/>
    <row r="2875" ht="12" customHeight="1"/>
    <row r="2876" ht="12" customHeight="1"/>
    <row r="2877" ht="12" customHeight="1"/>
    <row r="2878" ht="12" customHeight="1"/>
    <row r="2879" ht="12" customHeight="1"/>
    <row r="2880" ht="12" customHeight="1"/>
    <row r="2881" ht="12" customHeight="1"/>
    <row r="2882" ht="12" customHeight="1"/>
    <row r="2883" ht="12" customHeight="1"/>
    <row r="2884" ht="12" customHeight="1"/>
    <row r="2885" ht="12" customHeight="1"/>
    <row r="2886" ht="12" customHeight="1"/>
    <row r="2887" ht="12" customHeight="1"/>
    <row r="2888" ht="12" customHeight="1"/>
    <row r="2889" ht="12" customHeight="1"/>
    <row r="2890" ht="12" customHeight="1"/>
    <row r="2891" ht="12" customHeight="1"/>
    <row r="2892" ht="12" customHeight="1"/>
    <row r="2893" ht="12" customHeight="1"/>
    <row r="2894" ht="12" customHeight="1"/>
    <row r="2895" ht="12" customHeight="1"/>
    <row r="2896" ht="12" customHeight="1"/>
    <row r="2897" ht="12" customHeight="1"/>
    <row r="2898" ht="12" customHeight="1"/>
    <row r="2899" ht="12" customHeight="1"/>
    <row r="2900" ht="12" customHeight="1"/>
    <row r="2901" ht="12" customHeight="1"/>
    <row r="2902" ht="12" customHeight="1"/>
    <row r="2903" ht="12" customHeight="1"/>
    <row r="2904" ht="12" customHeight="1"/>
    <row r="2905" ht="12" customHeight="1"/>
    <row r="2906" ht="12" customHeight="1"/>
    <row r="2907" ht="12" customHeight="1"/>
    <row r="2908" ht="12" customHeight="1"/>
    <row r="2909" ht="12" customHeight="1"/>
    <row r="2910" ht="12" customHeight="1"/>
    <row r="2911" ht="12" customHeight="1"/>
    <row r="2912" ht="12" customHeight="1"/>
    <row r="2913" ht="12" customHeight="1"/>
    <row r="2914" ht="12" customHeight="1"/>
    <row r="2915" ht="12" customHeight="1"/>
    <row r="2916" ht="12" customHeight="1"/>
    <row r="2917" ht="12" customHeight="1"/>
    <row r="2918" ht="12" customHeight="1"/>
    <row r="2919" ht="12" customHeight="1"/>
    <row r="2920" ht="12" customHeight="1"/>
    <row r="2921" ht="12" customHeight="1"/>
    <row r="2922" ht="12" customHeight="1"/>
    <row r="2923" ht="12" customHeight="1"/>
    <row r="2924" ht="12" customHeight="1"/>
    <row r="2925" ht="12" customHeight="1"/>
    <row r="2926" ht="12" customHeight="1"/>
    <row r="2927" ht="12" customHeight="1"/>
    <row r="2928" ht="12" customHeight="1"/>
    <row r="2929" ht="12" customHeight="1"/>
    <row r="2930" ht="12" customHeight="1"/>
    <row r="2931" ht="12" customHeight="1"/>
    <row r="2932" ht="12" customHeight="1"/>
    <row r="2933" ht="12" customHeight="1"/>
    <row r="2934" ht="12" customHeight="1"/>
    <row r="2935" ht="12" customHeight="1"/>
    <row r="2936" ht="12" customHeight="1"/>
    <row r="2937" ht="12" customHeight="1"/>
    <row r="2938" ht="12" customHeight="1"/>
    <row r="2939" ht="12" customHeight="1"/>
    <row r="2940" ht="12" customHeight="1"/>
    <row r="2941" ht="12" customHeight="1"/>
    <row r="2942" ht="12" customHeight="1"/>
    <row r="2943" ht="12" customHeight="1"/>
    <row r="2944" ht="12" customHeight="1"/>
    <row r="2945" ht="12" customHeight="1"/>
    <row r="2946" ht="12" customHeight="1"/>
    <row r="2947" ht="12" customHeight="1"/>
    <row r="2948" ht="12" customHeight="1"/>
    <row r="2949" ht="12" customHeight="1"/>
    <row r="2950" ht="12" customHeight="1"/>
    <row r="2951" ht="12" customHeight="1"/>
    <row r="2952" ht="12" customHeight="1"/>
    <row r="2953" ht="12" customHeight="1"/>
    <row r="2954" ht="12" customHeight="1"/>
    <row r="2955" ht="12" customHeight="1"/>
    <row r="2956" ht="12" customHeight="1"/>
    <row r="2957" ht="12" customHeight="1"/>
    <row r="2958" ht="12" customHeight="1"/>
    <row r="2959" ht="12" customHeight="1"/>
    <row r="2960" ht="12" customHeight="1"/>
    <row r="2961" ht="12" customHeight="1"/>
    <row r="2962" ht="12" customHeight="1"/>
    <row r="2963" ht="12" customHeight="1"/>
    <row r="2964" ht="12" customHeight="1"/>
    <row r="2965" ht="12" customHeight="1"/>
    <row r="2966" ht="12" customHeight="1"/>
    <row r="2967" ht="12" customHeight="1"/>
    <row r="2968" ht="12" customHeight="1"/>
    <row r="2969" ht="12" customHeight="1"/>
    <row r="2970" ht="12" customHeight="1"/>
    <row r="2971" ht="12" customHeight="1"/>
    <row r="2972" ht="12" customHeight="1"/>
    <row r="2973" ht="12" customHeight="1"/>
    <row r="2974" ht="12" customHeight="1"/>
    <row r="2975" ht="12" customHeight="1"/>
    <row r="2976" ht="12" customHeight="1"/>
    <row r="2977" ht="12" customHeight="1"/>
    <row r="2978" ht="12" customHeight="1"/>
    <row r="2979" ht="12" customHeight="1"/>
    <row r="2980" ht="12" customHeight="1"/>
    <row r="2981" ht="12" customHeight="1"/>
    <row r="2982" ht="12" customHeight="1"/>
    <row r="2983" ht="12" customHeight="1"/>
    <row r="2984" ht="12" customHeight="1"/>
    <row r="2985" ht="12" customHeight="1"/>
    <row r="2986" ht="12" customHeight="1"/>
    <row r="2987" ht="12" customHeight="1"/>
    <row r="2988" ht="12" customHeight="1"/>
    <row r="2989" ht="12" customHeight="1"/>
    <row r="2990" ht="12" customHeight="1"/>
    <row r="2991" ht="12" customHeight="1"/>
    <row r="2992" ht="12" customHeight="1"/>
    <row r="2993" ht="12" customHeight="1"/>
    <row r="2994" ht="12" customHeight="1"/>
    <row r="2995" ht="12" customHeight="1"/>
    <row r="2996" ht="12" customHeight="1"/>
    <row r="2997" ht="12" customHeight="1"/>
    <row r="2998" ht="12" customHeight="1"/>
    <row r="2999" ht="12" customHeight="1"/>
    <row r="3000" ht="12" customHeight="1"/>
    <row r="3001" ht="12" customHeight="1"/>
    <row r="3002" ht="12" customHeight="1"/>
    <row r="3003" ht="12" customHeight="1"/>
    <row r="3004" ht="12" customHeight="1"/>
    <row r="3005" ht="12" customHeight="1"/>
    <row r="3006" ht="12" customHeight="1"/>
    <row r="3007" ht="12" customHeight="1"/>
    <row r="3008" ht="12" customHeight="1"/>
    <row r="3009" ht="12" customHeight="1"/>
    <row r="3010" ht="12" customHeight="1"/>
    <row r="3011" ht="12" customHeight="1"/>
    <row r="3012" ht="12" customHeight="1"/>
    <row r="3013" ht="12" customHeight="1"/>
    <row r="3014" ht="12" customHeight="1"/>
    <row r="3015" ht="12" customHeight="1"/>
    <row r="3016" ht="12" customHeight="1"/>
    <row r="3017" ht="12" customHeight="1"/>
    <row r="3018" ht="12" customHeight="1"/>
    <row r="3019" ht="12" customHeight="1"/>
    <row r="3020" ht="12" customHeight="1"/>
    <row r="3021" ht="12" customHeight="1"/>
    <row r="3022" ht="12" customHeight="1"/>
    <row r="3023" ht="12" customHeight="1"/>
    <row r="3024" ht="12" customHeight="1"/>
    <row r="3025" ht="12" customHeight="1"/>
    <row r="3026" ht="12" customHeight="1"/>
    <row r="3027" ht="12" customHeight="1"/>
    <row r="3028" ht="12" customHeight="1"/>
    <row r="3029" ht="12" customHeight="1"/>
    <row r="3030" ht="12" customHeight="1"/>
    <row r="3031" ht="12" customHeight="1"/>
    <row r="3032" ht="12" customHeight="1"/>
    <row r="3033" ht="12" customHeight="1"/>
    <row r="3034" ht="12" customHeight="1"/>
    <row r="3035" ht="12" customHeight="1"/>
    <row r="3036" ht="12" customHeight="1"/>
    <row r="3037" ht="12" customHeight="1"/>
    <row r="3038" ht="12" customHeight="1"/>
    <row r="3039" ht="12" customHeight="1"/>
    <row r="3040" ht="12" customHeight="1"/>
    <row r="3041" ht="12" customHeight="1"/>
    <row r="3042" ht="12" customHeight="1"/>
    <row r="3043" ht="12" customHeight="1"/>
    <row r="3044" ht="12" customHeight="1"/>
    <row r="3045" ht="12" customHeight="1"/>
    <row r="3046" ht="12" customHeight="1"/>
    <row r="3047" ht="12" customHeight="1"/>
    <row r="3048" ht="12" customHeight="1"/>
    <row r="3049" ht="12" customHeight="1"/>
    <row r="3050" ht="12" customHeight="1"/>
    <row r="3051" ht="12" customHeight="1"/>
    <row r="3052" ht="12" customHeight="1"/>
    <row r="3053" ht="12" customHeight="1"/>
    <row r="3054" ht="12" customHeight="1"/>
    <row r="3055" ht="12" customHeight="1"/>
    <row r="3056" ht="12" customHeight="1"/>
    <row r="3057" ht="12" customHeight="1"/>
    <row r="3058" ht="12" customHeight="1"/>
    <row r="3059" ht="12" customHeight="1"/>
    <row r="3060" ht="12" customHeight="1"/>
    <row r="3061" ht="12" customHeight="1"/>
    <row r="3062" ht="12" customHeight="1"/>
    <row r="3063" ht="12" customHeight="1"/>
    <row r="3064" ht="12" customHeight="1"/>
    <row r="3065" ht="12" customHeight="1"/>
    <row r="3066" ht="12" customHeight="1"/>
    <row r="3067" ht="12" customHeight="1"/>
    <row r="3068" ht="12" customHeight="1"/>
    <row r="3069" ht="12" customHeight="1"/>
    <row r="3070" ht="12" customHeight="1"/>
    <row r="3071" ht="12" customHeight="1"/>
    <row r="3072" ht="12" customHeight="1"/>
    <row r="3073" ht="12" customHeight="1"/>
    <row r="3074" ht="12" customHeight="1"/>
    <row r="3075" ht="12" customHeight="1"/>
    <row r="3076" ht="12" customHeight="1"/>
    <row r="3077" ht="12" customHeight="1"/>
    <row r="3078" ht="12" customHeight="1"/>
    <row r="3079" ht="12" customHeight="1"/>
    <row r="3080" ht="12" customHeight="1"/>
    <row r="3081" ht="12" customHeight="1"/>
    <row r="3082" ht="12" customHeight="1"/>
    <row r="3083" ht="12" customHeight="1"/>
    <row r="3084" ht="12" customHeight="1"/>
    <row r="3085" ht="12" customHeight="1"/>
    <row r="3086" ht="12" customHeight="1"/>
    <row r="3087" ht="12" customHeight="1"/>
    <row r="3088" ht="12" customHeight="1"/>
    <row r="3089" ht="12" customHeight="1"/>
    <row r="3090" ht="12" customHeight="1"/>
    <row r="3091" ht="12" customHeight="1"/>
    <row r="3092" ht="12" customHeight="1"/>
    <row r="3093" ht="12" customHeight="1"/>
    <row r="3094" ht="12" customHeight="1"/>
    <row r="3095" ht="12" customHeight="1"/>
    <row r="3096" ht="12" customHeight="1"/>
    <row r="3097" ht="12" customHeight="1"/>
    <row r="3098" ht="12" customHeight="1"/>
    <row r="3099" ht="12" customHeight="1"/>
    <row r="3100" ht="12" customHeight="1"/>
    <row r="3101" ht="12" customHeight="1"/>
    <row r="3102" ht="12" customHeight="1"/>
    <row r="3103" ht="12" customHeight="1"/>
    <row r="3104" ht="12" customHeight="1"/>
    <row r="3105" ht="12" customHeight="1"/>
    <row r="3106" ht="12" customHeight="1"/>
    <row r="3107" ht="12" customHeight="1"/>
    <row r="3108" ht="12" customHeight="1"/>
    <row r="3109" ht="12" customHeight="1"/>
    <row r="3110" ht="12" customHeight="1"/>
    <row r="3111" ht="12" customHeight="1"/>
    <row r="3112" ht="12" customHeight="1"/>
    <row r="3113" ht="12" customHeight="1"/>
    <row r="3114" ht="12" customHeight="1"/>
    <row r="3115" ht="12" customHeight="1"/>
    <row r="3116" ht="12" customHeight="1"/>
    <row r="3117" ht="12" customHeight="1"/>
    <row r="3118" ht="12" customHeight="1"/>
    <row r="3119" ht="12" customHeight="1"/>
    <row r="3120" ht="12" customHeight="1"/>
    <row r="3121" ht="12" customHeight="1"/>
    <row r="3122" ht="12" customHeight="1"/>
    <row r="3123" ht="12" customHeight="1"/>
    <row r="3124" ht="12" customHeight="1"/>
    <row r="3125" ht="12" customHeight="1"/>
    <row r="3126" ht="12" customHeight="1"/>
    <row r="3127" ht="12" customHeight="1"/>
    <row r="3128" ht="12" customHeight="1"/>
    <row r="3129" ht="12" customHeight="1"/>
    <row r="3130" ht="12" customHeight="1"/>
    <row r="3131" ht="12" customHeight="1"/>
    <row r="3132" ht="12" customHeight="1"/>
    <row r="3133" ht="12" customHeight="1"/>
    <row r="3134" ht="12" customHeight="1"/>
    <row r="3135" ht="12" customHeight="1"/>
    <row r="3136" ht="12" customHeight="1"/>
    <row r="3137" ht="12" customHeight="1"/>
    <row r="3138" ht="12" customHeight="1"/>
    <row r="3139" ht="12" customHeight="1"/>
    <row r="3140" ht="12" customHeight="1"/>
    <row r="3141" ht="12" customHeight="1"/>
    <row r="3142" ht="12" customHeight="1"/>
    <row r="3143" ht="12" customHeight="1"/>
    <row r="3144" ht="12" customHeight="1"/>
    <row r="3145" ht="12" customHeight="1"/>
    <row r="3146" ht="12" customHeight="1"/>
    <row r="3147" ht="12" customHeight="1"/>
    <row r="3148" ht="12" customHeight="1"/>
    <row r="3149" ht="12" customHeight="1"/>
    <row r="3150" ht="12" customHeight="1"/>
    <row r="3151" ht="12" customHeight="1"/>
    <row r="3152" ht="12" customHeight="1"/>
    <row r="3153" ht="12" customHeight="1"/>
    <row r="3154" ht="12" customHeight="1"/>
    <row r="3155" ht="12" customHeight="1"/>
    <row r="3156" ht="12" customHeight="1"/>
    <row r="3157" ht="12" customHeight="1"/>
    <row r="3158" ht="12" customHeight="1"/>
    <row r="3159" ht="12" customHeight="1"/>
    <row r="3160" ht="12" customHeight="1"/>
    <row r="3161" ht="12" customHeight="1"/>
    <row r="3162" ht="12" customHeight="1"/>
    <row r="3163" ht="12" customHeight="1"/>
    <row r="3164" ht="12" customHeight="1"/>
    <row r="3165" ht="12" customHeight="1"/>
    <row r="3166" ht="12" customHeight="1"/>
    <row r="3167" ht="12" customHeight="1"/>
    <row r="3168" ht="12" customHeight="1"/>
    <row r="3169" ht="12" customHeight="1"/>
    <row r="3170" ht="12" customHeight="1"/>
    <row r="3171" ht="12" customHeight="1"/>
    <row r="3172" ht="12" customHeight="1"/>
    <row r="3173" ht="12" customHeight="1"/>
    <row r="3174" ht="12" customHeight="1"/>
    <row r="3175" ht="12" customHeight="1"/>
    <row r="3176" ht="12" customHeight="1"/>
    <row r="3177" ht="12" customHeight="1"/>
    <row r="3178" ht="12" customHeight="1"/>
    <row r="3179" ht="12" customHeight="1"/>
    <row r="3180" ht="12" customHeight="1"/>
    <row r="3181" ht="12" customHeight="1"/>
    <row r="3182" ht="12" customHeight="1"/>
    <row r="3183" ht="12" customHeight="1"/>
    <row r="3184" ht="12" customHeight="1"/>
    <row r="3185" ht="12" customHeight="1"/>
    <row r="3186" ht="12" customHeight="1"/>
    <row r="3187" ht="12" customHeight="1"/>
    <row r="3188" ht="12" customHeight="1"/>
    <row r="3189" ht="12" customHeight="1"/>
    <row r="3190" ht="12" customHeight="1"/>
    <row r="3191" ht="12" customHeight="1"/>
    <row r="3192" ht="12" customHeight="1"/>
    <row r="3193" ht="12" customHeight="1"/>
    <row r="3194" ht="12" customHeight="1"/>
    <row r="3195" ht="12" customHeight="1"/>
    <row r="3196" ht="12" customHeight="1"/>
    <row r="3197" ht="12" customHeight="1"/>
    <row r="3198" ht="12" customHeight="1"/>
    <row r="3199" ht="12" customHeight="1"/>
    <row r="3200" ht="12" customHeight="1"/>
    <row r="3201" ht="12" customHeight="1"/>
    <row r="3202" ht="12" customHeight="1"/>
    <row r="3203" ht="12" customHeight="1"/>
    <row r="3204" ht="12" customHeight="1"/>
    <row r="3205" ht="12" customHeight="1"/>
    <row r="3206" ht="12" customHeight="1"/>
    <row r="3207" ht="12" customHeight="1"/>
    <row r="3208" ht="12" customHeight="1"/>
    <row r="3209" ht="12" customHeight="1"/>
    <row r="3210" ht="12" customHeight="1"/>
    <row r="3211" ht="12" customHeight="1"/>
    <row r="3212" ht="12" customHeight="1"/>
    <row r="3213" ht="12" customHeight="1"/>
    <row r="3214" ht="12" customHeight="1"/>
    <row r="3215" ht="12" customHeight="1"/>
    <row r="3216" ht="12" customHeight="1"/>
    <row r="3217" ht="12" customHeight="1"/>
    <row r="3218" ht="12" customHeight="1"/>
    <row r="3219" ht="12" customHeight="1"/>
    <row r="3220" ht="12" customHeight="1"/>
    <row r="3221" ht="12" customHeight="1"/>
    <row r="3222" ht="12" customHeight="1"/>
    <row r="3223" ht="12" customHeight="1"/>
    <row r="3224" ht="12" customHeight="1"/>
    <row r="3225" ht="12" customHeight="1"/>
    <row r="3226" ht="12" customHeight="1"/>
    <row r="3227" ht="12" customHeight="1"/>
    <row r="3228" ht="12" customHeight="1"/>
    <row r="3229" ht="12" customHeight="1"/>
    <row r="3230" ht="12" customHeight="1"/>
    <row r="3231" ht="12" customHeight="1"/>
    <row r="3232" ht="12" customHeight="1"/>
    <row r="3233" ht="12" customHeight="1"/>
    <row r="3234" ht="12" customHeight="1"/>
    <row r="3235" ht="12" customHeight="1"/>
    <row r="3236" ht="12" customHeight="1"/>
    <row r="3237" ht="12" customHeight="1"/>
    <row r="3238" ht="12" customHeight="1"/>
    <row r="3239" ht="12" customHeight="1"/>
    <row r="3240" ht="12" customHeight="1"/>
    <row r="3241" ht="12" customHeight="1"/>
    <row r="3242" ht="12" customHeight="1"/>
    <row r="3243" ht="12" customHeight="1"/>
    <row r="3244" ht="12" customHeight="1"/>
    <row r="3245" ht="12" customHeight="1"/>
    <row r="3246" ht="12" customHeight="1"/>
    <row r="3247" ht="12" customHeight="1"/>
    <row r="3248" ht="12" customHeight="1"/>
    <row r="3249" ht="12" customHeight="1"/>
    <row r="3250" ht="12" customHeight="1"/>
    <row r="3251" ht="12" customHeight="1"/>
    <row r="3252" ht="12" customHeight="1"/>
    <row r="3253" ht="12" customHeight="1"/>
    <row r="3254" ht="12" customHeight="1"/>
    <row r="3255" ht="12" customHeight="1"/>
    <row r="3256" ht="12" customHeight="1"/>
    <row r="3257" ht="12" customHeight="1"/>
    <row r="3258" ht="12" customHeight="1"/>
    <row r="3259" ht="12" customHeight="1"/>
    <row r="3260" ht="12" customHeight="1"/>
    <row r="3261" ht="12" customHeight="1"/>
    <row r="3262" ht="12" customHeight="1"/>
    <row r="3263" ht="12" customHeight="1"/>
    <row r="3264" ht="12" customHeight="1"/>
    <row r="3265" ht="12" customHeight="1"/>
    <row r="3266" ht="12" customHeight="1"/>
    <row r="3267" ht="12" customHeight="1"/>
    <row r="3268" ht="12" customHeight="1"/>
    <row r="3269" ht="12" customHeight="1"/>
    <row r="3270" ht="12" customHeight="1"/>
    <row r="3271" ht="12" customHeight="1"/>
    <row r="3272" ht="12" customHeight="1"/>
    <row r="3273" ht="12" customHeight="1"/>
    <row r="3274" ht="12" customHeight="1"/>
    <row r="3275" ht="12" customHeight="1"/>
    <row r="3276" ht="12" customHeight="1"/>
    <row r="3277" ht="12" customHeight="1"/>
    <row r="3278" ht="12" customHeight="1"/>
    <row r="3279" ht="12" customHeight="1"/>
    <row r="3280" ht="12" customHeight="1"/>
    <row r="3281" ht="12" customHeight="1"/>
    <row r="3282" ht="12" customHeight="1"/>
    <row r="3283" ht="12" customHeight="1"/>
    <row r="3284" ht="12" customHeight="1"/>
    <row r="3285" ht="12" customHeight="1"/>
    <row r="3286" ht="12" customHeight="1"/>
    <row r="3287" ht="12" customHeight="1"/>
    <row r="3288" ht="12" customHeight="1"/>
    <row r="3289" ht="12" customHeight="1"/>
    <row r="3290" ht="12" customHeight="1"/>
    <row r="3291" ht="12" customHeight="1"/>
    <row r="3292" ht="12" customHeight="1"/>
    <row r="3293" ht="12" customHeight="1"/>
    <row r="3294" ht="12" customHeight="1"/>
    <row r="3295" ht="12" customHeight="1"/>
    <row r="3296" ht="12" customHeight="1"/>
    <row r="3297" ht="12" customHeight="1"/>
    <row r="3298" ht="12" customHeight="1"/>
    <row r="3299" ht="12" customHeight="1"/>
    <row r="3300" ht="12" customHeight="1"/>
    <row r="3301" ht="12" customHeight="1"/>
    <row r="3302" ht="12" customHeight="1"/>
    <row r="3303" ht="12" customHeight="1"/>
    <row r="3304" ht="12" customHeight="1"/>
    <row r="3305" ht="12" customHeight="1"/>
    <row r="3306" ht="12" customHeight="1"/>
    <row r="3307" ht="12" customHeight="1"/>
    <row r="3308" ht="12" customHeight="1"/>
    <row r="3309" ht="12" customHeight="1"/>
    <row r="3310" ht="12" customHeight="1"/>
    <row r="3311" ht="12" customHeight="1"/>
    <row r="3312" ht="12" customHeight="1"/>
    <row r="3313" ht="12" customHeight="1"/>
    <row r="3314" ht="12" customHeight="1"/>
    <row r="3315" ht="12" customHeight="1"/>
    <row r="3316" ht="12" customHeight="1"/>
    <row r="3317" ht="12" customHeight="1"/>
    <row r="3318" ht="12" customHeight="1"/>
    <row r="3319" ht="12" customHeight="1"/>
    <row r="3320" ht="12" customHeight="1"/>
    <row r="3321" ht="12" customHeight="1"/>
    <row r="3322" ht="12" customHeight="1"/>
    <row r="3323" ht="12" customHeight="1"/>
    <row r="3324" ht="12" customHeight="1"/>
    <row r="3325" ht="12" customHeight="1"/>
    <row r="3326" ht="12" customHeight="1"/>
    <row r="3327" ht="12" customHeight="1"/>
    <row r="3328" ht="12" customHeight="1"/>
    <row r="3329" ht="12" customHeight="1"/>
    <row r="3330" ht="12" customHeight="1"/>
    <row r="3331" ht="12" customHeight="1"/>
    <row r="3332" ht="12" customHeight="1"/>
    <row r="3333" ht="12" customHeight="1"/>
    <row r="3334" ht="12" customHeight="1"/>
    <row r="3335" ht="12" customHeight="1"/>
    <row r="3336" ht="12" customHeight="1"/>
    <row r="3337" ht="12" customHeight="1"/>
    <row r="3338" ht="12" customHeight="1"/>
    <row r="3339" ht="12" customHeight="1"/>
    <row r="3340" ht="12" customHeight="1"/>
    <row r="3341" ht="12" customHeight="1"/>
    <row r="3342" ht="12" customHeight="1"/>
    <row r="3343" ht="12" customHeight="1"/>
    <row r="3344" ht="12" customHeight="1"/>
    <row r="3345" ht="12" customHeight="1"/>
    <row r="3346" ht="12" customHeight="1"/>
    <row r="3347" ht="12" customHeight="1"/>
    <row r="3348" ht="12" customHeight="1"/>
    <row r="3349" ht="12" customHeight="1"/>
    <row r="3350" ht="12" customHeight="1"/>
    <row r="3351" ht="12" customHeight="1"/>
    <row r="3352" ht="12" customHeight="1"/>
    <row r="3353" ht="12" customHeight="1"/>
    <row r="3354" ht="12" customHeight="1"/>
    <row r="3355" ht="12" customHeight="1"/>
    <row r="3356" ht="12" customHeight="1"/>
    <row r="3357" ht="12" customHeight="1"/>
    <row r="3358" ht="12" customHeight="1"/>
    <row r="3359" ht="12" customHeight="1"/>
    <row r="3360" ht="12" customHeight="1"/>
    <row r="3361" ht="12" customHeight="1"/>
    <row r="3362" ht="12" customHeight="1"/>
    <row r="3363" ht="12" customHeight="1"/>
    <row r="3364" ht="12" customHeight="1"/>
    <row r="3365" ht="12" customHeight="1"/>
    <row r="3366" ht="12" customHeight="1"/>
    <row r="3367" ht="12" customHeight="1"/>
    <row r="3368" ht="12" customHeight="1"/>
    <row r="3369" ht="12" customHeight="1"/>
    <row r="3370" ht="12" customHeight="1"/>
    <row r="3371" ht="12" customHeight="1"/>
    <row r="3372" ht="12" customHeight="1"/>
    <row r="3373" ht="12" customHeight="1"/>
    <row r="3374" ht="12" customHeight="1"/>
    <row r="3375" ht="12" customHeight="1"/>
    <row r="3376" ht="12" customHeight="1"/>
    <row r="3377" ht="12" customHeight="1"/>
    <row r="3378" ht="12" customHeight="1"/>
    <row r="3379" ht="12" customHeight="1"/>
    <row r="3380" ht="12" customHeight="1"/>
    <row r="3381" ht="12" customHeight="1"/>
    <row r="3382" ht="12" customHeight="1"/>
    <row r="3383" ht="12" customHeight="1"/>
    <row r="3384" ht="12" customHeight="1"/>
    <row r="3385" ht="12" customHeight="1"/>
    <row r="3386" ht="12" customHeight="1"/>
    <row r="3387" ht="12" customHeight="1"/>
    <row r="3388" ht="12" customHeight="1"/>
    <row r="3389" ht="12" customHeight="1"/>
    <row r="3390" ht="12" customHeight="1"/>
    <row r="3391" ht="12" customHeight="1"/>
    <row r="3392" ht="12" customHeight="1"/>
    <row r="3393" ht="12" customHeight="1"/>
    <row r="3394" ht="12" customHeight="1"/>
    <row r="3395" ht="12" customHeight="1"/>
    <row r="3396" ht="12" customHeight="1"/>
    <row r="3397" ht="12" customHeight="1"/>
    <row r="3398" ht="12" customHeight="1"/>
    <row r="3399" ht="12" customHeight="1"/>
    <row r="3400" ht="12" customHeight="1"/>
    <row r="3401" ht="12" customHeight="1"/>
    <row r="3402" ht="12" customHeight="1"/>
    <row r="3403" ht="12" customHeight="1"/>
    <row r="3404" ht="12" customHeight="1"/>
    <row r="3405" ht="12" customHeight="1"/>
    <row r="3406" ht="12" customHeight="1"/>
    <row r="3407" ht="12" customHeight="1"/>
    <row r="3408" ht="12" customHeight="1"/>
    <row r="3409" ht="12" customHeight="1"/>
    <row r="3410" ht="12" customHeight="1"/>
    <row r="3411" ht="12" customHeight="1"/>
    <row r="3412" ht="12" customHeight="1"/>
    <row r="3413" ht="12" customHeight="1"/>
    <row r="3414" ht="12" customHeight="1"/>
    <row r="3415" ht="12" customHeight="1"/>
    <row r="3416" ht="12" customHeight="1"/>
    <row r="3417" ht="12" customHeight="1"/>
    <row r="3418" ht="12" customHeight="1"/>
    <row r="3419" ht="12" customHeight="1"/>
    <row r="3420" ht="12" customHeight="1"/>
    <row r="3421" ht="12" customHeight="1"/>
    <row r="3422" ht="12" customHeight="1"/>
    <row r="3423" ht="12" customHeight="1"/>
    <row r="3424" ht="12" customHeight="1"/>
    <row r="3425" ht="12" customHeight="1"/>
    <row r="3426" ht="12" customHeight="1"/>
    <row r="3427" ht="12" customHeight="1"/>
    <row r="3428" ht="12" customHeight="1"/>
    <row r="3429" ht="12" customHeight="1"/>
    <row r="3430" ht="12" customHeight="1"/>
    <row r="3431" ht="12" customHeight="1"/>
    <row r="3432" ht="12" customHeight="1"/>
    <row r="3433" ht="12" customHeight="1"/>
    <row r="3434" ht="12" customHeight="1"/>
    <row r="3435" ht="12" customHeight="1"/>
    <row r="3436" ht="12" customHeight="1"/>
    <row r="3437" ht="12" customHeight="1"/>
    <row r="3438" ht="12" customHeight="1"/>
    <row r="3439" ht="12" customHeight="1"/>
    <row r="3440" ht="12" customHeight="1"/>
    <row r="3441" ht="12" customHeight="1"/>
    <row r="3442" ht="12" customHeight="1"/>
    <row r="3443" ht="12" customHeight="1"/>
    <row r="3444" ht="12" customHeight="1"/>
    <row r="3445" ht="12" customHeight="1"/>
    <row r="3446" ht="12" customHeight="1"/>
    <row r="3447" ht="12" customHeight="1"/>
    <row r="3448" ht="12" customHeight="1"/>
    <row r="3449" ht="12" customHeight="1"/>
    <row r="3450" ht="12" customHeight="1"/>
    <row r="3451" ht="12" customHeight="1"/>
    <row r="3452" ht="12" customHeight="1"/>
    <row r="3453" ht="12" customHeight="1"/>
    <row r="3454" ht="12" customHeight="1"/>
    <row r="3455" ht="12" customHeight="1"/>
    <row r="3456" ht="12" customHeight="1"/>
    <row r="3457" ht="12" customHeight="1"/>
    <row r="3458" ht="12" customHeight="1"/>
    <row r="3459" ht="12" customHeight="1"/>
    <row r="3460" ht="12" customHeight="1"/>
    <row r="3461" ht="12" customHeight="1"/>
    <row r="3462" ht="12" customHeight="1"/>
    <row r="3463" ht="12" customHeight="1"/>
    <row r="3464" ht="12" customHeight="1"/>
    <row r="3465" ht="12" customHeight="1"/>
    <row r="3466" ht="12" customHeight="1"/>
    <row r="3467" ht="12" customHeight="1"/>
    <row r="3468" ht="12" customHeight="1"/>
    <row r="3469" ht="12" customHeight="1"/>
    <row r="3470" ht="12" customHeight="1"/>
    <row r="3471" ht="12" customHeight="1"/>
    <row r="3472" ht="12" customHeight="1"/>
    <row r="3473" ht="12" customHeight="1"/>
    <row r="3474" ht="12" customHeight="1"/>
    <row r="3475" ht="12" customHeight="1"/>
    <row r="3476" ht="12" customHeight="1"/>
    <row r="3477" ht="12" customHeight="1"/>
    <row r="3478" ht="12" customHeight="1"/>
    <row r="3479" ht="12" customHeight="1"/>
    <row r="3480" ht="12" customHeight="1"/>
    <row r="3481" ht="12" customHeight="1"/>
    <row r="3482" ht="12" customHeight="1"/>
    <row r="3483" ht="12" customHeight="1"/>
    <row r="3484" ht="12" customHeight="1"/>
    <row r="3485" ht="12" customHeight="1"/>
    <row r="3486" ht="12" customHeight="1"/>
    <row r="3487" ht="12" customHeight="1"/>
    <row r="3488" ht="12" customHeight="1"/>
    <row r="3489" ht="12" customHeight="1"/>
    <row r="3490" ht="12" customHeight="1"/>
    <row r="3491" ht="12" customHeight="1"/>
    <row r="3492" ht="12" customHeight="1"/>
    <row r="3493" ht="12" customHeight="1"/>
    <row r="3494" ht="12" customHeight="1"/>
    <row r="3495" ht="12" customHeight="1"/>
    <row r="3496" ht="12" customHeight="1"/>
    <row r="3497" ht="12" customHeight="1"/>
    <row r="3498" ht="12" customHeight="1"/>
    <row r="3499" ht="12" customHeight="1"/>
    <row r="3500" ht="12" customHeight="1"/>
    <row r="3501" ht="12" customHeight="1"/>
    <row r="3502" ht="12" customHeight="1"/>
    <row r="3503" ht="12" customHeight="1"/>
    <row r="3504" ht="12" customHeight="1"/>
    <row r="3505" ht="12" customHeight="1"/>
    <row r="3506" ht="12" customHeight="1"/>
    <row r="3507" ht="12" customHeight="1"/>
    <row r="3508" ht="12" customHeight="1"/>
    <row r="3509" ht="12" customHeight="1"/>
    <row r="3510" ht="12" customHeight="1"/>
    <row r="3511" ht="12" customHeight="1"/>
    <row r="3512" ht="12" customHeight="1"/>
    <row r="3513" ht="12" customHeight="1"/>
    <row r="3514" ht="12" customHeight="1"/>
    <row r="3515" ht="12" customHeight="1"/>
    <row r="3516" ht="12" customHeight="1"/>
    <row r="3517" ht="12" customHeight="1"/>
    <row r="3518" ht="12" customHeight="1"/>
    <row r="3519" ht="12" customHeight="1"/>
    <row r="3520" ht="12" customHeight="1"/>
    <row r="3521" ht="12" customHeight="1"/>
    <row r="3522" ht="12" customHeight="1"/>
    <row r="3523" ht="12" customHeight="1"/>
    <row r="3524" ht="12" customHeight="1"/>
    <row r="3525" ht="12" customHeight="1"/>
    <row r="3526" ht="12" customHeight="1"/>
    <row r="3527" ht="12" customHeight="1"/>
    <row r="3528" ht="12" customHeight="1"/>
    <row r="3529" ht="12" customHeight="1"/>
    <row r="3530" ht="12" customHeight="1"/>
    <row r="3531" ht="12" customHeight="1"/>
    <row r="3532" ht="12" customHeight="1"/>
    <row r="3533" ht="12" customHeight="1"/>
    <row r="3534" ht="12" customHeight="1"/>
    <row r="3535" ht="12" customHeight="1"/>
    <row r="3536" ht="12" customHeight="1"/>
    <row r="3537" ht="12" customHeight="1"/>
    <row r="3538" ht="12" customHeight="1"/>
    <row r="3539" ht="12" customHeight="1"/>
    <row r="3540" ht="12" customHeight="1"/>
    <row r="3541" ht="12" customHeight="1"/>
    <row r="3542" ht="12" customHeight="1"/>
    <row r="3543" ht="12" customHeight="1"/>
    <row r="3544" ht="12" customHeight="1"/>
    <row r="3545" ht="12" customHeight="1"/>
    <row r="3546" ht="12" customHeight="1"/>
    <row r="3547" ht="12" customHeight="1"/>
    <row r="3548" ht="12" customHeight="1"/>
    <row r="3549" ht="12" customHeight="1"/>
    <row r="3550" ht="12" customHeight="1"/>
    <row r="3551" ht="12" customHeight="1"/>
    <row r="3552" ht="12" customHeight="1"/>
    <row r="3553" ht="12" customHeight="1"/>
    <row r="3554" ht="12" customHeight="1"/>
    <row r="3555" ht="12" customHeight="1"/>
    <row r="3556" ht="12" customHeight="1"/>
    <row r="3557" ht="12" customHeight="1"/>
    <row r="3558" ht="12" customHeight="1"/>
    <row r="3559" ht="12" customHeight="1"/>
    <row r="3560" ht="12" customHeight="1"/>
    <row r="3561" ht="12" customHeight="1"/>
    <row r="3562" ht="12" customHeight="1"/>
    <row r="3563" ht="12" customHeight="1"/>
    <row r="3564" ht="12" customHeight="1"/>
    <row r="3565" ht="12" customHeight="1"/>
    <row r="3566" ht="12" customHeight="1"/>
    <row r="3567" ht="12" customHeight="1"/>
    <row r="3568" ht="12" customHeight="1"/>
    <row r="3569" ht="12" customHeight="1"/>
    <row r="3570" ht="12" customHeight="1"/>
    <row r="3571" ht="12" customHeight="1"/>
    <row r="3572" ht="12" customHeight="1"/>
    <row r="3573" ht="12" customHeight="1"/>
    <row r="3574" ht="12" customHeight="1"/>
    <row r="3575" ht="12" customHeight="1"/>
    <row r="3576" ht="12" customHeight="1"/>
    <row r="3577" ht="12" customHeight="1"/>
    <row r="3578" ht="12" customHeight="1"/>
    <row r="3579" ht="12" customHeight="1"/>
    <row r="3580" ht="12" customHeight="1"/>
    <row r="3581" ht="12" customHeight="1"/>
    <row r="3582" ht="12" customHeight="1"/>
    <row r="3583" ht="12" customHeight="1"/>
    <row r="3584" ht="12" customHeight="1"/>
    <row r="3585" ht="12" customHeight="1"/>
    <row r="3586" ht="12" customHeight="1"/>
    <row r="3587" ht="12" customHeight="1"/>
    <row r="3588" ht="12" customHeight="1"/>
    <row r="3589" ht="12" customHeight="1"/>
    <row r="3590" ht="12" customHeight="1"/>
    <row r="3591" ht="12" customHeight="1"/>
    <row r="3592" ht="12" customHeight="1"/>
    <row r="3593" ht="12" customHeight="1"/>
    <row r="3594" ht="12" customHeight="1"/>
    <row r="3595" ht="12" customHeight="1"/>
    <row r="3596" ht="12" customHeight="1"/>
    <row r="3597" ht="12" customHeight="1"/>
    <row r="3598" ht="12" customHeight="1"/>
    <row r="3599" ht="12" customHeight="1"/>
    <row r="3600" ht="12" customHeight="1"/>
    <row r="3601" ht="12" customHeight="1"/>
    <row r="3602" ht="12" customHeight="1"/>
    <row r="3603" ht="12" customHeight="1"/>
    <row r="3604" ht="12" customHeight="1"/>
    <row r="3605" ht="12" customHeight="1"/>
    <row r="3606" ht="12" customHeight="1"/>
    <row r="3607" ht="12" customHeight="1"/>
    <row r="3608" ht="12" customHeight="1"/>
    <row r="3609" ht="12" customHeight="1"/>
    <row r="3610" ht="12" customHeight="1"/>
    <row r="3611" ht="12" customHeight="1"/>
    <row r="3612" ht="12" customHeight="1"/>
    <row r="3613" ht="12" customHeight="1"/>
    <row r="3614" ht="12" customHeight="1"/>
    <row r="3615" ht="12" customHeight="1"/>
    <row r="3616" ht="12" customHeight="1"/>
    <row r="3617" ht="12" customHeight="1"/>
    <row r="3618" ht="12" customHeight="1"/>
    <row r="3619" ht="12" customHeight="1"/>
    <row r="3620" ht="12" customHeight="1"/>
    <row r="3621" ht="12" customHeight="1"/>
    <row r="3622" ht="12" customHeight="1"/>
    <row r="3623" ht="12" customHeight="1"/>
    <row r="3624" ht="12" customHeight="1"/>
    <row r="3625" ht="12" customHeight="1"/>
    <row r="3626" ht="12" customHeight="1"/>
    <row r="3627" ht="12" customHeight="1"/>
    <row r="3628" ht="12" customHeight="1"/>
    <row r="3629" ht="12" customHeight="1"/>
    <row r="3630" ht="12" customHeight="1"/>
    <row r="3631" ht="12" customHeight="1"/>
    <row r="3632" ht="12" customHeight="1"/>
    <row r="3633" ht="12" customHeight="1"/>
    <row r="3634" ht="12" customHeight="1"/>
    <row r="3635" ht="12" customHeight="1"/>
    <row r="3636" ht="12" customHeight="1"/>
    <row r="3637" ht="12" customHeight="1"/>
    <row r="3638" ht="12" customHeight="1"/>
    <row r="3639" ht="12" customHeight="1"/>
    <row r="3640" ht="12" customHeight="1"/>
    <row r="3641" ht="12" customHeight="1"/>
    <row r="3642" ht="12" customHeight="1"/>
    <row r="3643" ht="12" customHeight="1"/>
    <row r="3644" ht="12" customHeight="1"/>
    <row r="3645" ht="12" customHeight="1"/>
    <row r="3646" ht="12" customHeight="1"/>
    <row r="3647" ht="12" customHeight="1"/>
    <row r="3648" ht="12" customHeight="1"/>
    <row r="3649" ht="12" customHeight="1"/>
    <row r="3650" ht="12" customHeight="1"/>
    <row r="3651" ht="12" customHeight="1"/>
    <row r="3652" ht="12" customHeight="1"/>
    <row r="3653" ht="12" customHeight="1"/>
    <row r="3654" ht="12" customHeight="1"/>
    <row r="3655" ht="12" customHeight="1"/>
    <row r="3656" ht="12" customHeight="1"/>
    <row r="3657" ht="12" customHeight="1"/>
    <row r="3658" ht="12" customHeight="1"/>
    <row r="3659" ht="12" customHeight="1"/>
    <row r="3660" ht="12" customHeight="1"/>
    <row r="3661" ht="12" customHeight="1"/>
    <row r="3662" ht="12" customHeight="1"/>
    <row r="3663" ht="12" customHeight="1"/>
    <row r="3664" ht="12" customHeight="1"/>
    <row r="3665" ht="12" customHeight="1"/>
    <row r="3666" ht="12" customHeight="1"/>
    <row r="3667" ht="12" customHeight="1"/>
    <row r="3668" ht="12" customHeight="1"/>
    <row r="3669" ht="12" customHeight="1"/>
    <row r="3670" ht="12" customHeight="1"/>
    <row r="3671" ht="12" customHeight="1"/>
    <row r="3672" ht="12" customHeight="1"/>
    <row r="3673" ht="12" customHeight="1"/>
    <row r="3674" ht="12" customHeight="1"/>
    <row r="3675" ht="12" customHeight="1"/>
    <row r="3676" ht="12" customHeight="1"/>
    <row r="3677" ht="12" customHeight="1"/>
    <row r="3678" ht="12" customHeight="1"/>
    <row r="3679" ht="12" customHeight="1"/>
    <row r="3680" ht="12" customHeight="1"/>
    <row r="3681" ht="12" customHeight="1"/>
    <row r="3682" ht="12" customHeight="1"/>
    <row r="3683" ht="12" customHeight="1"/>
    <row r="3684" ht="12" customHeight="1"/>
    <row r="3685" ht="12" customHeight="1"/>
    <row r="3686" ht="12" customHeight="1"/>
    <row r="3687" ht="12" customHeight="1"/>
    <row r="3688" ht="12" customHeight="1"/>
    <row r="3689" ht="12" customHeight="1"/>
    <row r="3690" ht="12" customHeight="1"/>
    <row r="3691" ht="12" customHeight="1"/>
    <row r="3692" ht="12" customHeight="1"/>
    <row r="3693" ht="12" customHeight="1"/>
    <row r="3694" ht="12" customHeight="1"/>
    <row r="3695" ht="12" customHeight="1"/>
    <row r="3696" ht="12" customHeight="1"/>
    <row r="3697" ht="12" customHeight="1"/>
    <row r="3698" ht="12" customHeight="1"/>
    <row r="3699" ht="12" customHeight="1"/>
    <row r="3700" ht="12" customHeight="1"/>
    <row r="3701" ht="12" customHeight="1"/>
    <row r="3702" ht="12" customHeight="1"/>
    <row r="3703" ht="12" customHeight="1"/>
    <row r="3704" ht="12" customHeight="1"/>
    <row r="3705" ht="12" customHeight="1"/>
    <row r="3706" ht="12" customHeight="1"/>
    <row r="3707" ht="12" customHeight="1"/>
    <row r="3708" ht="12" customHeight="1"/>
    <row r="3709" ht="12" customHeight="1"/>
    <row r="3710" ht="12" customHeight="1"/>
    <row r="3711" ht="12" customHeight="1"/>
    <row r="3712" ht="12" customHeight="1"/>
    <row r="3713" ht="12" customHeight="1"/>
    <row r="3714" ht="12" customHeight="1"/>
    <row r="3715" ht="12" customHeight="1"/>
    <row r="3716" ht="12" customHeight="1"/>
    <row r="3717" ht="12" customHeight="1"/>
    <row r="3718" ht="12" customHeight="1"/>
    <row r="3719" ht="12" customHeight="1"/>
    <row r="3720" ht="12" customHeight="1"/>
    <row r="3721" ht="12" customHeight="1"/>
    <row r="3722" ht="12" customHeight="1"/>
    <row r="3723" ht="12" customHeight="1"/>
    <row r="3724" ht="12" customHeight="1"/>
    <row r="3725" ht="12" customHeight="1"/>
    <row r="3726" ht="12" customHeight="1"/>
    <row r="3727" ht="12" customHeight="1"/>
    <row r="3728" ht="12" customHeight="1"/>
    <row r="3729" ht="12" customHeight="1"/>
    <row r="3730" ht="12" customHeight="1"/>
    <row r="3731" ht="12" customHeight="1"/>
    <row r="3732" ht="12" customHeight="1"/>
    <row r="3733" ht="12" customHeight="1"/>
    <row r="3734" ht="12" customHeight="1"/>
    <row r="3735" ht="12" customHeight="1"/>
    <row r="3736" ht="12" customHeight="1"/>
    <row r="3737" ht="12" customHeight="1"/>
    <row r="3738" ht="12" customHeight="1"/>
    <row r="3739" ht="12" customHeight="1"/>
    <row r="3740" ht="12" customHeight="1"/>
    <row r="3741" ht="12" customHeight="1"/>
    <row r="3742" ht="12" customHeight="1"/>
    <row r="3743" ht="12" customHeight="1"/>
    <row r="3744" ht="12" customHeight="1"/>
    <row r="3745" ht="12" customHeight="1"/>
    <row r="3746" ht="12" customHeight="1"/>
    <row r="3747" ht="12" customHeight="1"/>
    <row r="3748" ht="12" customHeight="1"/>
    <row r="3749" ht="12" customHeight="1"/>
    <row r="3750" ht="12" customHeight="1"/>
    <row r="3751" ht="12" customHeight="1"/>
    <row r="3752" ht="12" customHeight="1"/>
    <row r="3753" ht="12" customHeight="1"/>
    <row r="3754" ht="12" customHeight="1"/>
    <row r="3755" ht="12" customHeight="1"/>
    <row r="3756" ht="12" customHeight="1"/>
    <row r="3757" ht="12" customHeight="1"/>
    <row r="3758" ht="12" customHeight="1"/>
    <row r="3759" ht="12" customHeight="1"/>
    <row r="3760" ht="12" customHeight="1"/>
    <row r="3761" ht="12" customHeight="1"/>
    <row r="3762" ht="12" customHeight="1"/>
    <row r="3763" ht="12" customHeight="1"/>
    <row r="3764" ht="12" customHeight="1"/>
    <row r="3765" ht="12" customHeight="1"/>
    <row r="3766" ht="12" customHeight="1"/>
    <row r="3767" ht="12" customHeight="1"/>
    <row r="3768" ht="12" customHeight="1"/>
    <row r="3769" ht="12" customHeight="1"/>
    <row r="3770" ht="12" customHeight="1"/>
    <row r="3771" ht="12" customHeight="1"/>
    <row r="3772" ht="12" customHeight="1"/>
    <row r="3773" ht="12" customHeight="1"/>
    <row r="3774" ht="12" customHeight="1"/>
    <row r="3775" ht="12" customHeight="1"/>
    <row r="3776" ht="12" customHeight="1"/>
    <row r="3777" ht="12" customHeight="1"/>
    <row r="3778" ht="12" customHeight="1"/>
    <row r="3779" ht="12" customHeight="1"/>
    <row r="3780" ht="12" customHeight="1"/>
    <row r="3781" ht="12" customHeight="1"/>
    <row r="3782" ht="12" customHeight="1"/>
    <row r="3783" ht="12" customHeight="1"/>
    <row r="3784" ht="12" customHeight="1"/>
    <row r="3785" ht="12" customHeight="1"/>
    <row r="3786" ht="12" customHeight="1"/>
    <row r="3787" ht="12" customHeight="1"/>
    <row r="3788" ht="12" customHeight="1"/>
    <row r="3789" ht="12" customHeight="1"/>
    <row r="3790" ht="12" customHeight="1"/>
    <row r="3791" ht="12" customHeight="1"/>
    <row r="3792" ht="12" customHeight="1"/>
    <row r="3793" ht="12" customHeight="1"/>
    <row r="3794" ht="12" customHeight="1"/>
    <row r="3795" ht="12" customHeight="1"/>
    <row r="3796" ht="12" customHeight="1"/>
    <row r="3797" ht="12" customHeight="1"/>
    <row r="3798" ht="12" customHeight="1"/>
    <row r="3799" ht="12" customHeight="1"/>
    <row r="3800" ht="12" customHeight="1"/>
    <row r="3801" ht="12" customHeight="1"/>
    <row r="3802" ht="12" customHeight="1"/>
    <row r="3803" ht="12" customHeight="1"/>
    <row r="3804" ht="12" customHeight="1"/>
    <row r="3805" ht="12" customHeight="1"/>
    <row r="3806" ht="12" customHeight="1"/>
    <row r="3807" ht="12" customHeight="1"/>
    <row r="3808" ht="12" customHeight="1"/>
    <row r="3809" ht="12" customHeight="1"/>
    <row r="3810" ht="12" customHeight="1"/>
    <row r="3811" ht="12" customHeight="1"/>
    <row r="3812" ht="12" customHeight="1"/>
    <row r="3813" ht="12" customHeight="1"/>
    <row r="3814" ht="12" customHeight="1"/>
    <row r="3815" ht="12" customHeight="1"/>
    <row r="3816" ht="12" customHeight="1"/>
    <row r="3817" ht="12" customHeight="1"/>
    <row r="3818" ht="12" customHeight="1"/>
    <row r="3819" ht="12" customHeight="1"/>
    <row r="3820" ht="12" customHeight="1"/>
    <row r="3821" ht="12" customHeight="1"/>
    <row r="3822" ht="12" customHeight="1"/>
    <row r="3823" ht="12" customHeight="1"/>
    <row r="3824" ht="12" customHeight="1"/>
    <row r="3825" ht="12" customHeight="1"/>
    <row r="3826" ht="12" customHeight="1"/>
    <row r="3827" ht="12" customHeight="1"/>
    <row r="3828" ht="12" customHeight="1"/>
    <row r="3829" ht="12" customHeight="1"/>
    <row r="3830" ht="12" customHeight="1"/>
    <row r="3831" ht="12" customHeight="1"/>
    <row r="3832" ht="12" customHeight="1"/>
    <row r="3833" ht="12" customHeight="1"/>
    <row r="3834" ht="12" customHeight="1"/>
    <row r="3835" ht="12" customHeight="1"/>
    <row r="3836" ht="12" customHeight="1"/>
    <row r="3837" ht="12" customHeight="1"/>
    <row r="3838" ht="12" customHeight="1"/>
    <row r="3839" ht="12" customHeight="1"/>
    <row r="3840" ht="12" customHeight="1"/>
    <row r="3841" ht="12" customHeight="1"/>
    <row r="3842" ht="12" customHeight="1"/>
    <row r="3843" ht="12" customHeight="1"/>
    <row r="3844" ht="12" customHeight="1"/>
    <row r="3845" ht="12" customHeight="1"/>
    <row r="3846" ht="12" customHeight="1"/>
    <row r="3847" ht="12" customHeight="1"/>
    <row r="3848" ht="12" customHeight="1"/>
    <row r="3849" ht="12" customHeight="1"/>
    <row r="3850" ht="12" customHeight="1"/>
    <row r="3851" ht="12" customHeight="1"/>
    <row r="3852" ht="12" customHeight="1"/>
    <row r="3853" ht="12" customHeight="1"/>
    <row r="3854" ht="12" customHeight="1"/>
    <row r="3855" ht="12" customHeight="1"/>
    <row r="3856" ht="12" customHeight="1"/>
    <row r="3857" ht="12" customHeight="1"/>
    <row r="3858" ht="12" customHeight="1"/>
    <row r="3859" ht="12" customHeight="1"/>
    <row r="3860" ht="12" customHeight="1"/>
    <row r="3861" ht="12" customHeight="1"/>
    <row r="3862" ht="12" customHeight="1"/>
    <row r="3863" ht="12" customHeight="1"/>
    <row r="3864" ht="12" customHeight="1"/>
    <row r="3865" ht="12" customHeight="1"/>
    <row r="3866" ht="12" customHeight="1"/>
    <row r="3867" ht="12" customHeight="1"/>
    <row r="3868" ht="12" customHeight="1"/>
    <row r="3869" ht="12" customHeight="1"/>
    <row r="3870" ht="12" customHeight="1"/>
    <row r="3871" ht="12" customHeight="1"/>
    <row r="3872" ht="12" customHeight="1"/>
    <row r="3873" ht="12" customHeight="1"/>
    <row r="3874" ht="12" customHeight="1"/>
    <row r="3875" ht="12" customHeight="1"/>
    <row r="3876" ht="12" customHeight="1"/>
    <row r="3877" ht="12" customHeight="1"/>
    <row r="3878" ht="12" customHeight="1"/>
    <row r="3879" ht="12" customHeight="1"/>
    <row r="3880" ht="12" customHeight="1"/>
    <row r="3881" ht="12" customHeight="1"/>
    <row r="3882" ht="12" customHeight="1"/>
    <row r="3883" ht="12" customHeight="1"/>
    <row r="3884" ht="12" customHeight="1"/>
    <row r="3885" ht="12" customHeight="1"/>
    <row r="3886" ht="12" customHeight="1"/>
    <row r="3887" ht="12" customHeight="1"/>
    <row r="3888" ht="12" customHeight="1"/>
    <row r="3889" ht="12" customHeight="1"/>
    <row r="3890" ht="12" customHeight="1"/>
    <row r="3891" ht="12" customHeight="1"/>
    <row r="3892" ht="12" customHeight="1"/>
    <row r="3893" ht="12" customHeight="1"/>
    <row r="3894" ht="12" customHeight="1"/>
    <row r="3895" ht="12" customHeight="1"/>
    <row r="3896" ht="12" customHeight="1"/>
    <row r="3897" ht="12" customHeight="1"/>
    <row r="3898" ht="12" customHeight="1"/>
    <row r="3899" ht="12" customHeight="1"/>
    <row r="3900" ht="12" customHeight="1"/>
    <row r="3901" ht="12" customHeight="1"/>
    <row r="3902" ht="12" customHeight="1"/>
    <row r="3903" ht="12" customHeight="1"/>
    <row r="3904" ht="12" customHeight="1"/>
    <row r="3905" ht="12" customHeight="1"/>
    <row r="3906" ht="12" customHeight="1"/>
    <row r="3907" ht="12" customHeight="1"/>
    <row r="3908" ht="12" customHeight="1"/>
    <row r="3909" ht="12" customHeight="1"/>
    <row r="3910" ht="12" customHeight="1"/>
    <row r="3911" ht="12" customHeight="1"/>
    <row r="3912" ht="12" customHeight="1"/>
    <row r="3913" ht="12" customHeight="1"/>
    <row r="3914" ht="12" customHeight="1"/>
    <row r="3915" ht="12" customHeight="1"/>
    <row r="3916" ht="12" customHeight="1"/>
    <row r="3917" ht="12" customHeight="1"/>
    <row r="3918" ht="12" customHeight="1"/>
    <row r="3919" ht="12" customHeight="1"/>
    <row r="3920" ht="12" customHeight="1"/>
    <row r="3921" ht="12" customHeight="1"/>
    <row r="3922" ht="12" customHeight="1"/>
    <row r="3923" ht="12" customHeight="1"/>
    <row r="3924" ht="12" customHeight="1"/>
    <row r="3925" ht="12" customHeight="1"/>
    <row r="3926" ht="12" customHeight="1"/>
    <row r="3927" ht="12" customHeight="1"/>
    <row r="3928" ht="12" customHeight="1"/>
    <row r="3929" ht="12" customHeight="1"/>
    <row r="3930" ht="12" customHeight="1"/>
    <row r="3931" ht="12" customHeight="1"/>
    <row r="3932" ht="12" customHeight="1"/>
    <row r="3933" ht="12" customHeight="1"/>
    <row r="3934" ht="12" customHeight="1"/>
    <row r="3935" ht="12" customHeight="1"/>
    <row r="3936" ht="12" customHeight="1"/>
    <row r="3937" ht="12" customHeight="1"/>
    <row r="3938" ht="12" customHeight="1"/>
    <row r="3939" ht="12" customHeight="1"/>
    <row r="3940" ht="12" customHeight="1"/>
    <row r="3941" ht="12" customHeight="1"/>
    <row r="3942" ht="12" customHeight="1"/>
    <row r="3943" ht="12" customHeight="1"/>
    <row r="3944" ht="12" customHeight="1"/>
    <row r="3945" ht="12" customHeight="1"/>
    <row r="3946" ht="12" customHeight="1"/>
    <row r="3947" ht="12" customHeight="1"/>
    <row r="3948" ht="12" customHeight="1"/>
    <row r="3949" ht="12" customHeight="1"/>
    <row r="3950" ht="12" customHeight="1"/>
    <row r="3951" ht="12" customHeight="1"/>
    <row r="3952" ht="12" customHeight="1"/>
    <row r="3953" ht="12" customHeight="1"/>
    <row r="3954" ht="12" customHeight="1"/>
    <row r="3955" ht="12" customHeight="1"/>
    <row r="3956" ht="12" customHeight="1"/>
    <row r="3957" ht="12" customHeight="1"/>
    <row r="3958" ht="12" customHeight="1"/>
    <row r="3959" ht="12" customHeight="1"/>
    <row r="3960" ht="12" customHeight="1"/>
    <row r="3961" ht="12" customHeight="1"/>
    <row r="3962" ht="12" customHeight="1"/>
    <row r="3963" ht="12" customHeight="1"/>
    <row r="3964" ht="12" customHeight="1"/>
    <row r="3965" ht="12" customHeight="1"/>
    <row r="3966" ht="12" customHeight="1"/>
    <row r="3967" ht="12" customHeight="1"/>
    <row r="3968" ht="12" customHeight="1"/>
    <row r="3969" ht="12" customHeight="1"/>
    <row r="3970" ht="12" customHeight="1"/>
    <row r="3971" ht="12" customHeight="1"/>
    <row r="3972" ht="12" customHeight="1"/>
    <row r="3973" ht="12" customHeight="1"/>
    <row r="3974" ht="12" customHeight="1"/>
    <row r="3975" ht="12" customHeight="1"/>
    <row r="3976" ht="12" customHeight="1"/>
    <row r="3977" ht="12" customHeight="1"/>
    <row r="3978" ht="12" customHeight="1"/>
    <row r="3979" ht="12" customHeight="1"/>
    <row r="3980" ht="12" customHeight="1"/>
    <row r="3981" ht="12" customHeight="1"/>
    <row r="3982" ht="12" customHeight="1"/>
    <row r="3983" ht="12" customHeight="1"/>
    <row r="3984" ht="12" customHeight="1"/>
    <row r="3985" ht="12" customHeight="1"/>
    <row r="3986" ht="12" customHeight="1"/>
    <row r="3987" ht="12" customHeight="1"/>
    <row r="3988" ht="12" customHeight="1"/>
    <row r="3989" ht="12" customHeight="1"/>
    <row r="3990" ht="12" customHeight="1"/>
    <row r="3991" ht="12" customHeight="1"/>
    <row r="3992" ht="12" customHeight="1"/>
    <row r="3993" ht="12" customHeight="1"/>
    <row r="3994" ht="12" customHeight="1"/>
    <row r="3995" ht="12" customHeight="1"/>
    <row r="3996" ht="12" customHeight="1"/>
    <row r="3997" ht="12" customHeight="1"/>
    <row r="3998" ht="12" customHeight="1"/>
    <row r="3999" ht="12" customHeight="1"/>
    <row r="4000" ht="12" customHeight="1"/>
    <row r="4001" ht="12" customHeight="1"/>
    <row r="4002" ht="12" customHeight="1"/>
    <row r="4003" ht="12" customHeight="1"/>
    <row r="4004" ht="12" customHeight="1"/>
    <row r="4005" ht="12" customHeight="1"/>
    <row r="4006" ht="12" customHeight="1"/>
    <row r="4007" ht="12" customHeight="1"/>
    <row r="4008" ht="12" customHeight="1"/>
    <row r="4009" ht="12" customHeight="1"/>
    <row r="4010" ht="12" customHeight="1"/>
    <row r="4011" ht="12" customHeight="1"/>
    <row r="4012" ht="12" customHeight="1"/>
    <row r="4013" ht="12" customHeight="1"/>
    <row r="4014" ht="12" customHeight="1"/>
    <row r="4015" ht="12" customHeight="1"/>
    <row r="4016" ht="12" customHeight="1"/>
    <row r="4017" ht="12" customHeight="1"/>
    <row r="4018" ht="12" customHeight="1"/>
    <row r="4019" ht="12" customHeight="1"/>
    <row r="4020" ht="12" customHeight="1"/>
    <row r="4021" ht="12" customHeight="1"/>
    <row r="4022" ht="12" customHeight="1"/>
    <row r="4023" ht="12" customHeight="1"/>
    <row r="4024" ht="12" customHeight="1"/>
    <row r="4025" ht="12" customHeight="1"/>
    <row r="4026" ht="12" customHeight="1"/>
    <row r="4027" ht="12" customHeight="1"/>
    <row r="4028" ht="12" customHeight="1"/>
    <row r="4029" ht="12" customHeight="1"/>
    <row r="4030" ht="12" customHeight="1"/>
    <row r="4031" ht="12" customHeight="1"/>
    <row r="4032" ht="12" customHeight="1"/>
    <row r="4033" ht="12" customHeight="1"/>
    <row r="4034" ht="12" customHeight="1"/>
    <row r="4035" ht="12" customHeight="1"/>
    <row r="4036" ht="12" customHeight="1"/>
    <row r="4037" ht="12" customHeight="1"/>
    <row r="4038" ht="12" customHeight="1"/>
    <row r="4039" ht="12" customHeight="1"/>
    <row r="4040" ht="12" customHeight="1"/>
    <row r="4041" ht="12" customHeight="1"/>
    <row r="4042" ht="12" customHeight="1"/>
    <row r="4043" ht="12" customHeight="1"/>
    <row r="4044" ht="12" customHeight="1"/>
    <row r="4045" ht="12" customHeight="1"/>
    <row r="4046" ht="12" customHeight="1"/>
    <row r="4047" ht="12" customHeight="1"/>
    <row r="4048" ht="12" customHeight="1"/>
    <row r="4049" ht="12" customHeight="1"/>
    <row r="4050" ht="12" customHeight="1"/>
    <row r="4051" ht="12" customHeight="1"/>
    <row r="4052" ht="12" customHeight="1"/>
    <row r="4053" ht="12" customHeight="1"/>
    <row r="4054" ht="12" customHeight="1"/>
    <row r="4055" ht="12" customHeight="1"/>
    <row r="4056" ht="12" customHeight="1"/>
    <row r="4057" ht="12" customHeight="1"/>
    <row r="4058" ht="12" customHeight="1"/>
    <row r="4059" ht="12" customHeight="1"/>
    <row r="4060" ht="12" customHeight="1"/>
    <row r="4061" ht="12" customHeight="1"/>
    <row r="4062" ht="12" customHeight="1"/>
    <row r="4063" ht="12" customHeight="1"/>
    <row r="4064" ht="12" customHeight="1"/>
    <row r="4065" ht="12" customHeight="1"/>
    <row r="4066" ht="12" customHeight="1"/>
    <row r="4067" ht="12" customHeight="1"/>
    <row r="4068" ht="12" customHeight="1"/>
    <row r="4069" ht="12" customHeight="1"/>
    <row r="4070" ht="12" customHeight="1"/>
    <row r="4071" ht="12" customHeight="1"/>
    <row r="4072" ht="12" customHeight="1"/>
    <row r="4073" ht="12" customHeight="1"/>
    <row r="4074" ht="12" customHeight="1"/>
    <row r="4075" ht="12" customHeight="1"/>
    <row r="4076" ht="12" customHeight="1"/>
    <row r="4077" ht="12" customHeight="1"/>
    <row r="4078" ht="12" customHeight="1"/>
    <row r="4079" ht="12" customHeight="1"/>
    <row r="4080" ht="12" customHeight="1"/>
    <row r="4081" ht="12" customHeight="1"/>
    <row r="4082" ht="12" customHeight="1"/>
    <row r="4083" ht="12" customHeight="1"/>
    <row r="4084" ht="12" customHeight="1"/>
    <row r="4085" ht="12" customHeight="1"/>
    <row r="4086" ht="12" customHeight="1"/>
    <row r="4087" ht="12" customHeight="1"/>
    <row r="4088" ht="12" customHeight="1"/>
    <row r="4089" ht="12" customHeight="1"/>
    <row r="4090" ht="12" customHeight="1"/>
    <row r="4091" ht="12" customHeight="1"/>
    <row r="4092" ht="12" customHeight="1"/>
    <row r="4093" ht="12" customHeight="1"/>
    <row r="4094" ht="12" customHeight="1"/>
    <row r="4095" ht="12" customHeight="1"/>
    <row r="4096" ht="12" customHeight="1"/>
    <row r="4097" ht="12" customHeight="1"/>
    <row r="4098" ht="12" customHeight="1"/>
    <row r="4099" ht="12" customHeight="1"/>
    <row r="4100" ht="12" customHeight="1"/>
    <row r="4101" ht="12" customHeight="1"/>
    <row r="4102" ht="12" customHeight="1"/>
    <row r="4103" ht="12" customHeight="1"/>
    <row r="4104" ht="12" customHeight="1"/>
    <row r="4105" ht="12" customHeight="1"/>
    <row r="4106" ht="12" customHeight="1"/>
    <row r="4107" ht="12" customHeight="1"/>
    <row r="4108" ht="12" customHeight="1"/>
    <row r="4109" ht="12" customHeight="1"/>
    <row r="4110" ht="12" customHeight="1"/>
    <row r="4111" ht="12" customHeight="1"/>
    <row r="4112" ht="12" customHeight="1"/>
    <row r="4113" ht="12" customHeight="1"/>
    <row r="4114" ht="12" customHeight="1"/>
    <row r="4115" ht="12" customHeight="1"/>
    <row r="4116" ht="12" customHeight="1"/>
    <row r="4117" ht="12" customHeight="1"/>
    <row r="4118" ht="12" customHeight="1"/>
    <row r="4119" ht="12" customHeight="1"/>
    <row r="4120" ht="12" customHeight="1"/>
    <row r="4121" ht="12" customHeight="1"/>
    <row r="4122" ht="12" customHeight="1"/>
    <row r="4123" ht="12" customHeight="1"/>
    <row r="4124" ht="12" customHeight="1"/>
    <row r="4125" ht="12" customHeight="1"/>
    <row r="4126" ht="12" customHeight="1"/>
    <row r="4127" ht="12" customHeight="1"/>
    <row r="4128" ht="12" customHeight="1"/>
    <row r="4129" ht="12" customHeight="1"/>
    <row r="4130" ht="12" customHeight="1"/>
    <row r="4131" ht="12" customHeight="1"/>
    <row r="4132" ht="12" customHeight="1"/>
    <row r="4133" ht="12" customHeight="1"/>
    <row r="4134" ht="12" customHeight="1"/>
    <row r="4135" ht="12" customHeight="1"/>
    <row r="4136" ht="12" customHeight="1"/>
    <row r="4137" ht="12" customHeight="1"/>
    <row r="4138" ht="12" customHeight="1"/>
    <row r="4139" ht="12" customHeight="1"/>
    <row r="4140" ht="12" customHeight="1"/>
    <row r="4141" ht="12" customHeight="1"/>
    <row r="4142" ht="12" customHeight="1"/>
    <row r="4143" ht="12" customHeight="1"/>
    <row r="4144" ht="12" customHeight="1"/>
    <row r="4145" ht="12" customHeight="1"/>
    <row r="4146" ht="12" customHeight="1"/>
    <row r="4147" ht="12" customHeight="1"/>
    <row r="4148" ht="12" customHeight="1"/>
    <row r="4149" ht="12" customHeight="1"/>
    <row r="4150" ht="12" customHeight="1"/>
    <row r="4151" ht="12" customHeight="1"/>
    <row r="4152" ht="12" customHeight="1"/>
    <row r="4153" ht="12" customHeight="1"/>
    <row r="4154" ht="12" customHeight="1"/>
    <row r="4155" ht="12" customHeight="1"/>
    <row r="4156" ht="12" customHeight="1"/>
    <row r="4157" ht="12" customHeight="1"/>
    <row r="4158" ht="12" customHeight="1"/>
    <row r="4159" ht="12" customHeight="1"/>
    <row r="4160" ht="12" customHeight="1"/>
    <row r="4161" ht="12" customHeight="1"/>
    <row r="4162" ht="12" customHeight="1"/>
    <row r="4163" ht="12" customHeight="1"/>
    <row r="4164" ht="12" customHeight="1"/>
    <row r="4165" ht="12" customHeight="1"/>
    <row r="4166" ht="12" customHeight="1"/>
    <row r="4167" ht="12" customHeight="1"/>
    <row r="4168" ht="12" customHeight="1"/>
    <row r="4169" ht="12" customHeight="1"/>
    <row r="4170" ht="12" customHeight="1"/>
    <row r="4171" ht="12" customHeight="1"/>
    <row r="4172" ht="12" customHeight="1"/>
    <row r="4173" ht="12" customHeight="1"/>
    <row r="4174" ht="12" customHeight="1"/>
    <row r="4175" ht="12" customHeight="1"/>
    <row r="4176" ht="12" customHeight="1"/>
    <row r="4177" ht="12" customHeight="1"/>
    <row r="4178" ht="12" customHeight="1"/>
    <row r="4179" ht="12" customHeight="1"/>
    <row r="4180" ht="12" customHeight="1"/>
    <row r="4181" ht="12" customHeight="1"/>
    <row r="4182" ht="12" customHeight="1"/>
    <row r="4183" ht="12" customHeight="1"/>
    <row r="4184" ht="12" customHeight="1"/>
    <row r="4185" ht="12" customHeight="1"/>
    <row r="4186" ht="12" customHeight="1"/>
    <row r="4187" ht="12" customHeight="1"/>
    <row r="4188" ht="12" customHeight="1"/>
    <row r="4189" ht="12" customHeight="1"/>
    <row r="4190" ht="12" customHeight="1"/>
    <row r="4191" ht="12" customHeight="1"/>
    <row r="4192" ht="12" customHeight="1"/>
    <row r="4193" ht="12" customHeight="1"/>
    <row r="4194" ht="12" customHeight="1"/>
    <row r="4195" ht="12" customHeight="1"/>
    <row r="4196" ht="12" customHeight="1"/>
    <row r="4197" ht="12" customHeight="1"/>
    <row r="4198" ht="12" customHeight="1"/>
    <row r="4199" ht="12" customHeight="1"/>
    <row r="4200" ht="12" customHeight="1"/>
    <row r="4201" ht="12" customHeight="1"/>
    <row r="4202" ht="12" customHeight="1"/>
    <row r="4203" ht="12" customHeight="1"/>
    <row r="4204" ht="12" customHeight="1"/>
    <row r="4205" ht="12" customHeight="1"/>
    <row r="4206" ht="12" customHeight="1"/>
    <row r="4207" ht="12" customHeight="1"/>
    <row r="4208" ht="12" customHeight="1"/>
    <row r="4209" ht="12" customHeight="1"/>
    <row r="4210" ht="12" customHeight="1"/>
    <row r="4211" ht="12" customHeight="1"/>
    <row r="4212" ht="12" customHeight="1"/>
    <row r="4213" ht="12" customHeight="1"/>
    <row r="4214" ht="12" customHeight="1"/>
    <row r="4215" ht="12" customHeight="1"/>
    <row r="4216" ht="12" customHeight="1"/>
    <row r="4217" ht="12" customHeight="1"/>
    <row r="4218" ht="12" customHeight="1"/>
    <row r="4219" ht="12" customHeight="1"/>
    <row r="4220" ht="12" customHeight="1"/>
    <row r="4221" ht="12" customHeight="1"/>
    <row r="4222" ht="12" customHeight="1"/>
    <row r="4223" ht="12" customHeight="1"/>
    <row r="4224" ht="12" customHeight="1"/>
    <row r="4225" ht="12" customHeight="1"/>
    <row r="4226" ht="12" customHeight="1"/>
    <row r="4227" ht="12" customHeight="1"/>
    <row r="4228" ht="12" customHeight="1"/>
    <row r="4229" ht="12" customHeight="1"/>
    <row r="4230" ht="12" customHeight="1"/>
    <row r="4231" ht="12" customHeight="1"/>
    <row r="4232" ht="12" customHeight="1"/>
    <row r="4233" ht="12" customHeight="1"/>
    <row r="4234" ht="12" customHeight="1"/>
    <row r="4235" ht="12" customHeight="1"/>
    <row r="4236" ht="12" customHeight="1"/>
    <row r="4237" ht="12" customHeight="1"/>
    <row r="4238" ht="12" customHeight="1"/>
    <row r="4239" ht="12" customHeight="1"/>
    <row r="4240" ht="12" customHeight="1"/>
    <row r="4241" ht="12" customHeight="1"/>
    <row r="4242" ht="12" customHeight="1"/>
    <row r="4243" ht="12" customHeight="1"/>
    <row r="4244" ht="12" customHeight="1"/>
    <row r="4245" ht="12" customHeight="1"/>
    <row r="4246" ht="12" customHeight="1"/>
    <row r="4247" ht="12" customHeight="1"/>
    <row r="4248" ht="12" customHeight="1"/>
    <row r="4249" ht="12" customHeight="1"/>
    <row r="4250" ht="12" customHeight="1"/>
    <row r="4251" ht="12" customHeight="1"/>
    <row r="4252" ht="12" customHeight="1"/>
    <row r="4253" ht="12" customHeight="1"/>
    <row r="4254" ht="12" customHeight="1"/>
    <row r="4255" ht="12" customHeight="1"/>
    <row r="4256" ht="12" customHeight="1"/>
    <row r="4257" ht="12" customHeight="1"/>
    <row r="4258" ht="12" customHeight="1"/>
    <row r="4259" ht="12" customHeight="1"/>
    <row r="4260" ht="12" customHeight="1"/>
    <row r="4261" ht="12" customHeight="1"/>
    <row r="4262" ht="12" customHeight="1"/>
    <row r="4263" ht="12" customHeight="1"/>
    <row r="4264" ht="12" customHeight="1"/>
    <row r="4265" ht="12" customHeight="1"/>
    <row r="4266" ht="12" customHeight="1"/>
    <row r="4267" ht="12" customHeight="1"/>
    <row r="4268" ht="12" customHeight="1"/>
    <row r="4269" ht="12" customHeight="1"/>
    <row r="4270" ht="12" customHeight="1"/>
    <row r="4271" ht="12" customHeight="1"/>
    <row r="4272" ht="12" customHeight="1"/>
    <row r="4273" ht="12" customHeight="1"/>
    <row r="4274" ht="12" customHeight="1"/>
    <row r="4275" ht="12" customHeight="1"/>
    <row r="4276" ht="12" customHeight="1"/>
    <row r="4277" ht="12" customHeight="1"/>
    <row r="4278" ht="12" customHeight="1"/>
    <row r="4279" ht="12" customHeight="1"/>
    <row r="4280" ht="12" customHeight="1"/>
    <row r="4281" ht="12" customHeight="1"/>
    <row r="4282" ht="12" customHeight="1"/>
    <row r="4283" ht="12" customHeight="1"/>
    <row r="4284" ht="12" customHeight="1"/>
    <row r="4285" ht="12" customHeight="1"/>
    <row r="4286" ht="12" customHeight="1"/>
    <row r="4287" ht="12" customHeight="1"/>
    <row r="4288" ht="12" customHeight="1"/>
    <row r="4289" ht="12" customHeight="1"/>
    <row r="4290" ht="12" customHeight="1"/>
    <row r="4291" ht="12" customHeight="1"/>
    <row r="4292" ht="12" customHeight="1"/>
    <row r="4293" ht="12" customHeight="1"/>
    <row r="4294" ht="12" customHeight="1"/>
    <row r="4295" ht="12" customHeight="1"/>
    <row r="4296" ht="12" customHeight="1"/>
    <row r="4297" ht="12" customHeight="1"/>
    <row r="4298" ht="12" customHeight="1"/>
    <row r="4299" ht="12" customHeight="1"/>
    <row r="4300" ht="12" customHeight="1"/>
    <row r="4301" ht="12" customHeight="1"/>
    <row r="4302" ht="12" customHeight="1"/>
    <row r="4303" ht="12" customHeight="1"/>
    <row r="4304" ht="12" customHeight="1"/>
    <row r="4305" ht="12" customHeight="1"/>
    <row r="4306" ht="12" customHeight="1"/>
    <row r="4307" ht="12" customHeight="1"/>
    <row r="4308" ht="12" customHeight="1"/>
    <row r="4309" ht="12" customHeight="1"/>
    <row r="4310" ht="12" customHeight="1"/>
    <row r="4311" ht="12" customHeight="1"/>
    <row r="4312" ht="12" customHeight="1"/>
    <row r="4313" ht="12" customHeight="1"/>
    <row r="4314" ht="12" customHeight="1"/>
    <row r="4315" ht="12" customHeight="1"/>
    <row r="4316" ht="12" customHeight="1"/>
    <row r="4317" ht="12" customHeight="1"/>
    <row r="4318" ht="12" customHeight="1"/>
    <row r="4319" ht="12" customHeight="1"/>
    <row r="4320" ht="12" customHeight="1"/>
    <row r="4321" ht="12" customHeight="1"/>
    <row r="4322" ht="12" customHeight="1"/>
    <row r="4323" ht="12" customHeight="1"/>
    <row r="4324" ht="12" customHeight="1"/>
    <row r="4325" ht="12" customHeight="1"/>
    <row r="4326" ht="12" customHeight="1"/>
    <row r="4327" ht="12" customHeight="1"/>
    <row r="4328" ht="12" customHeight="1"/>
    <row r="4329" ht="12" customHeight="1"/>
    <row r="4330" ht="12" customHeight="1"/>
    <row r="4331" ht="12" customHeight="1"/>
    <row r="4332" ht="12" customHeight="1"/>
    <row r="4333" ht="12" customHeight="1"/>
    <row r="4334" ht="12" customHeight="1"/>
    <row r="4335" ht="12" customHeight="1"/>
    <row r="4336" ht="12" customHeight="1"/>
    <row r="4337" ht="12" customHeight="1"/>
    <row r="4338" ht="12" customHeight="1"/>
    <row r="4339" ht="12" customHeight="1"/>
    <row r="4340" ht="12" customHeight="1"/>
    <row r="4341" ht="12" customHeight="1"/>
    <row r="4342" ht="12" customHeight="1"/>
    <row r="4343" ht="12" customHeight="1"/>
    <row r="4344" ht="12" customHeight="1"/>
    <row r="4345" ht="12" customHeight="1"/>
    <row r="4346" ht="12" customHeight="1"/>
    <row r="4347" ht="12" customHeight="1"/>
    <row r="4348" ht="12" customHeight="1"/>
    <row r="4349" ht="12" customHeight="1"/>
    <row r="4350" ht="12" customHeight="1"/>
    <row r="4351" ht="12" customHeight="1"/>
    <row r="4352" ht="12" customHeight="1"/>
    <row r="4353" ht="12" customHeight="1"/>
    <row r="4354" ht="12" customHeight="1"/>
    <row r="4355" ht="12" customHeight="1"/>
    <row r="4356" ht="12" customHeight="1"/>
    <row r="4357" ht="12" customHeight="1"/>
    <row r="4358" ht="12" customHeight="1"/>
    <row r="4359" ht="12" customHeight="1"/>
    <row r="4360" ht="12" customHeight="1"/>
    <row r="4361" ht="12" customHeight="1"/>
    <row r="4362" ht="12" customHeight="1"/>
    <row r="4363" ht="12" customHeight="1"/>
    <row r="4364" ht="12" customHeight="1"/>
    <row r="4365" ht="12" customHeight="1"/>
    <row r="4366" ht="12" customHeight="1"/>
    <row r="4367" ht="12" customHeight="1"/>
    <row r="4368" ht="12" customHeight="1"/>
    <row r="4369" ht="12" customHeight="1"/>
    <row r="4370" ht="12" customHeight="1"/>
    <row r="4371" ht="12" customHeight="1"/>
    <row r="4372" ht="12" customHeight="1"/>
    <row r="4373" ht="12" customHeight="1"/>
    <row r="4374" ht="12" customHeight="1"/>
    <row r="4375" ht="12" customHeight="1"/>
    <row r="4376" ht="12" customHeight="1"/>
    <row r="4377" ht="12" customHeight="1"/>
    <row r="4378" ht="12" customHeight="1"/>
    <row r="4379" ht="12" customHeight="1"/>
    <row r="4380" ht="12" customHeight="1"/>
    <row r="4381" ht="12" customHeight="1"/>
    <row r="4382" ht="12" customHeight="1"/>
    <row r="4383" ht="12" customHeight="1"/>
    <row r="4384" ht="12" customHeight="1"/>
    <row r="4385" ht="12" customHeight="1"/>
    <row r="4386" ht="12" customHeight="1"/>
    <row r="4387" ht="12" customHeight="1"/>
    <row r="4388" ht="12" customHeight="1"/>
    <row r="4389" ht="12" customHeight="1"/>
    <row r="4390" ht="12" customHeight="1"/>
    <row r="4391" ht="12" customHeight="1"/>
    <row r="4392" ht="12" customHeight="1"/>
    <row r="4393" ht="12" customHeight="1"/>
    <row r="4394" ht="12" customHeight="1"/>
    <row r="4395" ht="12" customHeight="1"/>
    <row r="4396" ht="12" customHeight="1"/>
    <row r="4397" ht="12" customHeight="1"/>
    <row r="4398" ht="12" customHeight="1"/>
    <row r="4399" ht="12" customHeight="1"/>
    <row r="4400" ht="12" customHeight="1"/>
    <row r="4401" ht="12" customHeight="1"/>
    <row r="4402" ht="12" customHeight="1"/>
    <row r="4403" ht="12" customHeight="1"/>
    <row r="4404" ht="12" customHeight="1"/>
    <row r="4405" ht="12" customHeight="1"/>
    <row r="4406" ht="12" customHeight="1"/>
    <row r="4407" ht="12" customHeight="1"/>
    <row r="4408" ht="12" customHeight="1"/>
    <row r="4409" ht="12" customHeight="1"/>
    <row r="4410" ht="12" customHeight="1"/>
    <row r="4411" ht="12" customHeight="1"/>
    <row r="4412" ht="12" customHeight="1"/>
    <row r="4413" ht="12" customHeight="1"/>
    <row r="4414" ht="12" customHeight="1"/>
    <row r="4415" ht="12" customHeight="1"/>
    <row r="4416" ht="12" customHeight="1"/>
    <row r="4417" ht="12" customHeight="1"/>
    <row r="4418" ht="12" customHeight="1"/>
    <row r="4419" ht="12" customHeight="1"/>
    <row r="4420" ht="12" customHeight="1"/>
    <row r="4421" ht="12" customHeight="1"/>
    <row r="4422" ht="12" customHeight="1"/>
    <row r="4423" ht="12" customHeight="1"/>
    <row r="4424" ht="12" customHeight="1"/>
    <row r="4425" ht="12" customHeight="1"/>
    <row r="4426" ht="12" customHeight="1"/>
    <row r="4427" ht="12" customHeight="1"/>
    <row r="4428" ht="12" customHeight="1"/>
    <row r="4429" ht="12" customHeight="1"/>
    <row r="4430" ht="12" customHeight="1"/>
    <row r="4431" ht="12" customHeight="1"/>
    <row r="4432" ht="12" customHeight="1"/>
    <row r="4433" ht="12" customHeight="1"/>
    <row r="4434" ht="12" customHeight="1"/>
    <row r="4435" ht="12" customHeight="1"/>
    <row r="4436" ht="12" customHeight="1"/>
    <row r="4437" ht="12" customHeight="1"/>
    <row r="4438" ht="12" customHeight="1"/>
    <row r="4439" ht="12" customHeight="1"/>
    <row r="4440" ht="12" customHeight="1"/>
    <row r="4441" ht="12" customHeight="1"/>
    <row r="4442" ht="12" customHeight="1"/>
    <row r="4443" ht="12" customHeight="1"/>
    <row r="4444" ht="12" customHeight="1"/>
    <row r="4445" ht="12" customHeight="1"/>
    <row r="4446" ht="12" customHeight="1"/>
    <row r="4447" ht="12" customHeight="1"/>
    <row r="4448" ht="12" customHeight="1"/>
    <row r="4449" ht="12" customHeight="1"/>
    <row r="4450" ht="12" customHeight="1"/>
    <row r="4451" ht="12" customHeight="1"/>
    <row r="4452" ht="12" customHeight="1"/>
    <row r="4453" ht="12" customHeight="1"/>
    <row r="4454" ht="12" customHeight="1"/>
    <row r="4455" ht="12" customHeight="1"/>
    <row r="4456" ht="12" customHeight="1"/>
    <row r="4457" ht="12" customHeight="1"/>
    <row r="4458" ht="12" customHeight="1"/>
    <row r="4459" ht="12" customHeight="1"/>
    <row r="4460" ht="12" customHeight="1"/>
    <row r="4461" ht="12" customHeight="1"/>
    <row r="4462" ht="12" customHeight="1"/>
    <row r="4463" ht="12" customHeight="1"/>
    <row r="4464" ht="12" customHeight="1"/>
    <row r="4465" ht="12" customHeight="1"/>
    <row r="4466" ht="12" customHeight="1"/>
    <row r="4467" ht="12" customHeight="1"/>
    <row r="4468" ht="12" customHeight="1"/>
    <row r="4469" ht="12" customHeight="1"/>
    <row r="4470" ht="12" customHeight="1"/>
    <row r="4471" ht="12" customHeight="1"/>
    <row r="4472" ht="12" customHeight="1"/>
    <row r="4473" ht="12" customHeight="1"/>
    <row r="4474" ht="12" customHeight="1"/>
    <row r="4475" ht="12" customHeight="1"/>
    <row r="4476" ht="12" customHeight="1"/>
    <row r="4477" ht="12" customHeight="1"/>
    <row r="4478" ht="12" customHeight="1"/>
    <row r="4479" ht="12" customHeight="1"/>
    <row r="4480" ht="12" customHeight="1"/>
    <row r="4481" ht="12" customHeight="1"/>
    <row r="4482" ht="12" customHeight="1"/>
    <row r="4483" ht="12" customHeight="1"/>
    <row r="4484" ht="12" customHeight="1"/>
    <row r="4485" ht="12" customHeight="1"/>
    <row r="4486" ht="12" customHeight="1"/>
    <row r="4487" ht="12" customHeight="1"/>
    <row r="4488" ht="12" customHeight="1"/>
    <row r="4489" ht="12" customHeight="1"/>
    <row r="4490" ht="12" customHeight="1"/>
    <row r="4491" ht="12" customHeight="1"/>
    <row r="4492" ht="12" customHeight="1"/>
    <row r="4493" ht="12" customHeight="1"/>
    <row r="4494" ht="12" customHeight="1"/>
    <row r="4495" ht="12" customHeight="1"/>
    <row r="4496" ht="12" customHeight="1"/>
    <row r="4497" ht="12" customHeight="1"/>
    <row r="4498" ht="12" customHeight="1"/>
    <row r="4499" ht="12" customHeight="1"/>
    <row r="4500" ht="12" customHeight="1"/>
    <row r="4501" ht="12" customHeight="1"/>
    <row r="4502" ht="12" customHeight="1"/>
    <row r="4503" ht="12" customHeight="1"/>
    <row r="4504" ht="12" customHeight="1"/>
    <row r="4505" ht="12" customHeight="1"/>
    <row r="4506" ht="12" customHeight="1"/>
    <row r="4507" ht="12" customHeight="1"/>
    <row r="4508" ht="12" customHeight="1"/>
    <row r="4509" ht="12" customHeight="1"/>
    <row r="4510" ht="12" customHeight="1"/>
    <row r="4511" ht="12" customHeight="1"/>
    <row r="4512" ht="12" customHeight="1"/>
    <row r="4513" ht="12" customHeight="1"/>
    <row r="4514" ht="12" customHeight="1"/>
    <row r="4515" ht="12" customHeight="1"/>
    <row r="4516" ht="12" customHeight="1"/>
    <row r="4517" ht="12" customHeight="1"/>
    <row r="4518" ht="12" customHeight="1"/>
    <row r="4519" ht="12" customHeight="1"/>
    <row r="4520" ht="12" customHeight="1"/>
    <row r="4521" ht="12" customHeight="1"/>
    <row r="4522" ht="12" customHeight="1"/>
    <row r="4523" ht="12" customHeight="1"/>
    <row r="4524" ht="12" customHeight="1"/>
    <row r="4525" ht="12" customHeight="1"/>
    <row r="4526" ht="12" customHeight="1"/>
    <row r="4527" ht="12" customHeight="1"/>
    <row r="4528" ht="12" customHeight="1"/>
    <row r="4529" ht="12" customHeight="1"/>
    <row r="4530" ht="12" customHeight="1"/>
    <row r="4531" ht="12" customHeight="1"/>
    <row r="4532" ht="12" customHeight="1"/>
    <row r="4533" ht="12" customHeight="1"/>
    <row r="4534" ht="12" customHeight="1"/>
    <row r="4535" ht="12" customHeight="1"/>
    <row r="4536" ht="12" customHeight="1"/>
    <row r="4537" ht="12" customHeight="1"/>
    <row r="4538" ht="12" customHeight="1"/>
    <row r="4539" ht="12" customHeight="1"/>
    <row r="4540" ht="12" customHeight="1"/>
    <row r="4541" ht="12" customHeight="1"/>
    <row r="4542" ht="12" customHeight="1"/>
    <row r="4543" ht="12" customHeight="1"/>
    <row r="4544" ht="12" customHeight="1"/>
    <row r="4545" ht="12" customHeight="1"/>
    <row r="4546" ht="12" customHeight="1"/>
    <row r="4547" ht="12" customHeight="1"/>
    <row r="4548" ht="12" customHeight="1"/>
    <row r="4549" ht="12" customHeight="1"/>
    <row r="4550" ht="12" customHeight="1"/>
    <row r="4551" ht="12" customHeight="1"/>
    <row r="4552" ht="12" customHeight="1"/>
    <row r="4553" ht="12" customHeight="1"/>
    <row r="4554" ht="12" customHeight="1"/>
    <row r="4555" ht="12" customHeight="1"/>
    <row r="4556" ht="12" customHeight="1"/>
    <row r="4557" ht="12" customHeight="1"/>
    <row r="4558" ht="12" customHeight="1"/>
    <row r="4559" ht="12" customHeight="1"/>
    <row r="4560" ht="12" customHeight="1"/>
    <row r="4561" ht="12" customHeight="1"/>
    <row r="4562" ht="12" customHeight="1"/>
    <row r="4563" ht="12" customHeight="1"/>
    <row r="4564" ht="12" customHeight="1"/>
    <row r="4565" ht="12" customHeight="1"/>
    <row r="4566" ht="12" customHeight="1"/>
    <row r="4567" ht="12" customHeight="1"/>
    <row r="4568" ht="12" customHeight="1"/>
    <row r="4569" ht="12" customHeight="1"/>
    <row r="4570" ht="12" customHeight="1"/>
    <row r="4571" ht="12" customHeight="1"/>
    <row r="4572" ht="12" customHeight="1"/>
    <row r="4573" ht="12" customHeight="1"/>
    <row r="4574" ht="12" customHeight="1"/>
    <row r="4575" ht="12" customHeight="1"/>
    <row r="4576" ht="12" customHeight="1"/>
    <row r="4577" ht="12" customHeight="1"/>
    <row r="4578" ht="12" customHeight="1"/>
    <row r="4579" ht="12" customHeight="1"/>
    <row r="4580" ht="12" customHeight="1"/>
    <row r="4581" ht="12" customHeight="1"/>
    <row r="4582" ht="12" customHeight="1"/>
    <row r="4583" ht="12" customHeight="1"/>
    <row r="4584" ht="12" customHeight="1"/>
    <row r="4585" ht="12" customHeight="1"/>
    <row r="4586" ht="12" customHeight="1"/>
    <row r="4587" ht="12" customHeight="1"/>
    <row r="4588" ht="12" customHeight="1"/>
    <row r="4589" ht="12" customHeight="1"/>
    <row r="4590" ht="12" customHeight="1"/>
    <row r="4591" ht="12" customHeight="1"/>
    <row r="4592" ht="12" customHeight="1"/>
    <row r="4593" ht="12" customHeight="1"/>
    <row r="4594" ht="12" customHeight="1"/>
    <row r="4595" ht="12" customHeight="1"/>
    <row r="4596" ht="12" customHeight="1"/>
    <row r="4597" ht="12" customHeight="1"/>
    <row r="4598" ht="12" customHeight="1"/>
    <row r="4599" ht="12" customHeight="1"/>
    <row r="4600" ht="12" customHeight="1"/>
    <row r="4601" ht="12" customHeight="1"/>
    <row r="4602" ht="12" customHeight="1"/>
    <row r="4603" ht="12" customHeight="1"/>
    <row r="4604" ht="12" customHeight="1"/>
    <row r="4605" ht="12" customHeight="1"/>
    <row r="4606" ht="12" customHeight="1"/>
    <row r="4607" ht="12" customHeight="1"/>
    <row r="4608" ht="12" customHeight="1"/>
    <row r="4609" ht="12" customHeight="1"/>
    <row r="4610" ht="12" customHeight="1"/>
    <row r="4611" ht="12" customHeight="1"/>
    <row r="4612" ht="12" customHeight="1"/>
    <row r="4613" ht="12" customHeight="1"/>
    <row r="4614" ht="12" customHeight="1"/>
    <row r="4615" ht="12" customHeight="1"/>
    <row r="4616" ht="12" customHeight="1"/>
    <row r="4617" ht="12" customHeight="1"/>
    <row r="4618" ht="12" customHeight="1"/>
    <row r="4619" ht="12" customHeight="1"/>
    <row r="4620" ht="12" customHeight="1"/>
    <row r="4621" ht="12" customHeight="1"/>
    <row r="4622" ht="12" customHeight="1"/>
    <row r="4623" ht="12" customHeight="1"/>
    <row r="4624" ht="12" customHeight="1"/>
    <row r="4625" ht="12" customHeight="1"/>
    <row r="4626" ht="12" customHeight="1"/>
    <row r="4627" ht="12" customHeight="1"/>
    <row r="4628" ht="12" customHeight="1"/>
    <row r="4629" ht="12" customHeight="1"/>
    <row r="4630" ht="12" customHeight="1"/>
    <row r="4631" ht="12" customHeight="1"/>
    <row r="4632" ht="12" customHeight="1"/>
    <row r="4633" ht="12" customHeight="1"/>
    <row r="4634" ht="12" customHeight="1"/>
    <row r="4635" ht="12" customHeight="1"/>
    <row r="4636" ht="12" customHeight="1"/>
    <row r="4637" ht="12" customHeight="1"/>
    <row r="4638" ht="12" customHeight="1"/>
    <row r="4639" ht="12" customHeight="1"/>
    <row r="4640" ht="12" customHeight="1"/>
    <row r="4641" ht="12" customHeight="1"/>
    <row r="4642" ht="12" customHeight="1"/>
    <row r="4643" ht="12" customHeight="1"/>
    <row r="4644" ht="12" customHeight="1"/>
    <row r="4645" ht="12" customHeight="1"/>
    <row r="4646" ht="12" customHeight="1"/>
    <row r="4647" ht="12" customHeight="1"/>
    <row r="4648" ht="12" customHeight="1"/>
    <row r="4649" ht="12" customHeight="1"/>
    <row r="4650" ht="12" customHeight="1"/>
    <row r="4651" ht="12" customHeight="1"/>
    <row r="4652" ht="12" customHeight="1"/>
    <row r="4653" ht="12" customHeight="1"/>
    <row r="4654" ht="12" customHeight="1"/>
    <row r="4655" ht="12" customHeight="1"/>
    <row r="4656" ht="12" customHeight="1"/>
    <row r="4657" ht="12" customHeight="1"/>
    <row r="4658" ht="12" customHeight="1"/>
    <row r="4659" ht="12" customHeight="1"/>
    <row r="4660" ht="12" customHeight="1"/>
    <row r="4661" ht="12" customHeight="1"/>
    <row r="4662" ht="12" customHeight="1"/>
    <row r="4663" ht="12" customHeight="1"/>
    <row r="4664" ht="12" customHeight="1"/>
    <row r="4665" ht="12" customHeight="1"/>
    <row r="4666" ht="12" customHeight="1"/>
    <row r="4667" ht="12" customHeight="1"/>
    <row r="4668" ht="12" customHeight="1"/>
    <row r="4669" ht="12" customHeight="1"/>
    <row r="4670" ht="12" customHeight="1"/>
    <row r="4671" ht="12" customHeight="1"/>
    <row r="4672" ht="12" customHeight="1"/>
    <row r="4673" ht="12" customHeight="1"/>
    <row r="4674" ht="12" customHeight="1"/>
    <row r="4675" ht="12" customHeight="1"/>
    <row r="4676" ht="12" customHeight="1"/>
    <row r="4677" ht="12" customHeight="1"/>
    <row r="4678" ht="12" customHeight="1"/>
    <row r="4679" ht="12" customHeight="1"/>
    <row r="4680" ht="12" customHeight="1"/>
    <row r="4681" ht="12" customHeight="1"/>
    <row r="4682" ht="12" customHeight="1"/>
    <row r="4683" ht="12" customHeight="1"/>
    <row r="4684" ht="12" customHeight="1"/>
    <row r="4685" ht="12" customHeight="1"/>
    <row r="4686" ht="12" customHeight="1"/>
    <row r="4687" ht="12" customHeight="1"/>
    <row r="4688" ht="12" customHeight="1"/>
    <row r="4689" ht="12" customHeight="1"/>
    <row r="4690" ht="12" customHeight="1"/>
    <row r="4691" ht="12" customHeight="1"/>
    <row r="4692" ht="12" customHeight="1"/>
    <row r="4693" ht="12" customHeight="1"/>
    <row r="4694" ht="12" customHeight="1"/>
    <row r="4695" ht="12" customHeight="1"/>
    <row r="4696" ht="12" customHeight="1"/>
    <row r="4697" ht="12" customHeight="1"/>
    <row r="4698" ht="12" customHeight="1"/>
    <row r="4699" ht="12" customHeight="1"/>
    <row r="4700" ht="12" customHeight="1"/>
    <row r="4701" ht="12" customHeight="1"/>
    <row r="4702" ht="12" customHeight="1"/>
    <row r="4703" ht="12" customHeight="1"/>
    <row r="4704" ht="12" customHeight="1"/>
    <row r="4705" ht="12" customHeight="1"/>
    <row r="4706" ht="12" customHeight="1"/>
    <row r="4707" ht="12" customHeight="1"/>
    <row r="4708" ht="12" customHeight="1"/>
    <row r="4709" ht="12" customHeight="1"/>
    <row r="4710" ht="12" customHeight="1"/>
    <row r="4711" ht="12" customHeight="1"/>
    <row r="4712" ht="12" customHeight="1"/>
    <row r="4713" ht="12" customHeight="1"/>
    <row r="4714" ht="12" customHeight="1"/>
    <row r="4715" ht="12" customHeight="1"/>
    <row r="4716" ht="12" customHeight="1"/>
    <row r="4717" ht="12" customHeight="1"/>
    <row r="4718" ht="12" customHeight="1"/>
    <row r="4719" ht="12" customHeight="1"/>
    <row r="4720" ht="12" customHeight="1"/>
    <row r="4721" ht="12" customHeight="1"/>
    <row r="4722" ht="12" customHeight="1"/>
    <row r="4723" ht="12" customHeight="1"/>
    <row r="4724" ht="12" customHeight="1"/>
    <row r="4725" ht="12" customHeight="1"/>
    <row r="4726" ht="12" customHeight="1"/>
    <row r="4727" ht="12" customHeight="1"/>
    <row r="4728" ht="12" customHeight="1"/>
    <row r="4729" ht="12" customHeight="1"/>
    <row r="4730" ht="12" customHeight="1"/>
    <row r="4731" ht="12" customHeight="1"/>
    <row r="4732" ht="12" customHeight="1"/>
    <row r="4733" ht="12" customHeight="1"/>
    <row r="4734" ht="12" customHeight="1"/>
    <row r="4735" ht="12" customHeight="1"/>
    <row r="4736" ht="12" customHeight="1"/>
    <row r="4737" ht="12" customHeight="1"/>
    <row r="4738" ht="12" customHeight="1"/>
    <row r="4739" ht="12" customHeight="1"/>
    <row r="4740" ht="12" customHeight="1"/>
    <row r="4741" ht="12" customHeight="1"/>
    <row r="4742" ht="12" customHeight="1"/>
    <row r="4743" ht="12" customHeight="1"/>
    <row r="4744" ht="12" customHeight="1"/>
    <row r="4745" ht="12" customHeight="1"/>
    <row r="4746" ht="12" customHeight="1"/>
    <row r="4747" ht="12" customHeight="1"/>
    <row r="4748" ht="12" customHeight="1"/>
    <row r="4749" ht="12" customHeight="1"/>
    <row r="4750" ht="12" customHeight="1"/>
    <row r="4751" ht="12" customHeight="1"/>
    <row r="4752" ht="12" customHeight="1"/>
    <row r="4753" ht="12" customHeight="1"/>
    <row r="4754" ht="12" customHeight="1"/>
    <row r="4755" ht="12" customHeight="1"/>
    <row r="4756" ht="12" customHeight="1"/>
    <row r="4757" ht="12" customHeight="1"/>
    <row r="4758" ht="12" customHeight="1"/>
    <row r="4759" ht="12" customHeight="1"/>
    <row r="4760" ht="12" customHeight="1"/>
    <row r="4761" ht="12" customHeight="1"/>
    <row r="4762" ht="12" customHeight="1"/>
    <row r="4763" ht="12" customHeight="1"/>
    <row r="4764" ht="12" customHeight="1"/>
    <row r="4765" ht="12" customHeight="1"/>
    <row r="4766" ht="12" customHeight="1"/>
    <row r="4767" ht="12" customHeight="1"/>
    <row r="4768" ht="12" customHeight="1"/>
    <row r="4769" ht="12" customHeight="1"/>
    <row r="4770" ht="12" customHeight="1"/>
    <row r="4771" ht="12" customHeight="1"/>
    <row r="4772" ht="12" customHeight="1"/>
    <row r="4773" ht="12" customHeight="1"/>
    <row r="4774" ht="12" customHeight="1"/>
    <row r="4775" ht="12" customHeight="1"/>
    <row r="4776" ht="12" customHeight="1"/>
    <row r="4777" ht="12" customHeight="1"/>
    <row r="4778" ht="12" customHeight="1"/>
    <row r="4779" ht="12" customHeight="1"/>
    <row r="4780" ht="12" customHeight="1"/>
    <row r="4781" ht="12" customHeight="1"/>
    <row r="4782" ht="12" customHeight="1"/>
    <row r="4783" ht="12" customHeight="1"/>
    <row r="4784" ht="12" customHeight="1"/>
    <row r="4785" ht="12" customHeight="1"/>
    <row r="4786" ht="12" customHeight="1"/>
    <row r="4787" ht="12" customHeight="1"/>
    <row r="4788" ht="12" customHeight="1"/>
    <row r="4789" ht="12" customHeight="1"/>
    <row r="4790" ht="12" customHeight="1"/>
    <row r="4791" ht="12" customHeight="1"/>
    <row r="4792" ht="12" customHeight="1"/>
    <row r="4793" ht="12" customHeight="1"/>
    <row r="4794" ht="12" customHeight="1"/>
    <row r="4795" ht="12" customHeight="1"/>
    <row r="4796" ht="12" customHeight="1"/>
    <row r="4797" ht="12" customHeight="1"/>
    <row r="4798" ht="12" customHeight="1"/>
    <row r="4799" ht="12" customHeight="1"/>
    <row r="4800" ht="12" customHeight="1"/>
    <row r="4801" ht="12" customHeight="1"/>
    <row r="4802" ht="12" customHeight="1"/>
    <row r="4803" ht="12" customHeight="1"/>
    <row r="4804" ht="12" customHeight="1"/>
    <row r="4805" ht="12" customHeight="1"/>
    <row r="4806" ht="12" customHeight="1"/>
    <row r="4807" ht="12" customHeight="1"/>
    <row r="4808" ht="12" customHeight="1"/>
    <row r="4809" ht="12" customHeight="1"/>
    <row r="4810" ht="12" customHeight="1"/>
    <row r="4811" ht="12" customHeight="1"/>
    <row r="4812" ht="12" customHeight="1"/>
    <row r="4813" ht="12" customHeight="1"/>
    <row r="4814" ht="12" customHeight="1"/>
    <row r="4815" ht="12" customHeight="1"/>
    <row r="4816" ht="12" customHeight="1"/>
    <row r="4817" ht="12" customHeight="1"/>
    <row r="4818" ht="12" customHeight="1"/>
    <row r="4819" ht="12" customHeight="1"/>
    <row r="4820" ht="12" customHeight="1"/>
    <row r="4821" ht="12" customHeight="1"/>
    <row r="4822" ht="12" customHeight="1"/>
    <row r="4823" ht="12" customHeight="1"/>
    <row r="4824" ht="12" customHeight="1"/>
    <row r="4825" ht="12" customHeight="1"/>
    <row r="4826" ht="12" customHeight="1"/>
    <row r="4827" ht="12" customHeight="1"/>
    <row r="4828" ht="12" customHeight="1"/>
    <row r="4829" ht="12" customHeight="1"/>
    <row r="4830" ht="12" customHeight="1"/>
    <row r="4831" ht="12" customHeight="1"/>
    <row r="4832" ht="12" customHeight="1"/>
    <row r="4833" ht="12" customHeight="1"/>
    <row r="4834" ht="12" customHeight="1"/>
    <row r="4835" ht="12" customHeight="1"/>
    <row r="4836" ht="12" customHeight="1"/>
    <row r="4837" ht="12" customHeight="1"/>
    <row r="4838" ht="12" customHeight="1"/>
    <row r="4839" ht="12" customHeight="1"/>
    <row r="4840" ht="12" customHeight="1"/>
    <row r="4841" ht="12" customHeight="1"/>
    <row r="4842" ht="12" customHeight="1"/>
    <row r="4843" ht="12" customHeight="1"/>
    <row r="4844" ht="12" customHeight="1"/>
    <row r="4845" ht="12" customHeight="1"/>
    <row r="4846" ht="12" customHeight="1"/>
    <row r="4847" ht="12" customHeight="1"/>
    <row r="4848" ht="12" customHeight="1"/>
    <row r="4849" ht="12" customHeight="1"/>
    <row r="4850" ht="12" customHeight="1"/>
    <row r="4851" ht="12" customHeight="1"/>
    <row r="4852" ht="12" customHeight="1"/>
    <row r="4853" ht="12" customHeight="1"/>
    <row r="4854" ht="12" customHeight="1"/>
    <row r="4855" ht="12" customHeight="1"/>
    <row r="4856" ht="12" customHeight="1"/>
    <row r="4857" ht="12" customHeight="1"/>
    <row r="4858" ht="12" customHeight="1"/>
    <row r="4859" ht="12" customHeight="1"/>
    <row r="4860" ht="12" customHeight="1"/>
    <row r="4861" ht="12" customHeight="1"/>
    <row r="4862" ht="12" customHeight="1"/>
    <row r="4863" ht="12" customHeight="1"/>
    <row r="4864" ht="12" customHeight="1"/>
    <row r="4865" ht="12" customHeight="1"/>
    <row r="4866" ht="12" customHeight="1"/>
    <row r="4867" ht="12" customHeight="1"/>
    <row r="4868" ht="12" customHeight="1"/>
    <row r="4869" ht="12" customHeight="1"/>
    <row r="4870" ht="12" customHeight="1"/>
    <row r="4871" ht="12" customHeight="1"/>
    <row r="4872" ht="12" customHeight="1"/>
    <row r="4873" ht="12" customHeight="1"/>
    <row r="4874" ht="12" customHeight="1"/>
    <row r="4875" ht="12" customHeight="1"/>
    <row r="4876" ht="12" customHeight="1"/>
    <row r="4877" ht="12" customHeight="1"/>
    <row r="4878" ht="12" customHeight="1"/>
    <row r="4879" ht="12" customHeight="1"/>
    <row r="4880" ht="12" customHeight="1"/>
    <row r="4881" ht="12" customHeight="1"/>
    <row r="4882" ht="12" customHeight="1"/>
    <row r="4883" ht="12" customHeight="1"/>
    <row r="4884" ht="12" customHeight="1"/>
    <row r="4885" ht="12" customHeight="1"/>
    <row r="4886" ht="12" customHeight="1"/>
    <row r="4887" ht="12" customHeight="1"/>
    <row r="4888" ht="12" customHeight="1"/>
    <row r="4889" ht="12" customHeight="1"/>
    <row r="4890" ht="12" customHeight="1"/>
    <row r="4891" ht="12" customHeight="1"/>
    <row r="4892" ht="12" customHeight="1"/>
    <row r="4893" ht="12" customHeight="1"/>
    <row r="4894" ht="12" customHeight="1"/>
    <row r="4895" ht="12" customHeight="1"/>
    <row r="4896" ht="12" customHeight="1"/>
    <row r="4897" ht="12" customHeight="1"/>
    <row r="4898" ht="12" customHeight="1"/>
    <row r="4899" ht="12" customHeight="1"/>
    <row r="4900" ht="12" customHeight="1"/>
    <row r="4901" ht="12" customHeight="1"/>
    <row r="4902" ht="12" customHeight="1"/>
    <row r="4903" ht="12" customHeight="1"/>
    <row r="4904" ht="12" customHeight="1"/>
    <row r="4905" ht="12" customHeight="1"/>
    <row r="4906" ht="12" customHeight="1"/>
    <row r="4907" ht="12" customHeight="1"/>
    <row r="4908" ht="12" customHeight="1"/>
    <row r="4909" ht="12" customHeight="1"/>
    <row r="4910" ht="12" customHeight="1"/>
    <row r="4911" ht="12" customHeight="1"/>
    <row r="4912" ht="12" customHeight="1"/>
    <row r="4913" ht="12" customHeight="1"/>
    <row r="4914" ht="12" customHeight="1"/>
    <row r="4915" ht="12" customHeight="1"/>
    <row r="4916" ht="12" customHeight="1"/>
    <row r="4917" ht="12" customHeight="1"/>
    <row r="4918" ht="12" customHeight="1"/>
    <row r="4919" ht="12" customHeight="1"/>
    <row r="4920" ht="12" customHeight="1"/>
    <row r="4921" ht="12" customHeight="1"/>
    <row r="4922" ht="12" customHeight="1"/>
    <row r="4923" ht="12" customHeight="1"/>
    <row r="4924" ht="12" customHeight="1"/>
    <row r="4925" ht="12" customHeight="1"/>
    <row r="4926" ht="12" customHeight="1"/>
    <row r="4927" ht="12" customHeight="1"/>
    <row r="4928" ht="12" customHeight="1"/>
    <row r="4929" ht="12" customHeight="1"/>
    <row r="4930" ht="12" customHeight="1"/>
    <row r="4931" ht="12" customHeight="1"/>
    <row r="4932" ht="12" customHeight="1"/>
    <row r="4933" ht="12" customHeight="1"/>
    <row r="4934" ht="12" customHeight="1"/>
    <row r="4935" ht="12" customHeight="1"/>
    <row r="4936" ht="12" customHeight="1"/>
    <row r="4937" ht="12" customHeight="1"/>
    <row r="4938" ht="12" customHeight="1"/>
    <row r="4939" ht="12" customHeight="1"/>
    <row r="4940" ht="12" customHeight="1"/>
    <row r="4941" ht="12" customHeight="1"/>
    <row r="4942" ht="12" customHeight="1"/>
    <row r="4943" ht="12" customHeight="1"/>
    <row r="4944" ht="12" customHeight="1"/>
    <row r="4945" ht="12" customHeight="1"/>
    <row r="4946" ht="12" customHeight="1"/>
    <row r="4947" ht="12" customHeight="1"/>
    <row r="4948" ht="12" customHeight="1"/>
    <row r="4949" ht="12" customHeight="1"/>
    <row r="4950" ht="12" customHeight="1"/>
    <row r="4951" ht="12" customHeight="1"/>
    <row r="4952" ht="12" customHeight="1"/>
    <row r="4953" ht="12" customHeight="1"/>
    <row r="4954" ht="12" customHeight="1"/>
    <row r="4955" ht="12" customHeight="1"/>
    <row r="4956" ht="12" customHeight="1"/>
    <row r="4957" ht="12" customHeight="1"/>
    <row r="4958" ht="12" customHeight="1"/>
    <row r="4959" ht="12" customHeight="1"/>
    <row r="4960" ht="12" customHeight="1"/>
    <row r="4961" ht="12" customHeight="1"/>
    <row r="4962" ht="12" customHeight="1"/>
    <row r="4963" ht="12" customHeight="1"/>
    <row r="4964" ht="12" customHeight="1"/>
    <row r="4965" ht="12" customHeight="1"/>
    <row r="4966" ht="12" customHeight="1"/>
    <row r="4967" ht="12" customHeight="1"/>
    <row r="4968" ht="12" customHeight="1"/>
    <row r="4969" ht="12" customHeight="1"/>
    <row r="4970" ht="12" customHeight="1"/>
    <row r="4971" ht="12" customHeight="1"/>
    <row r="4972" ht="12" customHeight="1"/>
    <row r="4973" ht="12" customHeight="1"/>
    <row r="4974" ht="12" customHeight="1"/>
    <row r="4975" ht="12" customHeight="1"/>
    <row r="4976" ht="12" customHeight="1"/>
    <row r="4977" ht="12" customHeight="1"/>
    <row r="4978" ht="12" customHeight="1"/>
    <row r="4979" ht="12" customHeight="1"/>
    <row r="4980" ht="12" customHeight="1"/>
    <row r="4981" ht="12" customHeight="1"/>
    <row r="4982" ht="12" customHeight="1"/>
    <row r="4983" ht="12" customHeight="1"/>
    <row r="4984" ht="12" customHeight="1"/>
    <row r="4985" ht="12" customHeight="1"/>
    <row r="4986" ht="12" customHeight="1"/>
    <row r="4987" ht="12" customHeight="1"/>
    <row r="4988" ht="12" customHeight="1"/>
    <row r="4989" ht="12" customHeight="1"/>
    <row r="4990" ht="12" customHeight="1"/>
    <row r="4991" ht="12" customHeight="1"/>
    <row r="4992" ht="12" customHeight="1"/>
    <row r="4993" ht="12" customHeight="1"/>
    <row r="4994" ht="12" customHeight="1"/>
    <row r="4995" ht="12" customHeight="1"/>
    <row r="4996" ht="12" customHeight="1"/>
    <row r="4997" ht="12" customHeight="1"/>
    <row r="4998" ht="12" customHeight="1"/>
    <row r="4999" ht="12" customHeight="1"/>
    <row r="5000" ht="12" customHeight="1"/>
    <row r="5001" ht="12" customHeight="1"/>
    <row r="5002" ht="12" customHeight="1"/>
    <row r="5003" ht="12" customHeight="1"/>
    <row r="5004" ht="12" customHeight="1"/>
    <row r="5005" ht="12" customHeight="1"/>
    <row r="5006" ht="12" customHeight="1"/>
    <row r="5007" ht="12" customHeight="1"/>
    <row r="5008" ht="12" customHeight="1"/>
    <row r="5009" ht="12" customHeight="1"/>
    <row r="5010" ht="12" customHeight="1"/>
    <row r="5011" ht="12" customHeight="1"/>
    <row r="5012" ht="12" customHeight="1"/>
    <row r="5013" ht="12" customHeight="1"/>
    <row r="5014" ht="12" customHeight="1"/>
    <row r="5015" ht="12" customHeight="1"/>
    <row r="5016" ht="12" customHeight="1"/>
    <row r="5017" ht="12" customHeight="1"/>
    <row r="5018" ht="12" customHeight="1"/>
    <row r="5019" ht="12" customHeight="1"/>
    <row r="5020" ht="12" customHeight="1"/>
    <row r="5021" ht="12" customHeight="1"/>
    <row r="5022" ht="12" customHeight="1"/>
    <row r="5023" ht="12" customHeight="1"/>
    <row r="5024" ht="12" customHeight="1"/>
    <row r="5025" ht="12" customHeight="1"/>
    <row r="5026" ht="12" customHeight="1"/>
    <row r="5027" ht="12" customHeight="1"/>
    <row r="5028" ht="12" customHeight="1"/>
    <row r="5029" ht="12" customHeight="1"/>
    <row r="5030" ht="12" customHeight="1"/>
    <row r="5031" ht="12" customHeight="1"/>
    <row r="5032" ht="12" customHeight="1"/>
    <row r="5033" ht="12" customHeight="1"/>
    <row r="5034" ht="12" customHeight="1"/>
    <row r="5035" ht="12" customHeight="1"/>
    <row r="5036" ht="12" customHeight="1"/>
    <row r="5037" ht="12" customHeight="1"/>
    <row r="5038" ht="12" customHeight="1"/>
    <row r="5039" ht="12" customHeight="1"/>
    <row r="5040" ht="12" customHeight="1"/>
    <row r="5041" ht="12" customHeight="1"/>
    <row r="5042" ht="12" customHeight="1"/>
    <row r="5043" ht="12" customHeight="1"/>
    <row r="5044" ht="12" customHeight="1"/>
    <row r="5045" ht="12" customHeight="1"/>
    <row r="5046" ht="12" customHeight="1"/>
    <row r="5047" ht="12" customHeight="1"/>
    <row r="5048" ht="12" customHeight="1"/>
    <row r="5049" ht="12" customHeight="1"/>
    <row r="5050" ht="12" customHeight="1"/>
    <row r="5051" ht="12" customHeight="1"/>
    <row r="5052" ht="12" customHeight="1"/>
    <row r="5053" ht="12" customHeight="1"/>
    <row r="5054" ht="12" customHeight="1"/>
    <row r="5055" ht="12" customHeight="1"/>
    <row r="5056" ht="12" customHeight="1"/>
    <row r="5057" ht="12" customHeight="1"/>
    <row r="5058" ht="12" customHeight="1"/>
    <row r="5059" ht="12" customHeight="1"/>
    <row r="5060" ht="12" customHeight="1"/>
    <row r="5061" ht="12" customHeight="1"/>
    <row r="5062" ht="12" customHeight="1"/>
    <row r="5063" ht="12" customHeight="1"/>
    <row r="5064" ht="12" customHeight="1"/>
    <row r="5065" ht="12" customHeight="1"/>
    <row r="5066" ht="12" customHeight="1"/>
    <row r="5067" ht="12" customHeight="1"/>
    <row r="5068" ht="12" customHeight="1"/>
    <row r="5069" ht="12" customHeight="1"/>
    <row r="5070" ht="12" customHeight="1"/>
    <row r="5071" ht="12" customHeight="1"/>
    <row r="5072" ht="12" customHeight="1"/>
    <row r="5073" ht="12" customHeight="1"/>
    <row r="5074" ht="12" customHeight="1"/>
    <row r="5075" ht="12" customHeight="1"/>
    <row r="5076" ht="12" customHeight="1"/>
    <row r="5077" ht="12" customHeight="1"/>
    <row r="5078" ht="12" customHeight="1"/>
    <row r="5079" ht="12" customHeight="1"/>
    <row r="5080" ht="12" customHeight="1"/>
    <row r="5081" ht="12" customHeight="1"/>
    <row r="5082" ht="12" customHeight="1"/>
    <row r="5083" ht="12" customHeight="1"/>
    <row r="5084" ht="12" customHeight="1"/>
    <row r="5085" ht="12" customHeight="1"/>
    <row r="5086" ht="12" customHeight="1"/>
    <row r="5087" ht="12" customHeight="1"/>
    <row r="5088" ht="12" customHeight="1"/>
    <row r="5089" ht="12" customHeight="1"/>
    <row r="5090" ht="12" customHeight="1"/>
    <row r="5091" ht="12" customHeight="1"/>
    <row r="5092" ht="12" customHeight="1"/>
    <row r="5093" ht="12" customHeight="1"/>
    <row r="5094" ht="12" customHeight="1"/>
    <row r="5095" ht="12" customHeight="1"/>
    <row r="5096" ht="12" customHeight="1"/>
    <row r="5097" ht="12" customHeight="1"/>
    <row r="5098" ht="12" customHeight="1"/>
    <row r="5099" ht="12" customHeight="1"/>
    <row r="5100" ht="12" customHeight="1"/>
    <row r="5101" ht="12" customHeight="1"/>
    <row r="5102" ht="12" customHeight="1"/>
    <row r="5103" ht="12" customHeight="1"/>
    <row r="5104" ht="12" customHeight="1"/>
    <row r="5105" ht="12" customHeight="1"/>
    <row r="5106" ht="12" customHeight="1"/>
    <row r="5107" ht="12" customHeight="1"/>
    <row r="5108" ht="12" customHeight="1"/>
    <row r="5109" ht="12" customHeight="1"/>
    <row r="5110" ht="12" customHeight="1"/>
    <row r="5111" ht="12" customHeight="1"/>
    <row r="5112" ht="12" customHeight="1"/>
    <row r="5113" ht="12" customHeight="1"/>
    <row r="5114" ht="12" customHeight="1"/>
    <row r="5115" ht="12" customHeight="1"/>
    <row r="5116" ht="12" customHeight="1"/>
    <row r="5117" ht="12" customHeight="1"/>
    <row r="5118" ht="12" customHeight="1"/>
    <row r="5119" ht="12" customHeight="1"/>
    <row r="5120" ht="12" customHeight="1"/>
    <row r="5121" ht="12" customHeight="1"/>
    <row r="5122" ht="12" customHeight="1"/>
    <row r="5123" ht="12" customHeight="1"/>
    <row r="5124" ht="12" customHeight="1"/>
    <row r="5125" ht="12" customHeight="1"/>
    <row r="5126" ht="12" customHeight="1"/>
    <row r="5127" ht="12" customHeight="1"/>
    <row r="5128" ht="12" customHeight="1"/>
    <row r="5129" ht="12" customHeight="1"/>
    <row r="5130" ht="12" customHeight="1"/>
    <row r="5131" ht="12" customHeight="1"/>
    <row r="5132" ht="12" customHeight="1"/>
    <row r="5133" ht="12" customHeight="1"/>
    <row r="5134" ht="12" customHeight="1"/>
    <row r="5135" ht="12" customHeight="1"/>
    <row r="5136" ht="12" customHeight="1"/>
    <row r="5137" ht="12" customHeight="1"/>
    <row r="5138" ht="12" customHeight="1"/>
    <row r="5139" ht="12" customHeight="1"/>
    <row r="5140" ht="12" customHeight="1"/>
    <row r="5141" ht="12" customHeight="1"/>
    <row r="5142" ht="12" customHeight="1"/>
    <row r="5143" ht="12" customHeight="1"/>
    <row r="5144" ht="12" customHeight="1"/>
    <row r="5145" ht="12" customHeight="1"/>
    <row r="5146" ht="12" customHeight="1"/>
    <row r="5147" ht="12" customHeight="1"/>
    <row r="5148" ht="12" customHeight="1"/>
    <row r="5149" ht="12" customHeight="1"/>
    <row r="5150" ht="12" customHeight="1"/>
    <row r="5151" ht="12" customHeight="1"/>
    <row r="5152" ht="12" customHeight="1"/>
    <row r="5153" ht="12" customHeight="1"/>
    <row r="5154" ht="12" customHeight="1"/>
    <row r="5155" ht="12" customHeight="1"/>
    <row r="5156" ht="12" customHeight="1"/>
    <row r="5157" ht="12" customHeight="1"/>
    <row r="5158" ht="12" customHeight="1"/>
    <row r="5159" ht="12" customHeight="1"/>
    <row r="5160" ht="12" customHeight="1"/>
    <row r="5161" ht="12" customHeight="1"/>
    <row r="5162" ht="12" customHeight="1"/>
    <row r="5163" ht="12" customHeight="1"/>
    <row r="5164" ht="12" customHeight="1"/>
    <row r="5165" ht="12" customHeight="1"/>
    <row r="5166" ht="12" customHeight="1"/>
    <row r="5167" ht="12" customHeight="1"/>
    <row r="5168" ht="12" customHeight="1"/>
    <row r="5169" ht="12" customHeight="1"/>
    <row r="5170" ht="12" customHeight="1"/>
    <row r="5171" ht="12" customHeight="1"/>
    <row r="5172" ht="12" customHeight="1"/>
    <row r="5173" ht="12" customHeight="1"/>
    <row r="5174" ht="12" customHeight="1"/>
    <row r="5175" ht="12" customHeight="1"/>
    <row r="5176" ht="12" customHeight="1"/>
    <row r="5177" ht="12" customHeight="1"/>
    <row r="5178" ht="12" customHeight="1"/>
    <row r="5179" ht="12" customHeight="1"/>
    <row r="5180" ht="12" customHeight="1"/>
    <row r="5181" ht="12" customHeight="1"/>
    <row r="5182" ht="12" customHeight="1"/>
    <row r="5183" ht="12" customHeight="1"/>
    <row r="5184" ht="12" customHeight="1"/>
    <row r="5185" ht="12" customHeight="1"/>
    <row r="5186" ht="12" customHeight="1"/>
    <row r="5187" ht="12" customHeight="1"/>
    <row r="5188" ht="12" customHeight="1"/>
    <row r="5189" ht="12" customHeight="1"/>
    <row r="5190" ht="12" customHeight="1"/>
    <row r="5191" ht="12" customHeight="1"/>
    <row r="5192" ht="12" customHeight="1"/>
    <row r="5193" ht="12" customHeight="1"/>
    <row r="5194" ht="12" customHeight="1"/>
    <row r="5195" ht="12" customHeight="1"/>
    <row r="5196" ht="12" customHeight="1"/>
    <row r="5197" ht="12" customHeight="1"/>
    <row r="5198" ht="12" customHeight="1"/>
    <row r="5199" ht="12" customHeight="1"/>
    <row r="5200" ht="12" customHeight="1"/>
    <row r="5201" ht="12" customHeight="1"/>
    <row r="5202" ht="12" customHeight="1"/>
    <row r="5203" ht="12" customHeight="1"/>
    <row r="5204" ht="12" customHeight="1"/>
    <row r="5205" ht="12" customHeight="1"/>
    <row r="5206" ht="12" customHeight="1"/>
    <row r="5207" ht="12" customHeight="1"/>
    <row r="5208" ht="12" customHeight="1"/>
    <row r="5209" ht="12" customHeight="1"/>
    <row r="5210" ht="12" customHeight="1"/>
    <row r="5211" ht="12" customHeight="1"/>
    <row r="5212" ht="12" customHeight="1"/>
    <row r="5213" ht="12" customHeight="1"/>
    <row r="5214" ht="12" customHeight="1"/>
    <row r="5215" ht="12" customHeight="1"/>
    <row r="5216" ht="12" customHeight="1"/>
    <row r="5217" ht="12" customHeight="1"/>
    <row r="5218" ht="12" customHeight="1"/>
    <row r="5219" ht="12" customHeight="1"/>
    <row r="5220" ht="12" customHeight="1"/>
    <row r="5221" ht="12" customHeight="1"/>
    <row r="5222" ht="12" customHeight="1"/>
    <row r="5223" ht="12" customHeight="1"/>
    <row r="5224" ht="12" customHeight="1"/>
    <row r="5225" ht="12" customHeight="1"/>
    <row r="5226" ht="12" customHeight="1"/>
    <row r="5227" ht="12" customHeight="1"/>
    <row r="5228" ht="12" customHeight="1"/>
    <row r="5229" ht="12" customHeight="1"/>
    <row r="5230" ht="12" customHeight="1"/>
    <row r="5231" ht="12" customHeight="1"/>
    <row r="5232" ht="12" customHeight="1"/>
    <row r="5233" ht="12" customHeight="1"/>
    <row r="5234" ht="12" customHeight="1"/>
    <row r="5235" ht="12" customHeight="1"/>
    <row r="5236" ht="12" customHeight="1"/>
    <row r="5237" ht="12" customHeight="1"/>
    <row r="5238" ht="12" customHeight="1"/>
    <row r="5239" ht="12" customHeight="1"/>
    <row r="5240" ht="12" customHeight="1"/>
    <row r="5241" ht="12" customHeight="1"/>
    <row r="5242" ht="12" customHeight="1"/>
    <row r="5243" ht="12" customHeight="1"/>
    <row r="5244" ht="12" customHeight="1"/>
    <row r="5245" ht="12" customHeight="1"/>
    <row r="5246" ht="12" customHeight="1"/>
    <row r="5247" ht="12" customHeight="1"/>
    <row r="5248" ht="12" customHeight="1"/>
    <row r="5249" ht="12" customHeight="1"/>
    <row r="5250" ht="12" customHeight="1"/>
    <row r="5251" ht="12" customHeight="1"/>
    <row r="5252" ht="12" customHeight="1"/>
    <row r="5253" ht="12" customHeight="1"/>
    <row r="5254" ht="12" customHeight="1"/>
    <row r="5255" ht="12" customHeight="1"/>
    <row r="5256" ht="12" customHeight="1"/>
    <row r="5257" ht="12" customHeight="1"/>
    <row r="5258" ht="12" customHeight="1"/>
    <row r="5259" ht="12" customHeight="1"/>
    <row r="5260" ht="12" customHeight="1"/>
    <row r="5261" ht="12" customHeight="1"/>
    <row r="5262" ht="12" customHeight="1"/>
    <row r="5263" ht="12" customHeight="1"/>
    <row r="5264" ht="12" customHeight="1"/>
    <row r="5265" ht="12" customHeight="1"/>
    <row r="5266" ht="12" customHeight="1"/>
    <row r="5267" ht="12" customHeight="1"/>
    <row r="5268" ht="12" customHeight="1"/>
    <row r="5269" ht="12" customHeight="1"/>
    <row r="5270" ht="12" customHeight="1"/>
    <row r="5271" ht="12" customHeight="1"/>
    <row r="5272" ht="12" customHeight="1"/>
    <row r="5273" ht="12" customHeight="1"/>
    <row r="5274" ht="12" customHeight="1"/>
    <row r="5275" ht="12" customHeight="1"/>
    <row r="5276" ht="12" customHeight="1"/>
    <row r="5277" ht="12" customHeight="1"/>
    <row r="5278" ht="12" customHeight="1"/>
    <row r="5279" ht="12" customHeight="1"/>
    <row r="5280" ht="12" customHeight="1"/>
    <row r="5281" ht="12" customHeight="1"/>
    <row r="5282" ht="12" customHeight="1"/>
    <row r="5283" ht="12" customHeight="1"/>
    <row r="5284" ht="12" customHeight="1"/>
    <row r="5285" ht="12" customHeight="1"/>
    <row r="5286" ht="12" customHeight="1"/>
    <row r="5287" ht="12" customHeight="1"/>
    <row r="5288" ht="12" customHeight="1"/>
    <row r="5289" ht="12" customHeight="1"/>
    <row r="5290" ht="12" customHeight="1"/>
    <row r="5291" ht="12" customHeight="1"/>
    <row r="5292" ht="12" customHeight="1"/>
    <row r="5293" ht="12" customHeight="1"/>
    <row r="5294" ht="12" customHeight="1"/>
    <row r="5295" ht="12" customHeight="1"/>
    <row r="5296" ht="12" customHeight="1"/>
    <row r="5297" ht="12" customHeight="1"/>
    <row r="5298" ht="12" customHeight="1"/>
    <row r="5299" ht="12" customHeight="1"/>
    <row r="5300" ht="12" customHeight="1"/>
    <row r="5301" ht="12" customHeight="1"/>
    <row r="5302" ht="12" customHeight="1"/>
    <row r="5303" ht="12" customHeight="1"/>
    <row r="5304" ht="12" customHeight="1"/>
    <row r="5305" ht="12" customHeight="1"/>
    <row r="5306" ht="12" customHeight="1"/>
    <row r="5307" ht="12" customHeight="1"/>
    <row r="5308" ht="12" customHeight="1"/>
    <row r="5309" ht="12" customHeight="1"/>
    <row r="5310" ht="12" customHeight="1"/>
    <row r="5311" ht="12" customHeight="1"/>
    <row r="5312" ht="12" customHeight="1"/>
    <row r="5313" ht="12" customHeight="1"/>
    <row r="5314" ht="12" customHeight="1"/>
    <row r="5315" ht="12" customHeight="1"/>
    <row r="5316" ht="12" customHeight="1"/>
    <row r="5317" ht="12" customHeight="1"/>
    <row r="5318" ht="12" customHeight="1"/>
    <row r="5319" ht="12" customHeight="1"/>
    <row r="5320" ht="12" customHeight="1"/>
    <row r="5321" ht="12" customHeight="1"/>
    <row r="5322" ht="12" customHeight="1"/>
    <row r="5323" ht="12" customHeight="1"/>
    <row r="5324" ht="12" customHeight="1"/>
    <row r="5325" ht="12" customHeight="1"/>
    <row r="5326" ht="12" customHeight="1"/>
    <row r="5327" ht="12" customHeight="1"/>
    <row r="5328" ht="12" customHeight="1"/>
    <row r="5329" ht="12" customHeight="1"/>
    <row r="5330" ht="12" customHeight="1"/>
    <row r="5331" ht="12" customHeight="1"/>
    <row r="5332" ht="12" customHeight="1"/>
    <row r="5333" ht="12" customHeight="1"/>
    <row r="5334" ht="12" customHeight="1"/>
    <row r="5335" ht="12" customHeight="1"/>
    <row r="5336" ht="12" customHeight="1"/>
    <row r="5337" ht="12" customHeight="1"/>
    <row r="5338" ht="12" customHeight="1"/>
    <row r="5339" ht="12" customHeight="1"/>
    <row r="5340" ht="12" customHeight="1"/>
    <row r="5341" ht="12" customHeight="1"/>
    <row r="5342" ht="12" customHeight="1"/>
    <row r="5343" ht="12" customHeight="1"/>
    <row r="5344" ht="12" customHeight="1"/>
    <row r="5345" ht="12" customHeight="1"/>
    <row r="5346" ht="12" customHeight="1"/>
    <row r="5347" ht="12" customHeight="1"/>
    <row r="5348" ht="12" customHeight="1"/>
    <row r="5349" ht="12" customHeight="1"/>
    <row r="5350" ht="12" customHeight="1"/>
    <row r="5351" ht="12" customHeight="1"/>
    <row r="5352" ht="12" customHeight="1"/>
    <row r="5353" ht="12" customHeight="1"/>
    <row r="5354" ht="12" customHeight="1"/>
    <row r="5355" ht="12" customHeight="1"/>
    <row r="5356" ht="12" customHeight="1"/>
    <row r="5357" ht="12" customHeight="1"/>
    <row r="5358" ht="12" customHeight="1"/>
    <row r="5359" ht="12" customHeight="1"/>
    <row r="5360" ht="12" customHeight="1"/>
    <row r="5361" ht="12" customHeight="1"/>
    <row r="5362" ht="12" customHeight="1"/>
    <row r="5363" ht="12" customHeight="1"/>
    <row r="5364" ht="12" customHeight="1"/>
    <row r="5365" ht="12" customHeight="1"/>
    <row r="5366" ht="12" customHeight="1"/>
    <row r="5367" ht="12" customHeight="1"/>
    <row r="5368" ht="12" customHeight="1"/>
    <row r="5369" ht="12" customHeight="1"/>
    <row r="5370" ht="12" customHeight="1"/>
    <row r="5371" ht="12" customHeight="1"/>
    <row r="5372" ht="12" customHeight="1"/>
    <row r="5373" ht="12" customHeight="1"/>
    <row r="5374" ht="12" customHeight="1"/>
    <row r="5375" ht="12" customHeight="1"/>
    <row r="5376" ht="12" customHeight="1"/>
    <row r="5377" ht="12" customHeight="1"/>
    <row r="5378" ht="12" customHeight="1"/>
    <row r="5379" ht="12" customHeight="1"/>
    <row r="5380" ht="12" customHeight="1"/>
    <row r="5381" ht="12" customHeight="1"/>
    <row r="5382" ht="12" customHeight="1"/>
    <row r="5383" ht="12" customHeight="1"/>
    <row r="5384" ht="12" customHeight="1"/>
    <row r="5385" ht="12" customHeight="1"/>
    <row r="5386" ht="12" customHeight="1"/>
    <row r="5387" ht="12" customHeight="1"/>
    <row r="5388" ht="12" customHeight="1"/>
    <row r="5389" ht="12" customHeight="1"/>
    <row r="5390" ht="12" customHeight="1"/>
    <row r="5391" ht="12" customHeight="1"/>
    <row r="5392" ht="12" customHeight="1"/>
    <row r="5393" ht="12" customHeight="1"/>
    <row r="5394" ht="12" customHeight="1"/>
    <row r="5395" ht="12" customHeight="1"/>
    <row r="5396" ht="12" customHeight="1"/>
    <row r="5397" ht="12" customHeight="1"/>
    <row r="5398" ht="12" customHeight="1"/>
    <row r="5399" ht="12" customHeight="1"/>
    <row r="5400" ht="12" customHeight="1"/>
    <row r="5401" ht="12" customHeight="1"/>
    <row r="5402" ht="12" customHeight="1"/>
    <row r="5403" ht="12" customHeight="1"/>
    <row r="5404" ht="12" customHeight="1"/>
    <row r="5405" ht="12" customHeight="1"/>
    <row r="5406" ht="12" customHeight="1"/>
    <row r="5407" ht="12" customHeight="1"/>
    <row r="5408" ht="12" customHeight="1"/>
    <row r="5409" ht="12" customHeight="1"/>
    <row r="5410" ht="12" customHeight="1"/>
    <row r="5411" ht="12" customHeight="1"/>
    <row r="5412" ht="12" customHeight="1"/>
    <row r="5413" ht="12" customHeight="1"/>
    <row r="5414" ht="12" customHeight="1"/>
    <row r="5415" ht="12" customHeight="1"/>
    <row r="5416" ht="12" customHeight="1"/>
    <row r="5417" ht="12" customHeight="1"/>
    <row r="5418" ht="12" customHeight="1"/>
    <row r="5419" ht="12" customHeight="1"/>
    <row r="5420" ht="12" customHeight="1"/>
    <row r="5421" ht="12" customHeight="1"/>
    <row r="5422" ht="12" customHeight="1"/>
    <row r="5423" ht="12" customHeight="1"/>
    <row r="5424" ht="12" customHeight="1"/>
    <row r="5425" ht="12" customHeight="1"/>
    <row r="5426" ht="12" customHeight="1"/>
    <row r="5427" ht="12" customHeight="1"/>
    <row r="5428" ht="12" customHeight="1"/>
    <row r="5429" ht="12" customHeight="1"/>
    <row r="5430" ht="12" customHeight="1"/>
    <row r="5431" ht="12" customHeight="1"/>
    <row r="5432" ht="12" customHeight="1"/>
    <row r="5433" ht="12" customHeight="1"/>
    <row r="5434" ht="12" customHeight="1"/>
    <row r="5435" ht="12" customHeight="1"/>
    <row r="5436" ht="12" customHeight="1"/>
    <row r="5437" ht="12" customHeight="1"/>
    <row r="5438" ht="12" customHeight="1"/>
    <row r="5439" ht="12" customHeight="1"/>
    <row r="5440" ht="12" customHeight="1"/>
    <row r="5441" ht="12" customHeight="1"/>
    <row r="5442" ht="12" customHeight="1"/>
    <row r="5443" ht="12" customHeight="1"/>
    <row r="5444" ht="12" customHeight="1"/>
    <row r="5445" ht="12" customHeight="1"/>
    <row r="5446" ht="12" customHeight="1"/>
    <row r="5447" ht="12" customHeight="1"/>
    <row r="5448" ht="12" customHeight="1"/>
    <row r="5449" ht="12" customHeight="1"/>
    <row r="5450" ht="12" customHeight="1"/>
    <row r="5451" ht="12" customHeight="1"/>
    <row r="5452" ht="12" customHeight="1"/>
    <row r="5453" ht="12" customHeight="1"/>
    <row r="5454" ht="12" customHeight="1"/>
    <row r="5455" ht="12" customHeight="1"/>
    <row r="5456" ht="12" customHeight="1"/>
    <row r="5457" ht="12" customHeight="1"/>
    <row r="5458" ht="12" customHeight="1"/>
    <row r="5459" ht="12" customHeight="1"/>
    <row r="5460" ht="12" customHeight="1"/>
    <row r="5461" ht="12" customHeight="1"/>
    <row r="5462" ht="12" customHeight="1"/>
    <row r="5463" ht="12" customHeight="1"/>
    <row r="5464" ht="12" customHeight="1"/>
    <row r="5465" ht="12" customHeight="1"/>
    <row r="5466" ht="12" customHeight="1"/>
    <row r="5467" ht="12" customHeight="1"/>
    <row r="5468" ht="12" customHeight="1"/>
    <row r="5469" ht="12" customHeight="1"/>
    <row r="5470" ht="12" customHeight="1"/>
    <row r="5471" ht="12" customHeight="1"/>
    <row r="5472" ht="12" customHeight="1"/>
    <row r="5473" ht="12" customHeight="1"/>
    <row r="5474" ht="12" customHeight="1"/>
    <row r="5475" ht="12" customHeight="1"/>
    <row r="5476" ht="12" customHeight="1"/>
    <row r="5477" ht="12" customHeight="1"/>
    <row r="5478" ht="12" customHeight="1"/>
    <row r="5479" ht="12" customHeight="1"/>
    <row r="5480" ht="12" customHeight="1"/>
    <row r="5481" ht="12" customHeight="1"/>
    <row r="5482" ht="12" customHeight="1"/>
    <row r="5483" ht="12" customHeight="1"/>
    <row r="5484" ht="12" customHeight="1"/>
    <row r="5485" ht="12" customHeight="1"/>
    <row r="5486" ht="12" customHeight="1"/>
    <row r="5487" ht="12" customHeight="1"/>
    <row r="5488" ht="12" customHeight="1"/>
    <row r="5489" ht="12" customHeight="1"/>
    <row r="5490" ht="12" customHeight="1"/>
    <row r="5491" ht="12" customHeight="1"/>
    <row r="5492" ht="12" customHeight="1"/>
    <row r="5493" ht="12" customHeight="1"/>
    <row r="5494" ht="12" customHeight="1"/>
    <row r="5495" ht="12" customHeight="1"/>
    <row r="5496" ht="12" customHeight="1"/>
    <row r="5497" ht="12" customHeight="1"/>
    <row r="5498" ht="12" customHeight="1"/>
    <row r="5499" ht="12" customHeight="1"/>
    <row r="5500" ht="12" customHeight="1"/>
    <row r="5501" ht="12" customHeight="1"/>
    <row r="5502" ht="12" customHeight="1"/>
    <row r="5503" ht="12" customHeight="1"/>
    <row r="5504" ht="12" customHeight="1"/>
    <row r="5505" ht="12" customHeight="1"/>
    <row r="5506" ht="12" customHeight="1"/>
    <row r="5507" ht="12" customHeight="1"/>
    <row r="5508" ht="12" customHeight="1"/>
    <row r="5509" ht="12" customHeight="1"/>
    <row r="5510" ht="12" customHeight="1"/>
    <row r="5511" ht="12" customHeight="1"/>
    <row r="5512" ht="12" customHeight="1"/>
    <row r="5513" ht="12" customHeight="1"/>
    <row r="5514" ht="12" customHeight="1"/>
    <row r="5515" ht="12" customHeight="1"/>
    <row r="5516" ht="12" customHeight="1"/>
    <row r="5517" ht="12" customHeight="1"/>
    <row r="5518" ht="12" customHeight="1"/>
    <row r="5519" ht="12" customHeight="1"/>
    <row r="5520" ht="12" customHeight="1"/>
    <row r="5521" ht="12" customHeight="1"/>
    <row r="5522" ht="12" customHeight="1"/>
    <row r="5523" ht="12" customHeight="1"/>
    <row r="5524" ht="12" customHeight="1"/>
    <row r="5525" ht="12" customHeight="1"/>
    <row r="5526" ht="12" customHeight="1"/>
    <row r="5527" ht="12" customHeight="1"/>
    <row r="5528" ht="12" customHeight="1"/>
    <row r="5529" ht="12" customHeight="1"/>
    <row r="5530" ht="12" customHeight="1"/>
    <row r="5531" ht="12" customHeight="1"/>
    <row r="5532" ht="12" customHeight="1"/>
    <row r="5533" ht="12" customHeight="1"/>
    <row r="5534" ht="12" customHeight="1"/>
    <row r="5535" ht="12" customHeight="1"/>
    <row r="5536" ht="12" customHeight="1"/>
    <row r="5537" ht="12" customHeight="1"/>
    <row r="5538" ht="12" customHeight="1"/>
    <row r="5539" ht="12" customHeight="1"/>
    <row r="5540" ht="12" customHeight="1"/>
    <row r="5541" ht="12" customHeight="1"/>
    <row r="5542" ht="12" customHeight="1"/>
    <row r="5543" ht="12" customHeight="1"/>
    <row r="5544" ht="12" customHeight="1"/>
    <row r="5545" ht="12" customHeight="1"/>
    <row r="5546" ht="12" customHeight="1"/>
    <row r="5547" ht="12" customHeight="1"/>
    <row r="5548" ht="12" customHeight="1"/>
    <row r="5549" ht="12" customHeight="1"/>
    <row r="5550" ht="12" customHeight="1"/>
    <row r="5551" ht="12" customHeight="1"/>
    <row r="5552" ht="12" customHeight="1"/>
    <row r="5553" ht="12" customHeight="1"/>
    <row r="5554" ht="12" customHeight="1"/>
    <row r="5555" ht="12" customHeight="1"/>
    <row r="5556" ht="12" customHeight="1"/>
    <row r="5557" ht="12" customHeight="1"/>
    <row r="5558" ht="12" customHeight="1"/>
    <row r="5559" ht="12" customHeight="1"/>
    <row r="5560" ht="12" customHeight="1"/>
    <row r="5561" ht="12" customHeight="1"/>
    <row r="5562" ht="12" customHeight="1"/>
    <row r="5563" ht="12" customHeight="1"/>
    <row r="5564" ht="12" customHeight="1"/>
    <row r="5565" ht="12" customHeight="1"/>
    <row r="5566" ht="12" customHeight="1"/>
    <row r="5567" ht="12" customHeight="1"/>
    <row r="5568" ht="12" customHeight="1"/>
    <row r="5569" ht="12" customHeight="1"/>
    <row r="5570" ht="12" customHeight="1"/>
    <row r="5571" ht="12" customHeight="1"/>
    <row r="5572" ht="12" customHeight="1"/>
    <row r="5573" ht="12" customHeight="1"/>
    <row r="5574" ht="12" customHeight="1"/>
    <row r="5575" ht="12" customHeight="1"/>
    <row r="5576" ht="12" customHeight="1"/>
    <row r="5577" ht="12" customHeight="1"/>
    <row r="5578" ht="12" customHeight="1"/>
    <row r="5579" ht="12" customHeight="1"/>
    <row r="5580" ht="12" customHeight="1"/>
    <row r="5581" ht="12" customHeight="1"/>
    <row r="5582" ht="12" customHeight="1"/>
    <row r="5583" ht="12" customHeight="1"/>
    <row r="5584" ht="12" customHeight="1"/>
    <row r="5585" ht="12" customHeight="1"/>
    <row r="5586" ht="12" customHeight="1"/>
    <row r="5587" ht="12" customHeight="1"/>
    <row r="5588" ht="12" customHeight="1"/>
    <row r="5589" ht="12" customHeight="1"/>
    <row r="5590" ht="12" customHeight="1"/>
    <row r="5591" ht="12" customHeight="1"/>
    <row r="5592" ht="12" customHeight="1"/>
    <row r="5593" ht="12" customHeight="1"/>
    <row r="5594" ht="12" customHeight="1"/>
    <row r="5595" ht="12" customHeight="1"/>
    <row r="5596" ht="12" customHeight="1"/>
    <row r="5597" ht="12" customHeight="1"/>
    <row r="5598" ht="12" customHeight="1"/>
    <row r="5599" ht="12" customHeight="1"/>
    <row r="5600" ht="12" customHeight="1"/>
    <row r="5601" ht="12" customHeight="1"/>
    <row r="5602" ht="12" customHeight="1"/>
    <row r="5603" ht="12" customHeight="1"/>
    <row r="5604" ht="12" customHeight="1"/>
    <row r="5605" ht="12" customHeight="1"/>
    <row r="5606" ht="12" customHeight="1"/>
    <row r="5607" ht="12" customHeight="1"/>
    <row r="5608" ht="12" customHeight="1"/>
    <row r="5609" ht="12" customHeight="1"/>
    <row r="5610" ht="12" customHeight="1"/>
    <row r="5611" ht="12" customHeight="1"/>
    <row r="5612" ht="12" customHeight="1"/>
    <row r="5613" ht="12" customHeight="1"/>
    <row r="5614" ht="12" customHeight="1"/>
    <row r="5615" ht="12" customHeight="1"/>
    <row r="5616" ht="12" customHeight="1"/>
    <row r="5617" ht="12" customHeight="1"/>
    <row r="5618" ht="12" customHeight="1"/>
    <row r="5619" ht="12" customHeight="1"/>
    <row r="5620" ht="12" customHeight="1"/>
    <row r="5621" ht="12" customHeight="1"/>
    <row r="5622" ht="12" customHeight="1"/>
    <row r="5623" ht="12" customHeight="1"/>
    <row r="5624" ht="12" customHeight="1"/>
    <row r="5625" ht="12" customHeight="1"/>
    <row r="5626" ht="12" customHeight="1"/>
    <row r="5627" ht="12" customHeight="1"/>
    <row r="5628" ht="12" customHeight="1"/>
    <row r="5629" ht="12" customHeight="1"/>
    <row r="5630" ht="12" customHeight="1"/>
    <row r="5631" ht="12" customHeight="1"/>
    <row r="5632" ht="12" customHeight="1"/>
    <row r="5633" ht="12" customHeight="1"/>
    <row r="5634" ht="12" customHeight="1"/>
    <row r="5635" ht="12" customHeight="1"/>
    <row r="5636" ht="12" customHeight="1"/>
    <row r="5637" ht="12" customHeight="1"/>
    <row r="5638" ht="12" customHeight="1"/>
    <row r="5639" ht="12" customHeight="1"/>
    <row r="5640" ht="12" customHeight="1"/>
    <row r="5641" ht="12" customHeight="1"/>
    <row r="5642" ht="12" customHeight="1"/>
    <row r="5643" ht="12" customHeight="1"/>
    <row r="5644" ht="12" customHeight="1"/>
    <row r="5645" ht="12" customHeight="1"/>
    <row r="5646" ht="12" customHeight="1"/>
    <row r="5647" ht="12" customHeight="1"/>
    <row r="5648" ht="12" customHeight="1"/>
    <row r="5649" ht="12" customHeight="1"/>
    <row r="5650" ht="12" customHeight="1"/>
    <row r="5651" ht="12" customHeight="1"/>
    <row r="5652" ht="12" customHeight="1"/>
    <row r="5653" ht="12" customHeight="1"/>
    <row r="5654" ht="12" customHeight="1"/>
    <row r="5655" ht="12" customHeight="1"/>
    <row r="5656" ht="12" customHeight="1"/>
    <row r="5657" ht="12" customHeight="1"/>
    <row r="5658" ht="12" customHeight="1"/>
    <row r="5659" ht="12" customHeight="1"/>
    <row r="5660" ht="12" customHeight="1"/>
    <row r="5661" ht="12" customHeight="1"/>
    <row r="5662" ht="12" customHeight="1"/>
    <row r="5663" ht="12" customHeight="1"/>
    <row r="5664" ht="12" customHeight="1"/>
    <row r="5665" ht="12" customHeight="1"/>
    <row r="5666" ht="12" customHeight="1"/>
    <row r="5667" ht="12" customHeight="1"/>
    <row r="5668" ht="12" customHeight="1"/>
    <row r="5669" ht="12" customHeight="1"/>
    <row r="5670" ht="12" customHeight="1"/>
    <row r="5671" ht="12" customHeight="1"/>
    <row r="5672" ht="12" customHeight="1"/>
    <row r="5673" ht="12" customHeight="1"/>
    <row r="5674" ht="12" customHeight="1"/>
    <row r="5675" ht="12" customHeight="1"/>
    <row r="5676" ht="12" customHeight="1"/>
    <row r="5677" ht="12" customHeight="1"/>
    <row r="5678" ht="12" customHeight="1"/>
    <row r="5679" ht="12" customHeight="1"/>
    <row r="5680" ht="12" customHeight="1"/>
    <row r="5681" ht="12" customHeight="1"/>
    <row r="5682" ht="12" customHeight="1"/>
    <row r="5683" ht="12" customHeight="1"/>
    <row r="5684" ht="12" customHeight="1"/>
    <row r="5685" ht="12" customHeight="1"/>
    <row r="5686" ht="12" customHeight="1"/>
    <row r="5687" ht="12" customHeight="1"/>
    <row r="5688" ht="12" customHeight="1"/>
    <row r="5689" ht="12" customHeight="1"/>
    <row r="5690" ht="12" customHeight="1"/>
    <row r="5691" ht="12" customHeight="1"/>
    <row r="5692" ht="12" customHeight="1"/>
    <row r="5693" ht="12" customHeight="1"/>
    <row r="5694" ht="12" customHeight="1"/>
    <row r="5695" ht="12" customHeight="1"/>
    <row r="5696" ht="12" customHeight="1"/>
    <row r="5697" ht="12" customHeight="1"/>
    <row r="5698" ht="12" customHeight="1"/>
    <row r="5699" ht="12" customHeight="1"/>
    <row r="5700" ht="12" customHeight="1"/>
    <row r="5701" ht="12" customHeight="1"/>
    <row r="5702" ht="12" customHeight="1"/>
    <row r="5703" ht="12" customHeight="1"/>
    <row r="5704" ht="12" customHeight="1"/>
    <row r="5705" ht="12" customHeight="1"/>
    <row r="5706" ht="12" customHeight="1"/>
    <row r="5707" ht="12" customHeight="1"/>
    <row r="5708" ht="12" customHeight="1"/>
    <row r="5709" ht="12" customHeight="1"/>
    <row r="5710" ht="12" customHeight="1"/>
    <row r="5711" ht="12" customHeight="1"/>
    <row r="5712" ht="12" customHeight="1"/>
    <row r="5713" ht="12" customHeight="1"/>
    <row r="5714" ht="12" customHeight="1"/>
    <row r="5715" ht="12" customHeight="1"/>
    <row r="5716" ht="12" customHeight="1"/>
    <row r="5717" ht="12" customHeight="1"/>
    <row r="5718" ht="12" customHeight="1"/>
    <row r="5719" ht="12" customHeight="1"/>
    <row r="5720" ht="12" customHeight="1"/>
    <row r="5721" ht="12" customHeight="1"/>
    <row r="5722" ht="12" customHeight="1"/>
    <row r="5723" ht="12" customHeight="1"/>
    <row r="5724" ht="12" customHeight="1"/>
    <row r="5725" ht="12" customHeight="1"/>
    <row r="5726" ht="12" customHeight="1"/>
    <row r="5727" ht="12" customHeight="1"/>
    <row r="5728" ht="12" customHeight="1"/>
    <row r="5729" ht="12" customHeight="1"/>
    <row r="5730" ht="12" customHeight="1"/>
    <row r="5731" ht="12" customHeight="1"/>
    <row r="5732" ht="12" customHeight="1"/>
    <row r="5733" ht="12" customHeight="1"/>
    <row r="5734" ht="12" customHeight="1"/>
    <row r="5735" ht="12" customHeight="1"/>
    <row r="5736" ht="12" customHeight="1"/>
    <row r="5737" ht="12" customHeight="1"/>
    <row r="5738" ht="12" customHeight="1"/>
    <row r="5739" ht="12" customHeight="1"/>
    <row r="5740" ht="12" customHeight="1"/>
    <row r="5741" ht="12" customHeight="1"/>
    <row r="5742" ht="12" customHeight="1"/>
    <row r="5743" ht="12" customHeight="1"/>
    <row r="5744" ht="12" customHeight="1"/>
    <row r="5745" ht="12" customHeight="1"/>
    <row r="5746" ht="12" customHeight="1"/>
    <row r="5747" ht="12" customHeight="1"/>
    <row r="5748" ht="12" customHeight="1"/>
    <row r="5749" ht="12" customHeight="1"/>
    <row r="5750" ht="12" customHeight="1"/>
    <row r="5751" ht="12" customHeight="1"/>
    <row r="5752" ht="12" customHeight="1"/>
    <row r="5753" ht="12" customHeight="1"/>
    <row r="5754" ht="12" customHeight="1"/>
    <row r="5755" ht="12" customHeight="1"/>
    <row r="5756" ht="12" customHeight="1"/>
    <row r="5757" ht="12" customHeight="1"/>
    <row r="5758" ht="12" customHeight="1"/>
    <row r="5759" ht="12" customHeight="1"/>
    <row r="5760" ht="12" customHeight="1"/>
    <row r="5761" ht="12" customHeight="1"/>
    <row r="5762" ht="12" customHeight="1"/>
    <row r="5763" ht="12" customHeight="1"/>
    <row r="5764" ht="12" customHeight="1"/>
    <row r="5765" ht="12" customHeight="1"/>
    <row r="5766" ht="12" customHeight="1"/>
    <row r="5767" ht="12" customHeight="1"/>
    <row r="5768" ht="12" customHeight="1"/>
    <row r="5769" ht="12" customHeight="1"/>
    <row r="5770" ht="12" customHeight="1"/>
    <row r="5771" ht="12" customHeight="1"/>
    <row r="5772" ht="12" customHeight="1"/>
    <row r="5773" ht="12" customHeight="1"/>
    <row r="5774" ht="12" customHeight="1"/>
    <row r="5775" ht="12" customHeight="1"/>
    <row r="5776" ht="12" customHeight="1"/>
    <row r="5777" ht="12" customHeight="1"/>
    <row r="5778" ht="12" customHeight="1"/>
    <row r="5779" ht="12" customHeight="1"/>
    <row r="5780" ht="12" customHeight="1"/>
    <row r="5781" ht="12" customHeight="1"/>
    <row r="5782" ht="12" customHeight="1"/>
    <row r="5783" ht="12" customHeight="1"/>
    <row r="5784" ht="12" customHeight="1"/>
    <row r="5785" ht="12" customHeight="1"/>
    <row r="5786" ht="12" customHeight="1"/>
    <row r="5787" ht="12" customHeight="1"/>
    <row r="5788" ht="12" customHeight="1"/>
    <row r="5789" ht="12" customHeight="1"/>
    <row r="5790" ht="12" customHeight="1"/>
    <row r="5791" ht="12" customHeight="1"/>
    <row r="5792" ht="12" customHeight="1"/>
    <row r="5793" ht="12" customHeight="1"/>
    <row r="5794" ht="12" customHeight="1"/>
    <row r="5795" ht="12" customHeight="1"/>
    <row r="5796" ht="12" customHeight="1"/>
    <row r="5797" ht="12" customHeight="1"/>
    <row r="5798" ht="12" customHeight="1"/>
    <row r="5799" ht="12" customHeight="1"/>
    <row r="5800" ht="12" customHeight="1"/>
    <row r="5801" ht="12" customHeight="1"/>
    <row r="5802" ht="12" customHeight="1"/>
    <row r="5803" ht="12" customHeight="1"/>
    <row r="5804" ht="12" customHeight="1"/>
    <row r="5805" ht="12" customHeight="1"/>
    <row r="5806" ht="12" customHeight="1"/>
    <row r="5807" ht="12" customHeight="1"/>
    <row r="5808" ht="12" customHeight="1"/>
    <row r="5809" ht="12" customHeight="1"/>
    <row r="5810" ht="12" customHeight="1"/>
    <row r="5811" ht="12" customHeight="1"/>
    <row r="5812" ht="12" customHeight="1"/>
    <row r="5813" ht="12" customHeight="1"/>
    <row r="5814" ht="12" customHeight="1"/>
    <row r="5815" ht="12" customHeight="1"/>
    <row r="5816" ht="12" customHeight="1"/>
    <row r="5817" ht="12" customHeight="1"/>
    <row r="5818" ht="12" customHeight="1"/>
    <row r="5819" ht="12" customHeight="1"/>
    <row r="5820" ht="12" customHeight="1"/>
    <row r="5821" ht="12" customHeight="1"/>
    <row r="5822" ht="12" customHeight="1"/>
    <row r="5823" ht="12" customHeight="1"/>
    <row r="5824" ht="12" customHeight="1"/>
    <row r="5825" ht="12" customHeight="1"/>
    <row r="5826" ht="12" customHeight="1"/>
    <row r="5827" ht="12" customHeight="1"/>
    <row r="5828" ht="12" customHeight="1"/>
    <row r="5829" ht="12" customHeight="1"/>
    <row r="5830" ht="12" customHeight="1"/>
    <row r="5831" ht="12" customHeight="1"/>
    <row r="5832" ht="12" customHeight="1"/>
    <row r="5833" ht="12" customHeight="1"/>
    <row r="5834" ht="12" customHeight="1"/>
    <row r="5835" ht="12" customHeight="1"/>
    <row r="5836" ht="12" customHeight="1"/>
    <row r="5837" ht="12" customHeight="1"/>
    <row r="5838" ht="12" customHeight="1"/>
    <row r="5839" ht="12" customHeight="1"/>
    <row r="5840" ht="12" customHeight="1"/>
    <row r="5841" ht="12" customHeight="1"/>
    <row r="5842" ht="12" customHeight="1"/>
    <row r="5843" ht="12" customHeight="1"/>
    <row r="5844" ht="12" customHeight="1"/>
    <row r="5845" ht="12" customHeight="1"/>
    <row r="5846" ht="12" customHeight="1"/>
    <row r="5847" ht="12" customHeight="1"/>
    <row r="5848" ht="12" customHeight="1"/>
    <row r="5849" ht="12" customHeight="1"/>
    <row r="5850" ht="12" customHeight="1"/>
    <row r="5851" ht="12" customHeight="1"/>
    <row r="5852" ht="12" customHeight="1"/>
    <row r="5853" ht="12" customHeight="1"/>
    <row r="5854" ht="12" customHeight="1"/>
    <row r="5855" ht="12" customHeight="1"/>
    <row r="5856" ht="12" customHeight="1"/>
    <row r="5857" ht="12" customHeight="1"/>
    <row r="5858" ht="12" customHeight="1"/>
    <row r="5859" ht="12" customHeight="1"/>
    <row r="5860" ht="12" customHeight="1"/>
    <row r="5861" ht="12" customHeight="1"/>
    <row r="5862" ht="12" customHeight="1"/>
    <row r="5863" ht="12" customHeight="1"/>
    <row r="5864" ht="12" customHeight="1"/>
    <row r="5865" ht="12" customHeight="1"/>
    <row r="5866" ht="12" customHeight="1"/>
    <row r="5867" ht="12" customHeight="1"/>
    <row r="5868" ht="12" customHeight="1"/>
    <row r="5869" ht="12" customHeight="1"/>
    <row r="5870" ht="12" customHeight="1"/>
    <row r="5871" ht="12" customHeight="1"/>
    <row r="5872" ht="12" customHeight="1"/>
    <row r="5873" ht="12" customHeight="1"/>
    <row r="5874" ht="12" customHeight="1"/>
    <row r="5875" ht="12" customHeight="1"/>
    <row r="5876" ht="12" customHeight="1"/>
    <row r="5877" ht="12" customHeight="1"/>
    <row r="5878" ht="12" customHeight="1"/>
    <row r="5879" ht="12" customHeight="1"/>
    <row r="5880" ht="12" customHeight="1"/>
    <row r="5881" ht="12" customHeight="1"/>
    <row r="5882" ht="12" customHeight="1"/>
    <row r="5883" ht="12" customHeight="1"/>
    <row r="5884" ht="12" customHeight="1"/>
    <row r="5885" ht="12" customHeight="1"/>
    <row r="5886" ht="12" customHeight="1"/>
    <row r="5887" ht="12" customHeight="1"/>
    <row r="5888" ht="12" customHeight="1"/>
    <row r="5889" ht="12" customHeight="1"/>
    <row r="5890" ht="12" customHeight="1"/>
    <row r="5891" ht="12" customHeight="1"/>
    <row r="5892" ht="12" customHeight="1"/>
    <row r="5893" ht="12" customHeight="1"/>
    <row r="5894" ht="12" customHeight="1"/>
    <row r="5895" ht="12" customHeight="1"/>
    <row r="5896" ht="12" customHeight="1"/>
    <row r="5897" ht="12" customHeight="1"/>
    <row r="5898" ht="12" customHeight="1"/>
    <row r="5899" ht="12" customHeight="1"/>
    <row r="5900" ht="12" customHeight="1"/>
    <row r="5901" ht="12" customHeight="1"/>
    <row r="5902" ht="12" customHeight="1"/>
    <row r="5903" ht="12" customHeight="1"/>
    <row r="5904" ht="12" customHeight="1"/>
    <row r="5905" ht="12" customHeight="1"/>
    <row r="5906" ht="12" customHeight="1"/>
    <row r="5907" ht="12" customHeight="1"/>
    <row r="5908" ht="12" customHeight="1"/>
    <row r="5909" ht="12" customHeight="1"/>
    <row r="5910" ht="12" customHeight="1"/>
    <row r="5911" ht="12" customHeight="1"/>
    <row r="5912" ht="12" customHeight="1"/>
    <row r="5913" ht="12" customHeight="1"/>
    <row r="5914" ht="12" customHeight="1"/>
    <row r="5915" ht="12" customHeight="1"/>
    <row r="5916" ht="12" customHeight="1"/>
    <row r="5917" ht="12" customHeight="1"/>
    <row r="5918" ht="12" customHeight="1"/>
    <row r="5919" ht="12" customHeight="1"/>
    <row r="5920" ht="12" customHeight="1"/>
    <row r="5921" ht="12" customHeight="1"/>
    <row r="5922" ht="12" customHeight="1"/>
    <row r="5923" ht="12" customHeight="1"/>
    <row r="5924" ht="12" customHeight="1"/>
    <row r="5925" ht="12" customHeight="1"/>
    <row r="5926" ht="12" customHeight="1"/>
    <row r="5927" ht="12" customHeight="1"/>
    <row r="5928" ht="12" customHeight="1"/>
    <row r="5929" ht="12" customHeight="1"/>
    <row r="5930" ht="12" customHeight="1"/>
    <row r="5931" ht="12" customHeight="1"/>
    <row r="5932" ht="12" customHeight="1"/>
    <row r="5933" ht="12" customHeight="1"/>
    <row r="5934" ht="12" customHeight="1"/>
    <row r="5935" ht="12" customHeight="1"/>
    <row r="5936" ht="12" customHeight="1"/>
    <row r="5937" ht="12" customHeight="1"/>
    <row r="5938" ht="12" customHeight="1"/>
    <row r="5939" ht="12" customHeight="1"/>
    <row r="5940" ht="12" customHeight="1"/>
    <row r="5941" ht="12" customHeight="1"/>
    <row r="5942" ht="12" customHeight="1"/>
    <row r="5943" ht="12" customHeight="1"/>
    <row r="5944" ht="12" customHeight="1"/>
    <row r="5945" ht="12" customHeight="1"/>
    <row r="5946" ht="12" customHeight="1"/>
    <row r="5947" ht="12" customHeight="1"/>
    <row r="5948" ht="12" customHeight="1"/>
    <row r="5949" ht="12" customHeight="1"/>
    <row r="5950" ht="12" customHeight="1"/>
    <row r="5951" ht="12" customHeight="1"/>
    <row r="5952" ht="12" customHeight="1"/>
    <row r="5953" ht="12" customHeight="1"/>
    <row r="5954" ht="12" customHeight="1"/>
    <row r="5955" ht="12" customHeight="1"/>
    <row r="5956" ht="12" customHeight="1"/>
    <row r="5957" ht="12" customHeight="1"/>
    <row r="5958" ht="12" customHeight="1"/>
    <row r="5959" ht="12" customHeight="1"/>
    <row r="5960" ht="12" customHeight="1"/>
    <row r="5961" ht="12" customHeight="1"/>
    <row r="5962" ht="12" customHeight="1"/>
    <row r="5963" ht="12" customHeight="1"/>
    <row r="5964" ht="12" customHeight="1"/>
    <row r="5965" ht="12" customHeight="1"/>
    <row r="5966" ht="12" customHeight="1"/>
    <row r="5967" ht="12" customHeight="1"/>
    <row r="5968" ht="12" customHeight="1"/>
    <row r="5969" ht="12" customHeight="1"/>
    <row r="5970" ht="12" customHeight="1"/>
    <row r="5971" ht="12" customHeight="1"/>
    <row r="5972" ht="12" customHeight="1"/>
    <row r="5973" ht="12" customHeight="1"/>
    <row r="5974" ht="12" customHeight="1"/>
    <row r="5975" ht="12" customHeight="1"/>
    <row r="5976" ht="12" customHeight="1"/>
    <row r="5977" ht="12" customHeight="1"/>
    <row r="5978" ht="12" customHeight="1"/>
    <row r="5979" ht="12" customHeight="1"/>
    <row r="5980" ht="12" customHeight="1"/>
    <row r="5981" ht="12" customHeight="1"/>
    <row r="5982" ht="12" customHeight="1"/>
    <row r="5983" ht="12" customHeight="1"/>
    <row r="5984" ht="12" customHeight="1"/>
    <row r="5985" ht="12" customHeight="1"/>
    <row r="5986" ht="12" customHeight="1"/>
    <row r="5987" ht="12" customHeight="1"/>
    <row r="5988" ht="12" customHeight="1"/>
    <row r="5989" ht="12" customHeight="1"/>
    <row r="5990" ht="12" customHeight="1"/>
    <row r="5991" ht="12" customHeight="1"/>
    <row r="5992" ht="12" customHeight="1"/>
    <row r="5993" ht="12" customHeight="1"/>
    <row r="5994" ht="12" customHeight="1"/>
    <row r="5995" ht="12" customHeight="1"/>
    <row r="5996" ht="12" customHeight="1"/>
    <row r="5997" ht="12" customHeight="1"/>
    <row r="5998" ht="12" customHeight="1"/>
    <row r="5999" ht="12" customHeight="1"/>
    <row r="6000" ht="12" customHeight="1"/>
    <row r="6001" ht="12" customHeight="1"/>
    <row r="6002" ht="12" customHeight="1"/>
    <row r="6003" ht="12" customHeight="1"/>
    <row r="6004" ht="12" customHeight="1"/>
    <row r="6005" ht="12" customHeight="1"/>
    <row r="6006" ht="12" customHeight="1"/>
    <row r="6007" ht="12" customHeight="1"/>
    <row r="6008" ht="12" customHeight="1"/>
    <row r="6009" ht="12" customHeight="1"/>
    <row r="6010" ht="12" customHeight="1"/>
    <row r="6011" ht="12" customHeight="1"/>
    <row r="6012" ht="12" customHeight="1"/>
    <row r="6013" ht="12" customHeight="1"/>
    <row r="6014" ht="12" customHeight="1"/>
    <row r="6015" ht="12" customHeight="1"/>
    <row r="6016" ht="12" customHeight="1"/>
    <row r="6017" ht="12" customHeight="1"/>
    <row r="6018" ht="12" customHeight="1"/>
    <row r="6019" ht="12" customHeight="1"/>
    <row r="6020" ht="12" customHeight="1"/>
    <row r="6021" ht="12" customHeight="1"/>
    <row r="6022" ht="12" customHeight="1"/>
    <row r="6023" ht="12" customHeight="1"/>
    <row r="6024" ht="12" customHeight="1"/>
    <row r="6025" ht="12" customHeight="1"/>
    <row r="6026" ht="12" customHeight="1"/>
    <row r="6027" ht="12" customHeight="1"/>
    <row r="6028" ht="12" customHeight="1"/>
    <row r="6029" ht="12" customHeight="1"/>
    <row r="6030" ht="12" customHeight="1"/>
    <row r="6031" ht="12" customHeight="1"/>
    <row r="6032" ht="12" customHeight="1"/>
    <row r="6033" ht="12" customHeight="1"/>
    <row r="6034" ht="12" customHeight="1"/>
    <row r="6035" ht="12" customHeight="1"/>
    <row r="6036" ht="12" customHeight="1"/>
    <row r="6037" ht="12" customHeight="1"/>
    <row r="6038" ht="12" customHeight="1"/>
    <row r="6039" ht="12" customHeight="1"/>
    <row r="6040" ht="12" customHeight="1"/>
    <row r="6041" ht="12" customHeight="1"/>
    <row r="6042" ht="12" customHeight="1"/>
    <row r="6043" ht="12" customHeight="1"/>
    <row r="6044" ht="12" customHeight="1"/>
    <row r="6045" ht="12" customHeight="1"/>
    <row r="6046" ht="12" customHeight="1"/>
    <row r="6047" ht="12" customHeight="1"/>
    <row r="6048" ht="12" customHeight="1"/>
    <row r="6049" ht="12" customHeight="1"/>
    <row r="6050" ht="12" customHeight="1"/>
    <row r="6051" ht="12" customHeight="1"/>
    <row r="6052" ht="12" customHeight="1"/>
    <row r="6053" ht="12" customHeight="1"/>
    <row r="6054" ht="12" customHeight="1"/>
    <row r="6055" ht="12" customHeight="1"/>
    <row r="6056" ht="12" customHeight="1"/>
    <row r="6057" ht="12" customHeight="1"/>
    <row r="6058" ht="12" customHeight="1"/>
    <row r="6059" ht="12" customHeight="1"/>
    <row r="6060" ht="12" customHeight="1"/>
    <row r="6061" ht="12" customHeight="1"/>
    <row r="6062" ht="12" customHeight="1"/>
    <row r="6063" ht="12" customHeight="1"/>
    <row r="6064" ht="12" customHeight="1"/>
    <row r="6065" ht="12" customHeight="1"/>
    <row r="6066" ht="12" customHeight="1"/>
    <row r="6067" ht="12" customHeight="1"/>
    <row r="6068" ht="12" customHeight="1"/>
    <row r="6069" ht="12" customHeight="1"/>
    <row r="6070" ht="12" customHeight="1"/>
    <row r="6071" ht="12" customHeight="1"/>
    <row r="6072" ht="12" customHeight="1"/>
    <row r="6073" ht="12" customHeight="1"/>
    <row r="6074" ht="12" customHeight="1"/>
    <row r="6075" ht="12" customHeight="1"/>
    <row r="6076" ht="12" customHeight="1"/>
    <row r="6077" ht="12" customHeight="1"/>
    <row r="6078" ht="12" customHeight="1"/>
    <row r="6079" ht="12" customHeight="1"/>
    <row r="6080" ht="12" customHeight="1"/>
    <row r="6081" ht="12" customHeight="1"/>
    <row r="6082" ht="12" customHeight="1"/>
    <row r="6083" ht="12" customHeight="1"/>
    <row r="6084" ht="12" customHeight="1"/>
    <row r="6085" ht="12" customHeight="1"/>
    <row r="6086" ht="12" customHeight="1"/>
    <row r="6087" ht="12" customHeight="1"/>
    <row r="6088" ht="12" customHeight="1"/>
    <row r="6089" ht="12" customHeight="1"/>
    <row r="6090" ht="12" customHeight="1"/>
    <row r="6091" ht="12" customHeight="1"/>
    <row r="6092" ht="12" customHeight="1"/>
    <row r="6093" ht="12" customHeight="1"/>
    <row r="6094" ht="12" customHeight="1"/>
    <row r="6095" ht="12" customHeight="1"/>
    <row r="6096" ht="12" customHeight="1"/>
    <row r="6097" ht="12" customHeight="1"/>
    <row r="6098" ht="12" customHeight="1"/>
    <row r="6099" ht="12" customHeight="1"/>
    <row r="6100" ht="12" customHeight="1"/>
    <row r="6101" ht="12" customHeight="1"/>
    <row r="6102" ht="12" customHeight="1"/>
    <row r="6103" ht="12" customHeight="1"/>
    <row r="6104" ht="12" customHeight="1"/>
    <row r="6105" ht="12" customHeight="1"/>
    <row r="6106" ht="12" customHeight="1"/>
    <row r="6107" ht="12" customHeight="1"/>
    <row r="6108" ht="12" customHeight="1"/>
    <row r="6109" ht="12" customHeight="1"/>
    <row r="6110" ht="12" customHeight="1"/>
    <row r="6111" ht="12" customHeight="1"/>
    <row r="6112" ht="12" customHeight="1"/>
    <row r="6113" ht="12" customHeight="1"/>
    <row r="6114" ht="12" customHeight="1"/>
    <row r="6115" ht="12" customHeight="1"/>
    <row r="6116" ht="12" customHeight="1"/>
    <row r="6117" ht="12" customHeight="1"/>
    <row r="6118" ht="12" customHeight="1"/>
    <row r="6119" ht="12" customHeight="1"/>
    <row r="6120" ht="12" customHeight="1"/>
    <row r="6121" ht="12" customHeight="1"/>
    <row r="6122" ht="12" customHeight="1"/>
    <row r="6123" ht="12" customHeight="1"/>
    <row r="6124" ht="12" customHeight="1"/>
    <row r="6125" ht="12" customHeight="1"/>
    <row r="6126" ht="12" customHeight="1"/>
    <row r="6127" ht="12" customHeight="1"/>
    <row r="6128" ht="12" customHeight="1"/>
    <row r="6129" ht="12" customHeight="1"/>
    <row r="6130" ht="12" customHeight="1"/>
    <row r="6131" ht="12" customHeight="1"/>
    <row r="6132" ht="12" customHeight="1"/>
    <row r="6133" ht="12" customHeight="1"/>
    <row r="6134" ht="12" customHeight="1"/>
    <row r="6135" ht="12" customHeight="1"/>
    <row r="6136" ht="12" customHeight="1"/>
    <row r="6137" ht="12" customHeight="1"/>
    <row r="6138" ht="12" customHeight="1"/>
    <row r="6139" ht="12" customHeight="1"/>
    <row r="6140" ht="12" customHeight="1"/>
    <row r="6141" ht="12" customHeight="1"/>
    <row r="6142" ht="12" customHeight="1"/>
    <row r="6143" ht="12" customHeight="1"/>
    <row r="6144" ht="12" customHeight="1"/>
    <row r="6145" ht="12" customHeight="1"/>
    <row r="6146" ht="12" customHeight="1"/>
    <row r="6147" ht="12" customHeight="1"/>
    <row r="6148" ht="12" customHeight="1"/>
    <row r="6149" ht="12" customHeight="1"/>
    <row r="6150" ht="12" customHeight="1"/>
    <row r="6151" ht="12" customHeight="1"/>
    <row r="6152" ht="12" customHeight="1"/>
    <row r="6153" ht="12" customHeight="1"/>
    <row r="6154" ht="12" customHeight="1"/>
    <row r="6155" ht="12" customHeight="1"/>
    <row r="6156" ht="12" customHeight="1"/>
    <row r="6157" ht="12" customHeight="1"/>
    <row r="6158" ht="12" customHeight="1"/>
    <row r="6159" ht="12" customHeight="1"/>
    <row r="6160" ht="12" customHeight="1"/>
    <row r="6161" ht="12" customHeight="1"/>
    <row r="6162" ht="12" customHeight="1"/>
    <row r="6163" ht="12" customHeight="1"/>
    <row r="6164" ht="12" customHeight="1"/>
    <row r="6165" ht="12" customHeight="1"/>
    <row r="6166" ht="12" customHeight="1"/>
    <row r="6167" ht="12" customHeight="1"/>
    <row r="6168" ht="12" customHeight="1"/>
    <row r="6169" ht="12" customHeight="1"/>
    <row r="6170" ht="12" customHeight="1"/>
    <row r="6171" ht="12" customHeight="1"/>
    <row r="6172" ht="12" customHeight="1"/>
    <row r="6173" ht="12" customHeight="1"/>
    <row r="6174" ht="12" customHeight="1"/>
    <row r="6175" ht="12" customHeight="1"/>
    <row r="6176" ht="12" customHeight="1"/>
    <row r="6177" ht="12" customHeight="1"/>
    <row r="6178" ht="12" customHeight="1"/>
    <row r="6179" ht="12" customHeight="1"/>
    <row r="6180" ht="12" customHeight="1"/>
    <row r="6181" ht="12" customHeight="1"/>
    <row r="6182" ht="12" customHeight="1"/>
    <row r="6183" ht="12" customHeight="1"/>
    <row r="6184" ht="12" customHeight="1"/>
    <row r="6185" ht="12" customHeight="1"/>
    <row r="6186" ht="12" customHeight="1"/>
    <row r="6187" ht="12" customHeight="1"/>
    <row r="6188" ht="12" customHeight="1"/>
    <row r="6189" ht="12" customHeight="1"/>
    <row r="6190" ht="12" customHeight="1"/>
    <row r="6191" ht="12" customHeight="1"/>
    <row r="6192" ht="12" customHeight="1"/>
    <row r="6193" ht="12" customHeight="1"/>
    <row r="6194" ht="12" customHeight="1"/>
    <row r="6195" ht="12" customHeight="1"/>
    <row r="6196" ht="12" customHeight="1"/>
    <row r="6197" ht="12" customHeight="1"/>
    <row r="6198" ht="12" customHeight="1"/>
    <row r="6199" ht="12" customHeight="1"/>
    <row r="6200" ht="12" customHeight="1"/>
    <row r="6201" ht="12" customHeight="1"/>
    <row r="6202" ht="12" customHeight="1"/>
    <row r="6203" ht="12" customHeight="1"/>
    <row r="6204" ht="12" customHeight="1"/>
    <row r="6205" ht="12" customHeight="1"/>
    <row r="6206" ht="12" customHeight="1"/>
    <row r="6207" ht="12" customHeight="1"/>
    <row r="6208" ht="12" customHeight="1"/>
    <row r="6209" ht="12" customHeight="1"/>
    <row r="6210" ht="12" customHeight="1"/>
    <row r="6211" ht="12" customHeight="1"/>
    <row r="6212" ht="12" customHeight="1"/>
    <row r="6213" ht="12" customHeight="1"/>
    <row r="6214" ht="12" customHeight="1"/>
    <row r="6215" ht="12" customHeight="1"/>
    <row r="6216" ht="12" customHeight="1"/>
    <row r="6217" ht="12" customHeight="1"/>
    <row r="6218" ht="12" customHeight="1"/>
    <row r="6219" ht="12" customHeight="1"/>
    <row r="6220" ht="12" customHeight="1"/>
    <row r="6221" ht="12" customHeight="1"/>
    <row r="6222" ht="12" customHeight="1"/>
    <row r="6223" ht="12" customHeight="1"/>
    <row r="6224" ht="12" customHeight="1"/>
    <row r="6225" ht="12" customHeight="1"/>
    <row r="6226" ht="12" customHeight="1"/>
    <row r="6227" ht="12" customHeight="1"/>
    <row r="6228" ht="12" customHeight="1"/>
    <row r="6229" ht="12" customHeight="1"/>
    <row r="6230" ht="12" customHeight="1"/>
    <row r="6231" ht="12" customHeight="1"/>
    <row r="6232" ht="12" customHeight="1"/>
    <row r="6233" ht="12" customHeight="1"/>
    <row r="6234" ht="12" customHeight="1"/>
    <row r="6235" ht="12" customHeight="1"/>
    <row r="6236" ht="12" customHeight="1"/>
    <row r="6237" ht="12" customHeight="1"/>
    <row r="6238" ht="12" customHeight="1"/>
    <row r="6239" ht="12" customHeight="1"/>
    <row r="6240" ht="12" customHeight="1"/>
    <row r="6241" ht="12" customHeight="1"/>
    <row r="6242" ht="12" customHeight="1"/>
    <row r="6243" ht="12" customHeight="1"/>
    <row r="6244" ht="12" customHeight="1"/>
    <row r="6245" ht="12" customHeight="1"/>
    <row r="6246" ht="12" customHeight="1"/>
    <row r="6247" ht="12" customHeight="1"/>
    <row r="6248" ht="12" customHeight="1"/>
    <row r="6249" ht="12" customHeight="1"/>
    <row r="6250" ht="12" customHeight="1"/>
    <row r="6251" ht="12" customHeight="1"/>
    <row r="6252" ht="12" customHeight="1"/>
    <row r="6253" ht="12" customHeight="1"/>
    <row r="6254" ht="12" customHeight="1"/>
    <row r="6255" ht="12" customHeight="1"/>
    <row r="6256" ht="12" customHeight="1"/>
    <row r="6257" ht="12" customHeight="1"/>
    <row r="6258" ht="12" customHeight="1"/>
    <row r="6259" ht="12" customHeight="1"/>
    <row r="6260" ht="12" customHeight="1"/>
    <row r="6261" ht="12" customHeight="1"/>
    <row r="6262" ht="12" customHeight="1"/>
    <row r="6263" ht="12" customHeight="1"/>
    <row r="6264" ht="12" customHeight="1"/>
    <row r="6265" ht="12" customHeight="1"/>
    <row r="6266" ht="12" customHeight="1"/>
    <row r="6267" ht="12" customHeight="1"/>
    <row r="6268" ht="12" customHeight="1"/>
    <row r="6269" ht="12" customHeight="1"/>
    <row r="6270" ht="12" customHeight="1"/>
    <row r="6271" ht="12" customHeight="1"/>
    <row r="6272" ht="12" customHeight="1"/>
    <row r="6273" ht="12" customHeight="1"/>
    <row r="6274" ht="12" customHeight="1"/>
    <row r="6275" ht="12" customHeight="1"/>
    <row r="6276" ht="12" customHeight="1"/>
    <row r="6277" ht="12" customHeight="1"/>
    <row r="6278" ht="12" customHeight="1"/>
    <row r="6279" ht="12" customHeight="1"/>
    <row r="6280" ht="12" customHeight="1"/>
    <row r="6281" ht="12" customHeight="1"/>
    <row r="6282" ht="12" customHeight="1"/>
    <row r="6283" ht="12" customHeight="1"/>
    <row r="6284" ht="12" customHeight="1"/>
    <row r="6285" ht="12" customHeight="1"/>
    <row r="6286" ht="12" customHeight="1"/>
    <row r="6287" ht="12" customHeight="1"/>
    <row r="6288" ht="12" customHeight="1"/>
    <row r="6289" ht="12" customHeight="1"/>
    <row r="6290" ht="12" customHeight="1"/>
    <row r="6291" ht="12" customHeight="1"/>
    <row r="6292" ht="12" customHeight="1"/>
    <row r="6293" ht="12" customHeight="1"/>
    <row r="6294" ht="12" customHeight="1"/>
    <row r="6295" ht="12" customHeight="1"/>
    <row r="6296" ht="12" customHeight="1"/>
    <row r="6297" ht="12" customHeight="1"/>
    <row r="6298" ht="12" customHeight="1"/>
    <row r="6299" ht="12" customHeight="1"/>
    <row r="6300" ht="12" customHeight="1"/>
    <row r="6301" ht="12" customHeight="1"/>
    <row r="6302" ht="12" customHeight="1"/>
    <row r="6303" ht="12" customHeight="1"/>
    <row r="6304" ht="12" customHeight="1"/>
    <row r="6305" ht="12" customHeight="1"/>
    <row r="6306" ht="12" customHeight="1"/>
    <row r="6307" ht="12" customHeight="1"/>
    <row r="6308" ht="12" customHeight="1"/>
    <row r="6309" ht="12" customHeight="1"/>
    <row r="6310" ht="12" customHeight="1"/>
    <row r="6311" ht="12" customHeight="1"/>
    <row r="6312" ht="12" customHeight="1"/>
    <row r="6313" ht="12" customHeight="1"/>
    <row r="6314" ht="12" customHeight="1"/>
    <row r="6315" ht="12" customHeight="1"/>
    <row r="6316" ht="12" customHeight="1"/>
    <row r="6317" ht="12" customHeight="1"/>
    <row r="6318" ht="12" customHeight="1"/>
    <row r="6319" ht="12" customHeight="1"/>
    <row r="6320" ht="12" customHeight="1"/>
    <row r="6321" ht="12" customHeight="1"/>
    <row r="6322" ht="12" customHeight="1"/>
    <row r="6323" ht="12" customHeight="1"/>
    <row r="6324" ht="12" customHeight="1"/>
    <row r="6325" ht="12" customHeight="1"/>
    <row r="6326" ht="12" customHeight="1"/>
    <row r="6327" ht="12" customHeight="1"/>
    <row r="6328" ht="12" customHeight="1"/>
    <row r="6329" ht="12" customHeight="1"/>
    <row r="6330" ht="12" customHeight="1"/>
    <row r="6331" ht="12" customHeight="1"/>
    <row r="6332" ht="12" customHeight="1"/>
    <row r="6333" ht="12" customHeight="1"/>
    <row r="6334" ht="12" customHeight="1"/>
    <row r="6335" ht="12" customHeight="1"/>
    <row r="6336" ht="12" customHeight="1"/>
    <row r="6337" ht="12" customHeight="1"/>
    <row r="6338" ht="12" customHeight="1"/>
    <row r="6339" ht="12" customHeight="1"/>
    <row r="6340" ht="12" customHeight="1"/>
    <row r="6341" ht="12" customHeight="1"/>
    <row r="6342" ht="12" customHeight="1"/>
    <row r="6343" ht="12" customHeight="1"/>
    <row r="6344" ht="12" customHeight="1"/>
    <row r="6345" ht="12" customHeight="1"/>
    <row r="6346" ht="12" customHeight="1"/>
    <row r="6347" ht="12" customHeight="1"/>
    <row r="6348" ht="12" customHeight="1"/>
    <row r="6349" ht="12" customHeight="1"/>
    <row r="6350" ht="12" customHeight="1"/>
    <row r="6351" ht="12" customHeight="1"/>
    <row r="6352" ht="12" customHeight="1"/>
    <row r="6353" ht="12" customHeight="1"/>
    <row r="6354" ht="12" customHeight="1"/>
    <row r="6355" ht="12" customHeight="1"/>
    <row r="6356" ht="12" customHeight="1"/>
    <row r="6357" ht="12" customHeight="1"/>
    <row r="6358" ht="12" customHeight="1"/>
    <row r="6359" ht="12" customHeight="1"/>
    <row r="6360" ht="12" customHeight="1"/>
    <row r="6361" ht="12" customHeight="1"/>
    <row r="6362" ht="12" customHeight="1"/>
    <row r="6363" ht="12" customHeight="1"/>
    <row r="6364" ht="12" customHeight="1"/>
    <row r="6365" ht="12" customHeight="1"/>
    <row r="6366" ht="12" customHeight="1"/>
    <row r="6367" ht="12" customHeight="1"/>
    <row r="6368" ht="12" customHeight="1"/>
    <row r="6369" ht="12" customHeight="1"/>
    <row r="6370" ht="12" customHeight="1"/>
    <row r="6371" ht="12" customHeight="1"/>
    <row r="6372" ht="12" customHeight="1"/>
    <row r="6373" ht="12" customHeight="1"/>
    <row r="6374" ht="12" customHeight="1"/>
    <row r="6375" ht="12" customHeight="1"/>
    <row r="6376" ht="12" customHeight="1"/>
    <row r="6377" ht="12" customHeight="1"/>
    <row r="6378" ht="12" customHeight="1"/>
    <row r="6379" ht="12" customHeight="1"/>
    <row r="6380" ht="12" customHeight="1"/>
    <row r="6381" ht="12" customHeight="1"/>
    <row r="6382" ht="12" customHeight="1"/>
    <row r="6383" ht="12" customHeight="1"/>
    <row r="6384" ht="12" customHeight="1"/>
    <row r="6385" ht="12" customHeight="1"/>
    <row r="6386" ht="12" customHeight="1"/>
    <row r="6387" ht="12" customHeight="1"/>
    <row r="6388" ht="12" customHeight="1"/>
    <row r="6389" ht="12" customHeight="1"/>
    <row r="6390" ht="12" customHeight="1"/>
    <row r="6391" ht="12" customHeight="1"/>
    <row r="6392" ht="12" customHeight="1"/>
    <row r="6393" ht="12" customHeight="1"/>
    <row r="6394" ht="12" customHeight="1"/>
    <row r="6395" ht="12" customHeight="1"/>
    <row r="6396" ht="12" customHeight="1"/>
    <row r="6397" ht="12" customHeight="1"/>
    <row r="6398" ht="12" customHeight="1"/>
    <row r="6399" ht="12" customHeight="1"/>
    <row r="6400" ht="12" customHeight="1"/>
    <row r="6401" ht="12" customHeight="1"/>
    <row r="6402" ht="12" customHeight="1"/>
    <row r="6403" ht="12" customHeight="1"/>
    <row r="6404" ht="12" customHeight="1"/>
    <row r="6405" ht="12" customHeight="1"/>
    <row r="6406" ht="12" customHeight="1"/>
    <row r="6407" ht="12" customHeight="1"/>
    <row r="6408" ht="12" customHeight="1"/>
    <row r="6409" ht="12" customHeight="1"/>
    <row r="6410" ht="12" customHeight="1"/>
    <row r="6411" ht="12" customHeight="1"/>
    <row r="6412" ht="12" customHeight="1"/>
    <row r="6413" ht="12" customHeight="1"/>
    <row r="6414" ht="12" customHeight="1"/>
    <row r="6415" ht="12" customHeight="1"/>
    <row r="6416" ht="12" customHeight="1"/>
    <row r="6417" ht="12" customHeight="1"/>
    <row r="6418" ht="12" customHeight="1"/>
    <row r="6419" ht="12" customHeight="1"/>
    <row r="6420" ht="12" customHeight="1"/>
    <row r="6421" ht="12" customHeight="1"/>
    <row r="6422" ht="12" customHeight="1"/>
    <row r="6423" ht="12" customHeight="1"/>
    <row r="6424" ht="12" customHeight="1"/>
    <row r="6425" ht="12" customHeight="1"/>
    <row r="6426" ht="12" customHeight="1"/>
    <row r="6427" ht="12" customHeight="1"/>
    <row r="6428" ht="12" customHeight="1"/>
    <row r="6429" ht="12" customHeight="1"/>
    <row r="6430" ht="12" customHeight="1"/>
    <row r="6431" ht="12" customHeight="1"/>
    <row r="6432" ht="12" customHeight="1"/>
    <row r="6433" ht="12" customHeight="1"/>
    <row r="6434" ht="12" customHeight="1"/>
    <row r="6435" ht="12" customHeight="1"/>
    <row r="6436" ht="12" customHeight="1"/>
    <row r="6437" ht="12" customHeight="1"/>
    <row r="6438" ht="12" customHeight="1"/>
    <row r="6439" ht="12" customHeight="1"/>
    <row r="6440" ht="12" customHeight="1"/>
    <row r="6441" ht="12" customHeight="1"/>
    <row r="6442" ht="12" customHeight="1"/>
    <row r="6443" ht="12" customHeight="1"/>
    <row r="6444" ht="12" customHeight="1"/>
    <row r="6445" ht="12" customHeight="1"/>
    <row r="6446" ht="12" customHeight="1"/>
    <row r="6447" ht="12" customHeight="1"/>
    <row r="6448" ht="12" customHeight="1"/>
    <row r="6449" ht="12" customHeight="1"/>
    <row r="6450" ht="12" customHeight="1"/>
    <row r="6451" ht="12" customHeight="1"/>
    <row r="6452" ht="12" customHeight="1"/>
    <row r="6453" ht="12" customHeight="1"/>
    <row r="6454" ht="12" customHeight="1"/>
    <row r="6455" ht="12" customHeight="1"/>
    <row r="6456" ht="12" customHeight="1"/>
    <row r="6457" ht="12" customHeight="1"/>
    <row r="6458" ht="12" customHeight="1"/>
    <row r="6459" ht="12" customHeight="1"/>
    <row r="6460" ht="12" customHeight="1"/>
    <row r="6461" ht="12" customHeight="1"/>
    <row r="6462" ht="12" customHeight="1"/>
    <row r="6463" ht="12" customHeight="1"/>
    <row r="6464" ht="12" customHeight="1"/>
    <row r="6465" ht="12" customHeight="1"/>
    <row r="6466" ht="12" customHeight="1"/>
    <row r="6467" ht="12" customHeight="1"/>
    <row r="6468" ht="12" customHeight="1"/>
    <row r="6469" ht="12" customHeight="1"/>
    <row r="6470" ht="12" customHeight="1"/>
    <row r="6471" ht="12" customHeight="1"/>
    <row r="6472" ht="12" customHeight="1"/>
    <row r="6473" ht="12" customHeight="1"/>
    <row r="6474" ht="12" customHeight="1"/>
    <row r="6475" ht="12" customHeight="1"/>
    <row r="6476" ht="12" customHeight="1"/>
    <row r="6477" ht="12" customHeight="1"/>
    <row r="6478" ht="12" customHeight="1"/>
    <row r="6479" ht="12" customHeight="1"/>
    <row r="6480" ht="12" customHeight="1"/>
    <row r="6481" ht="12" customHeight="1"/>
    <row r="6482" ht="12" customHeight="1"/>
    <row r="6483" ht="12" customHeight="1"/>
    <row r="6484" ht="12" customHeight="1"/>
    <row r="6485" ht="12" customHeight="1"/>
    <row r="6486" ht="12" customHeight="1"/>
    <row r="6487" ht="12" customHeight="1"/>
    <row r="6488" ht="12" customHeight="1"/>
    <row r="6489" ht="12" customHeight="1"/>
    <row r="6490" ht="12" customHeight="1"/>
    <row r="6491" ht="12" customHeight="1"/>
    <row r="6492" ht="12" customHeight="1"/>
    <row r="6493" ht="12" customHeight="1"/>
    <row r="6494" ht="12" customHeight="1"/>
    <row r="6495" ht="12" customHeight="1"/>
    <row r="6496" ht="12" customHeight="1"/>
    <row r="6497" ht="12" customHeight="1"/>
    <row r="6498" ht="12" customHeight="1"/>
    <row r="6499" ht="12" customHeight="1"/>
    <row r="6500" ht="12" customHeight="1"/>
    <row r="6501" ht="12" customHeight="1"/>
    <row r="6502" ht="12" customHeight="1"/>
    <row r="6503" ht="12" customHeight="1"/>
    <row r="6504" ht="12" customHeight="1"/>
    <row r="6505" ht="12" customHeight="1"/>
    <row r="6506" ht="12" customHeight="1"/>
    <row r="6507" ht="12" customHeight="1"/>
    <row r="6508" ht="12" customHeight="1"/>
    <row r="6509" ht="12" customHeight="1"/>
    <row r="6510" ht="12" customHeight="1"/>
    <row r="6511" ht="12" customHeight="1"/>
    <row r="6512" ht="12" customHeight="1"/>
    <row r="6513" ht="12" customHeight="1"/>
    <row r="6514" ht="12" customHeight="1"/>
    <row r="6515" ht="12" customHeight="1"/>
    <row r="6516" ht="12" customHeight="1"/>
    <row r="6517" ht="12" customHeight="1"/>
    <row r="6518" ht="12" customHeight="1"/>
    <row r="6519" ht="12" customHeight="1"/>
    <row r="6520" ht="12" customHeight="1"/>
    <row r="6521" ht="12" customHeight="1"/>
    <row r="6522" ht="12" customHeight="1"/>
    <row r="6523" ht="12" customHeight="1"/>
    <row r="6524" ht="12" customHeight="1"/>
    <row r="6525" ht="12" customHeight="1"/>
    <row r="6526" ht="12" customHeight="1"/>
    <row r="6527" ht="12" customHeight="1"/>
    <row r="6528" ht="12" customHeight="1"/>
    <row r="6529" ht="12" customHeight="1"/>
    <row r="6530" ht="12" customHeight="1"/>
    <row r="6531" ht="12" customHeight="1"/>
    <row r="6532" ht="12" customHeight="1"/>
    <row r="6533" ht="12" customHeight="1"/>
    <row r="6534" ht="12" customHeight="1"/>
    <row r="6535" ht="12" customHeight="1"/>
    <row r="6536" ht="12" customHeight="1"/>
    <row r="6537" ht="12" customHeight="1"/>
    <row r="6538" ht="12" customHeight="1"/>
    <row r="6539" ht="12" customHeight="1"/>
    <row r="6540" ht="12" customHeight="1"/>
    <row r="6541" ht="12" customHeight="1"/>
    <row r="6542" ht="12" customHeight="1"/>
    <row r="6543" ht="12" customHeight="1"/>
    <row r="6544" ht="12" customHeight="1"/>
    <row r="6545" ht="12" customHeight="1"/>
    <row r="6546" ht="12" customHeight="1"/>
    <row r="6547" ht="12" customHeight="1"/>
    <row r="6548" ht="12" customHeight="1"/>
    <row r="6549" ht="12" customHeight="1"/>
    <row r="6550" ht="12" customHeight="1"/>
    <row r="6551" ht="12" customHeight="1"/>
    <row r="6552" ht="12" customHeight="1"/>
    <row r="6553" ht="12" customHeight="1"/>
    <row r="6554" ht="12" customHeight="1"/>
    <row r="6555" ht="12" customHeight="1"/>
    <row r="6556" ht="12" customHeight="1"/>
    <row r="6557" ht="12" customHeight="1"/>
    <row r="6558" ht="12" customHeight="1"/>
    <row r="6559" ht="12" customHeight="1"/>
    <row r="6560" ht="12" customHeight="1"/>
    <row r="6561" ht="12" customHeight="1"/>
    <row r="6562" ht="12" customHeight="1"/>
    <row r="6563" ht="12" customHeight="1"/>
    <row r="6564" ht="12" customHeight="1"/>
    <row r="6565" ht="12" customHeight="1"/>
    <row r="6566" ht="12" customHeight="1"/>
    <row r="6567" ht="12" customHeight="1"/>
    <row r="6568" ht="12" customHeight="1"/>
    <row r="6569" ht="12" customHeight="1"/>
    <row r="6570" ht="12" customHeight="1"/>
    <row r="6571" ht="12" customHeight="1"/>
    <row r="6572" ht="12" customHeight="1"/>
    <row r="6573" ht="12" customHeight="1"/>
    <row r="6574" ht="12" customHeight="1"/>
    <row r="6575" ht="12" customHeight="1"/>
    <row r="6576" ht="12" customHeight="1"/>
    <row r="6577" ht="12" customHeight="1"/>
    <row r="6578" ht="12" customHeight="1"/>
    <row r="6579" ht="12" customHeight="1"/>
    <row r="6580" ht="12" customHeight="1"/>
    <row r="6581" ht="12" customHeight="1"/>
    <row r="6582" ht="12" customHeight="1"/>
    <row r="6583" ht="12" customHeight="1"/>
    <row r="6584" ht="12" customHeight="1"/>
    <row r="6585" ht="12" customHeight="1"/>
    <row r="6586" ht="12" customHeight="1"/>
    <row r="6587" ht="12" customHeight="1"/>
    <row r="6588" ht="12" customHeight="1"/>
    <row r="6589" ht="12" customHeight="1"/>
    <row r="6590" ht="12" customHeight="1"/>
    <row r="6591" ht="12" customHeight="1"/>
    <row r="6592" ht="12" customHeight="1"/>
    <row r="6593" ht="12" customHeight="1"/>
    <row r="6594" ht="12" customHeight="1"/>
    <row r="6595" ht="12" customHeight="1"/>
    <row r="6596" ht="12" customHeight="1"/>
    <row r="6597" ht="12" customHeight="1"/>
    <row r="6598" ht="12" customHeight="1"/>
    <row r="6599" ht="12" customHeight="1"/>
    <row r="6600" ht="12" customHeight="1"/>
    <row r="6601" ht="12" customHeight="1"/>
    <row r="6602" ht="12" customHeight="1"/>
    <row r="6603" ht="12" customHeight="1"/>
    <row r="6604" ht="12" customHeight="1"/>
    <row r="6605" ht="12" customHeight="1"/>
    <row r="6606" ht="12" customHeight="1"/>
    <row r="6607" ht="12" customHeight="1"/>
    <row r="6608" ht="12" customHeight="1"/>
    <row r="6609" ht="12" customHeight="1"/>
    <row r="6610" ht="12" customHeight="1"/>
    <row r="6611" ht="12" customHeight="1"/>
    <row r="6612" ht="12" customHeight="1"/>
    <row r="6613" ht="12" customHeight="1"/>
    <row r="6614" ht="12" customHeight="1"/>
    <row r="6615" ht="12" customHeight="1"/>
    <row r="6616" ht="12" customHeight="1"/>
    <row r="6617" ht="12" customHeight="1"/>
    <row r="6618" ht="12" customHeight="1"/>
    <row r="6619" ht="12" customHeight="1"/>
    <row r="6620" ht="12" customHeight="1"/>
    <row r="6621" ht="12" customHeight="1"/>
    <row r="6622" ht="12" customHeight="1"/>
    <row r="6623" ht="12" customHeight="1"/>
    <row r="6624" ht="12" customHeight="1"/>
    <row r="6625" ht="12" customHeight="1"/>
    <row r="6626" ht="12" customHeight="1"/>
    <row r="6627" ht="12" customHeight="1"/>
    <row r="6628" ht="12" customHeight="1"/>
    <row r="6629" ht="12" customHeight="1"/>
    <row r="6630" ht="12" customHeight="1"/>
    <row r="6631" ht="12" customHeight="1"/>
    <row r="6632" ht="12" customHeight="1"/>
    <row r="6633" ht="12" customHeight="1"/>
    <row r="6634" ht="12" customHeight="1"/>
    <row r="6635" ht="12" customHeight="1"/>
    <row r="6636" ht="12" customHeight="1"/>
    <row r="6637" ht="12" customHeight="1"/>
    <row r="6638" ht="12" customHeight="1"/>
    <row r="6639" ht="12" customHeight="1"/>
    <row r="6640" ht="12" customHeight="1"/>
    <row r="6641" ht="12" customHeight="1"/>
    <row r="6642" ht="12" customHeight="1"/>
    <row r="6643" ht="12" customHeight="1"/>
    <row r="6644" ht="12" customHeight="1"/>
    <row r="6645" ht="12" customHeight="1"/>
    <row r="6646" ht="12" customHeight="1"/>
    <row r="6647" ht="12" customHeight="1"/>
    <row r="6648" ht="12" customHeight="1"/>
    <row r="6649" ht="12" customHeight="1"/>
    <row r="6650" ht="12" customHeight="1"/>
    <row r="6651" ht="12" customHeight="1"/>
    <row r="6652" ht="12" customHeight="1"/>
    <row r="6653" ht="12" customHeight="1"/>
    <row r="6654" ht="12" customHeight="1"/>
    <row r="6655" ht="12" customHeight="1"/>
    <row r="6656" ht="12" customHeight="1"/>
    <row r="6657" ht="12" customHeight="1"/>
    <row r="6658" ht="12" customHeight="1"/>
    <row r="6659" ht="12" customHeight="1"/>
    <row r="6660" ht="12" customHeight="1"/>
    <row r="6661" ht="12" customHeight="1"/>
    <row r="6662" ht="12" customHeight="1"/>
    <row r="6663" ht="12" customHeight="1"/>
    <row r="6664" ht="12" customHeight="1"/>
    <row r="6665" ht="12" customHeight="1"/>
    <row r="6666" ht="12" customHeight="1"/>
    <row r="6667" ht="12" customHeight="1"/>
    <row r="6668" ht="12" customHeight="1"/>
    <row r="6669" ht="12" customHeight="1"/>
    <row r="6670" ht="12" customHeight="1"/>
    <row r="6671" ht="12" customHeight="1"/>
    <row r="6672" ht="12" customHeight="1"/>
    <row r="6673" ht="12" customHeight="1"/>
    <row r="6674" ht="12" customHeight="1"/>
    <row r="6675" ht="12" customHeight="1"/>
    <row r="6676" ht="12" customHeight="1"/>
    <row r="6677" ht="12" customHeight="1"/>
    <row r="6678" ht="12" customHeight="1"/>
    <row r="6679" ht="12" customHeight="1"/>
    <row r="6680" ht="12" customHeight="1"/>
    <row r="6681" ht="12" customHeight="1"/>
    <row r="6682" ht="12" customHeight="1"/>
    <row r="6683" ht="12" customHeight="1"/>
    <row r="6684" ht="12" customHeight="1"/>
    <row r="6685" ht="12" customHeight="1"/>
    <row r="6686" ht="12" customHeight="1"/>
    <row r="6687" ht="12" customHeight="1"/>
    <row r="6688" ht="12" customHeight="1"/>
    <row r="6689" ht="12" customHeight="1"/>
    <row r="6690" ht="12" customHeight="1"/>
    <row r="6691" ht="12" customHeight="1"/>
    <row r="6692" ht="12" customHeight="1"/>
    <row r="6693" ht="12" customHeight="1"/>
    <row r="6694" ht="12" customHeight="1"/>
    <row r="6695" ht="12" customHeight="1"/>
    <row r="6696" ht="12" customHeight="1"/>
    <row r="6697" ht="12" customHeight="1"/>
    <row r="6698" ht="12" customHeight="1"/>
    <row r="6699" ht="12" customHeight="1"/>
    <row r="6700" ht="12" customHeight="1"/>
    <row r="6701" ht="12" customHeight="1"/>
    <row r="6702" ht="12" customHeight="1"/>
    <row r="6703" ht="12" customHeight="1"/>
    <row r="6704" ht="12" customHeight="1"/>
    <row r="6705" ht="12" customHeight="1"/>
    <row r="6706" ht="12" customHeight="1"/>
    <row r="6707" ht="12" customHeight="1"/>
    <row r="6708" ht="12" customHeight="1"/>
    <row r="6709" ht="12" customHeight="1"/>
    <row r="6710" ht="12" customHeight="1"/>
    <row r="6711" ht="12" customHeight="1"/>
    <row r="6712" ht="12" customHeight="1"/>
    <row r="6713" ht="12" customHeight="1"/>
    <row r="6714" ht="12" customHeight="1"/>
    <row r="6715" ht="12" customHeight="1"/>
    <row r="6716" ht="12" customHeight="1"/>
    <row r="6717" ht="12" customHeight="1"/>
    <row r="6718" ht="12" customHeight="1"/>
    <row r="6719" ht="12" customHeight="1"/>
    <row r="6720" ht="12" customHeight="1"/>
    <row r="6721" ht="12" customHeight="1"/>
    <row r="6722" ht="12" customHeight="1"/>
    <row r="6723" ht="12" customHeight="1"/>
    <row r="6724" ht="12" customHeight="1"/>
    <row r="6725" ht="12" customHeight="1"/>
    <row r="6726" ht="12" customHeight="1"/>
    <row r="6727" ht="12" customHeight="1"/>
    <row r="6728" ht="12" customHeight="1"/>
    <row r="6729" ht="12" customHeight="1"/>
    <row r="6730" ht="12" customHeight="1"/>
    <row r="6731" ht="12" customHeight="1"/>
    <row r="6732" ht="12" customHeight="1"/>
    <row r="6733" ht="12" customHeight="1"/>
    <row r="6734" ht="12" customHeight="1"/>
    <row r="6735" ht="12" customHeight="1"/>
    <row r="6736" ht="12" customHeight="1"/>
    <row r="6737" ht="12" customHeight="1"/>
    <row r="6738" ht="12" customHeight="1"/>
    <row r="6739" ht="12" customHeight="1"/>
    <row r="6740" ht="12" customHeight="1"/>
    <row r="6741" ht="12" customHeight="1"/>
    <row r="6742" ht="12" customHeight="1"/>
    <row r="6743" ht="12" customHeight="1"/>
    <row r="6744" ht="12" customHeight="1"/>
    <row r="6745" ht="12" customHeight="1"/>
    <row r="6746" ht="12" customHeight="1"/>
    <row r="6747" ht="12" customHeight="1"/>
    <row r="6748" ht="12" customHeight="1"/>
    <row r="6749" ht="12" customHeight="1"/>
    <row r="6750" ht="12" customHeight="1"/>
    <row r="6751" ht="12" customHeight="1"/>
    <row r="6752" ht="12" customHeight="1"/>
    <row r="6753" ht="12" customHeight="1"/>
    <row r="6754" ht="12" customHeight="1"/>
    <row r="6755" ht="12" customHeight="1"/>
    <row r="6756" ht="12" customHeight="1"/>
    <row r="6757" ht="12" customHeight="1"/>
    <row r="6758" ht="12" customHeight="1"/>
    <row r="6759" ht="12" customHeight="1"/>
    <row r="6760" ht="12" customHeight="1"/>
    <row r="6761" ht="12" customHeight="1"/>
    <row r="6762" ht="12" customHeight="1"/>
    <row r="6763" ht="12" customHeight="1"/>
    <row r="6764" ht="12" customHeight="1"/>
    <row r="6765" ht="12" customHeight="1"/>
    <row r="6766" ht="12" customHeight="1"/>
    <row r="6767" ht="12" customHeight="1"/>
    <row r="6768" ht="12" customHeight="1"/>
    <row r="6769" ht="12" customHeight="1"/>
    <row r="6770" ht="12" customHeight="1"/>
    <row r="6771" ht="12" customHeight="1"/>
    <row r="6772" ht="12" customHeight="1"/>
    <row r="6773" ht="12" customHeight="1"/>
    <row r="6774" ht="12" customHeight="1"/>
    <row r="6775" ht="12" customHeight="1"/>
    <row r="6776" ht="12" customHeight="1"/>
    <row r="6777" ht="12" customHeight="1"/>
    <row r="6778" ht="12" customHeight="1"/>
    <row r="6779" ht="12" customHeight="1"/>
    <row r="6780" ht="12" customHeight="1"/>
    <row r="6781" ht="12" customHeight="1"/>
    <row r="6782" ht="12" customHeight="1"/>
    <row r="6783" ht="12" customHeight="1"/>
    <row r="6784" ht="12" customHeight="1"/>
    <row r="6785" ht="12" customHeight="1"/>
    <row r="6786" ht="12" customHeight="1"/>
    <row r="6787" ht="12" customHeight="1"/>
    <row r="6788" ht="12" customHeight="1"/>
    <row r="6789" ht="12" customHeight="1"/>
    <row r="6790" ht="12" customHeight="1"/>
    <row r="6791" ht="12" customHeight="1"/>
    <row r="6792" ht="12" customHeight="1"/>
    <row r="6793" ht="12" customHeight="1"/>
    <row r="6794" ht="12" customHeight="1"/>
    <row r="6795" ht="12" customHeight="1"/>
    <row r="6796" ht="12" customHeight="1"/>
    <row r="6797" ht="12" customHeight="1"/>
    <row r="6798" ht="12" customHeight="1"/>
    <row r="6799" ht="12" customHeight="1"/>
    <row r="6800" ht="12" customHeight="1"/>
    <row r="6801" ht="12" customHeight="1"/>
    <row r="6802" ht="12" customHeight="1"/>
    <row r="6803" ht="12" customHeight="1"/>
    <row r="6804" ht="12" customHeight="1"/>
    <row r="6805" ht="12" customHeight="1"/>
    <row r="6806" ht="12" customHeight="1"/>
    <row r="6807" ht="12" customHeight="1"/>
    <row r="6808" ht="12" customHeight="1"/>
    <row r="6809" ht="12" customHeight="1"/>
    <row r="6810" ht="12" customHeight="1"/>
    <row r="6811" ht="12" customHeight="1"/>
    <row r="6812" ht="12" customHeight="1"/>
    <row r="6813" ht="12" customHeight="1"/>
    <row r="6814" ht="12" customHeight="1"/>
    <row r="6815" ht="12" customHeight="1"/>
    <row r="6816" ht="12" customHeight="1"/>
    <row r="6817" ht="12" customHeight="1"/>
    <row r="6818" ht="12" customHeight="1"/>
    <row r="6819" ht="12" customHeight="1"/>
    <row r="6820" ht="12" customHeight="1"/>
    <row r="6821" ht="12" customHeight="1"/>
    <row r="6822" ht="12" customHeight="1"/>
    <row r="6823" ht="12" customHeight="1"/>
    <row r="6824" ht="12" customHeight="1"/>
    <row r="6825" ht="12" customHeight="1"/>
    <row r="6826" ht="12" customHeight="1"/>
    <row r="6827" ht="12" customHeight="1"/>
    <row r="6828" ht="12" customHeight="1"/>
    <row r="6829" ht="12" customHeight="1"/>
    <row r="6830" ht="12" customHeight="1"/>
    <row r="6831" ht="12" customHeight="1"/>
    <row r="6832" ht="12" customHeight="1"/>
    <row r="6833" ht="12" customHeight="1"/>
    <row r="6834" ht="12" customHeight="1"/>
    <row r="6835" ht="12" customHeight="1"/>
    <row r="6836" ht="12" customHeight="1"/>
    <row r="6837" ht="12" customHeight="1"/>
    <row r="6838" ht="12" customHeight="1"/>
    <row r="6839" ht="12" customHeight="1"/>
    <row r="6840" ht="12" customHeight="1"/>
    <row r="6841" ht="12" customHeight="1"/>
    <row r="6842" ht="12" customHeight="1"/>
    <row r="6843" ht="12" customHeight="1"/>
    <row r="6844" ht="12" customHeight="1"/>
    <row r="6845" ht="12" customHeight="1"/>
    <row r="6846" ht="12" customHeight="1"/>
    <row r="6847" ht="12" customHeight="1"/>
    <row r="6848" ht="12" customHeight="1"/>
    <row r="6849" ht="12" customHeight="1"/>
    <row r="6850" ht="12" customHeight="1"/>
    <row r="6851" ht="12" customHeight="1"/>
    <row r="6852" ht="12" customHeight="1"/>
    <row r="6853" ht="12" customHeight="1"/>
    <row r="6854" ht="12" customHeight="1"/>
    <row r="6855" ht="12" customHeight="1"/>
    <row r="6856" ht="12" customHeight="1"/>
    <row r="6857" ht="12" customHeight="1"/>
    <row r="6858" ht="12" customHeight="1"/>
    <row r="6859" ht="12" customHeight="1"/>
    <row r="6860" ht="12" customHeight="1"/>
    <row r="6861" ht="12" customHeight="1"/>
    <row r="6862" ht="12" customHeight="1"/>
    <row r="6863" ht="12" customHeight="1"/>
    <row r="6864" ht="12" customHeight="1"/>
    <row r="6865" ht="12" customHeight="1"/>
    <row r="6866" ht="12" customHeight="1"/>
    <row r="6867" ht="12" customHeight="1"/>
    <row r="6868" ht="12" customHeight="1"/>
    <row r="6869" ht="12" customHeight="1"/>
    <row r="6870" ht="12" customHeight="1"/>
    <row r="6871" ht="12" customHeight="1"/>
    <row r="6872" ht="12" customHeight="1"/>
    <row r="6873" ht="12" customHeight="1"/>
    <row r="6874" ht="12" customHeight="1"/>
    <row r="6875" ht="12" customHeight="1"/>
    <row r="6876" ht="12" customHeight="1"/>
    <row r="6877" ht="12" customHeight="1"/>
    <row r="6878" ht="12" customHeight="1"/>
    <row r="6879" ht="12" customHeight="1"/>
    <row r="6880" ht="12" customHeight="1"/>
    <row r="6881" ht="12" customHeight="1"/>
    <row r="6882" ht="12" customHeight="1"/>
    <row r="6883" ht="12" customHeight="1"/>
    <row r="6884" ht="12" customHeight="1"/>
    <row r="6885" ht="12" customHeight="1"/>
    <row r="6886" ht="12" customHeight="1"/>
    <row r="6887" ht="12" customHeight="1"/>
    <row r="6888" ht="12" customHeight="1"/>
    <row r="6889" ht="12" customHeight="1"/>
    <row r="6890" ht="12" customHeight="1"/>
    <row r="6891" ht="12" customHeight="1"/>
    <row r="6892" ht="12" customHeight="1"/>
    <row r="6893" ht="12" customHeight="1"/>
    <row r="6894" ht="12" customHeight="1"/>
    <row r="6895" ht="12" customHeight="1"/>
    <row r="6896" ht="12" customHeight="1"/>
    <row r="6897" ht="12" customHeight="1"/>
    <row r="6898" ht="12" customHeight="1"/>
    <row r="6899" ht="12" customHeight="1"/>
    <row r="6900" ht="12" customHeight="1"/>
    <row r="6901" ht="12" customHeight="1"/>
    <row r="6902" ht="12" customHeight="1"/>
    <row r="6903" ht="12" customHeight="1"/>
    <row r="6904" ht="12" customHeight="1"/>
    <row r="6905" ht="12" customHeight="1"/>
    <row r="6906" ht="12" customHeight="1"/>
    <row r="6907" ht="12" customHeight="1"/>
    <row r="6908" ht="12" customHeight="1"/>
    <row r="6909" ht="12" customHeight="1"/>
    <row r="6910" ht="12" customHeight="1"/>
    <row r="6911" ht="12" customHeight="1"/>
    <row r="6912" ht="12" customHeight="1"/>
    <row r="6913" ht="12" customHeight="1"/>
    <row r="6914" ht="12" customHeight="1"/>
    <row r="6915" ht="12" customHeight="1"/>
    <row r="6916" ht="12" customHeight="1"/>
    <row r="6917" ht="12" customHeight="1"/>
    <row r="6918" ht="12" customHeight="1"/>
    <row r="6919" ht="12" customHeight="1"/>
    <row r="6920" ht="12" customHeight="1"/>
    <row r="6921" ht="12" customHeight="1"/>
    <row r="6922" ht="12" customHeight="1"/>
    <row r="6923" ht="12" customHeight="1"/>
    <row r="6924" ht="12" customHeight="1"/>
    <row r="6925" ht="12" customHeight="1"/>
    <row r="6926" ht="12" customHeight="1"/>
    <row r="6927" ht="12" customHeight="1"/>
    <row r="6928" ht="12" customHeight="1"/>
    <row r="6929" ht="12" customHeight="1"/>
    <row r="6930" ht="12" customHeight="1"/>
    <row r="6931" ht="12" customHeight="1"/>
    <row r="6932" ht="12" customHeight="1"/>
    <row r="6933" ht="12" customHeight="1"/>
    <row r="6934" ht="12" customHeight="1"/>
    <row r="6935" ht="12" customHeight="1"/>
    <row r="6936" ht="12" customHeight="1"/>
    <row r="6937" ht="12" customHeight="1"/>
    <row r="6938" ht="12" customHeight="1"/>
    <row r="6939" ht="12" customHeight="1"/>
    <row r="6940" ht="12" customHeight="1"/>
    <row r="6941" ht="12" customHeight="1"/>
    <row r="6942" ht="12" customHeight="1"/>
    <row r="6943" ht="12" customHeight="1"/>
    <row r="6944" ht="12" customHeight="1"/>
    <row r="6945" ht="12" customHeight="1"/>
    <row r="6946" ht="12" customHeight="1"/>
    <row r="6947" ht="12" customHeight="1"/>
    <row r="6948" ht="12" customHeight="1"/>
    <row r="6949" ht="12" customHeight="1"/>
    <row r="6950" ht="12" customHeight="1"/>
    <row r="6951" ht="12" customHeight="1"/>
    <row r="6952" ht="12" customHeight="1"/>
    <row r="6953" ht="12" customHeight="1"/>
    <row r="6954" ht="12" customHeight="1"/>
    <row r="6955" ht="12" customHeight="1"/>
    <row r="6956" ht="12" customHeight="1"/>
    <row r="6957" ht="12" customHeight="1"/>
    <row r="6958" ht="12" customHeight="1"/>
    <row r="6959" ht="12" customHeight="1"/>
    <row r="6960" ht="12" customHeight="1"/>
    <row r="6961" ht="12" customHeight="1"/>
    <row r="6962" ht="12" customHeight="1"/>
    <row r="6963" ht="12" customHeight="1"/>
    <row r="6964" ht="12" customHeight="1"/>
    <row r="6965" ht="12" customHeight="1"/>
    <row r="6966" ht="12" customHeight="1"/>
    <row r="6967" ht="12" customHeight="1"/>
    <row r="6968" ht="12" customHeight="1"/>
    <row r="6969" ht="12" customHeight="1"/>
    <row r="6970" ht="12" customHeight="1"/>
    <row r="6971" ht="12" customHeight="1"/>
    <row r="6972" ht="12" customHeight="1"/>
    <row r="6973" ht="12" customHeight="1"/>
    <row r="6974" ht="12" customHeight="1"/>
    <row r="6975" ht="12" customHeight="1"/>
    <row r="6976" ht="12" customHeight="1"/>
    <row r="6977" ht="12" customHeight="1"/>
    <row r="6978" ht="12" customHeight="1"/>
    <row r="6979" ht="12" customHeight="1"/>
    <row r="6980" ht="12" customHeight="1"/>
    <row r="6981" ht="12" customHeight="1"/>
    <row r="6982" ht="12" customHeight="1"/>
    <row r="6983" ht="12" customHeight="1"/>
    <row r="6984" ht="12" customHeight="1"/>
    <row r="6985" ht="12" customHeight="1"/>
    <row r="6986" ht="12" customHeight="1"/>
    <row r="6987" ht="12" customHeight="1"/>
    <row r="6988" ht="12" customHeight="1"/>
    <row r="6989" ht="12" customHeight="1"/>
    <row r="6990" ht="12" customHeight="1"/>
    <row r="6991" ht="12" customHeight="1"/>
    <row r="6992" ht="12" customHeight="1"/>
    <row r="6993" ht="12" customHeight="1"/>
    <row r="6994" ht="12" customHeight="1"/>
    <row r="6995" ht="12" customHeight="1"/>
    <row r="6996" ht="12" customHeight="1"/>
    <row r="6997" ht="12" customHeight="1"/>
    <row r="6998" ht="12" customHeight="1"/>
    <row r="6999" ht="12" customHeight="1"/>
    <row r="7000" ht="12" customHeight="1"/>
    <row r="7001" ht="12" customHeight="1"/>
    <row r="7002" ht="12" customHeight="1"/>
    <row r="7003" ht="12" customHeight="1"/>
    <row r="7004" ht="12" customHeight="1"/>
    <row r="7005" ht="12" customHeight="1"/>
    <row r="7006" ht="12" customHeight="1"/>
    <row r="7007" ht="12" customHeight="1"/>
    <row r="7008" ht="12" customHeight="1"/>
    <row r="7009" ht="12" customHeight="1"/>
    <row r="7010" ht="12" customHeight="1"/>
    <row r="7011" ht="12" customHeight="1"/>
    <row r="7012" ht="12" customHeight="1"/>
    <row r="7013" ht="12" customHeight="1"/>
    <row r="7014" ht="12" customHeight="1"/>
    <row r="7015" ht="12" customHeight="1"/>
    <row r="7016" ht="12" customHeight="1"/>
    <row r="7017" ht="12" customHeight="1"/>
    <row r="7018" ht="12" customHeight="1"/>
    <row r="7019" ht="12" customHeight="1"/>
    <row r="7020" ht="12" customHeight="1"/>
    <row r="7021" ht="12" customHeight="1"/>
    <row r="7022" ht="12" customHeight="1"/>
    <row r="7023" ht="12" customHeight="1"/>
    <row r="7024" ht="12" customHeight="1"/>
    <row r="7025" ht="12" customHeight="1"/>
    <row r="7026" ht="12" customHeight="1"/>
    <row r="7027" ht="12" customHeight="1"/>
    <row r="7028" ht="12" customHeight="1"/>
    <row r="7029" ht="12" customHeight="1"/>
    <row r="7030" ht="12" customHeight="1"/>
    <row r="7031" ht="12" customHeight="1"/>
    <row r="7032" ht="12" customHeight="1"/>
    <row r="7033" ht="12" customHeight="1"/>
    <row r="7034" ht="12" customHeight="1"/>
    <row r="7035" ht="12" customHeight="1"/>
    <row r="7036" ht="12" customHeight="1"/>
    <row r="7037" ht="12" customHeight="1"/>
    <row r="7038" ht="12" customHeight="1"/>
    <row r="7039" ht="12" customHeight="1"/>
    <row r="7040" ht="12" customHeight="1"/>
    <row r="7041" ht="12" customHeight="1"/>
    <row r="7042" ht="12" customHeight="1"/>
    <row r="7043" ht="12" customHeight="1"/>
    <row r="7044" ht="12" customHeight="1"/>
    <row r="7045" ht="12" customHeight="1"/>
    <row r="7046" ht="12" customHeight="1"/>
    <row r="7047" ht="12" customHeight="1"/>
    <row r="7048" ht="12" customHeight="1"/>
    <row r="7049" ht="12" customHeight="1"/>
    <row r="7050" ht="12" customHeight="1"/>
    <row r="7051" ht="12" customHeight="1"/>
    <row r="7052" ht="12" customHeight="1"/>
    <row r="7053" ht="12" customHeight="1"/>
    <row r="7054" ht="12" customHeight="1"/>
    <row r="7055" ht="12" customHeight="1"/>
    <row r="7056" ht="12" customHeight="1"/>
    <row r="7057" ht="12" customHeight="1"/>
    <row r="7058" ht="12" customHeight="1"/>
    <row r="7059" ht="12" customHeight="1"/>
    <row r="7060" ht="12" customHeight="1"/>
    <row r="7061" ht="12" customHeight="1"/>
    <row r="7062" ht="12" customHeight="1"/>
    <row r="7063" ht="12" customHeight="1"/>
    <row r="7064" ht="12" customHeight="1"/>
    <row r="7065" ht="12" customHeight="1"/>
    <row r="7066" ht="12" customHeight="1"/>
    <row r="7067" ht="12" customHeight="1"/>
    <row r="7068" ht="12" customHeight="1"/>
    <row r="7069" ht="12" customHeight="1"/>
    <row r="7070" ht="12" customHeight="1"/>
    <row r="7071" ht="12" customHeight="1"/>
    <row r="7072" ht="12" customHeight="1"/>
    <row r="7073" ht="12" customHeight="1"/>
    <row r="7074" ht="12" customHeight="1"/>
    <row r="7075" ht="12" customHeight="1"/>
    <row r="7076" ht="12" customHeight="1"/>
    <row r="7077" ht="12" customHeight="1"/>
    <row r="7078" ht="12" customHeight="1"/>
    <row r="7079" ht="12" customHeight="1"/>
    <row r="7080" ht="12" customHeight="1"/>
    <row r="7081" ht="12" customHeight="1"/>
    <row r="7082" ht="12" customHeight="1"/>
    <row r="7083" ht="12" customHeight="1"/>
    <row r="7084" ht="12" customHeight="1"/>
    <row r="7085" ht="12" customHeight="1"/>
    <row r="7086" ht="12" customHeight="1"/>
    <row r="7087" ht="12" customHeight="1"/>
    <row r="7088" ht="12" customHeight="1"/>
    <row r="7089" ht="12" customHeight="1"/>
    <row r="7090" ht="12" customHeight="1"/>
    <row r="7091" ht="12" customHeight="1"/>
    <row r="7092" ht="12" customHeight="1"/>
    <row r="7093" ht="12" customHeight="1"/>
    <row r="7094" ht="12" customHeight="1"/>
    <row r="7095" ht="12" customHeight="1"/>
    <row r="7096" ht="12" customHeight="1"/>
    <row r="7097" ht="12" customHeight="1"/>
    <row r="7098" ht="12" customHeight="1"/>
    <row r="7099" ht="12" customHeight="1"/>
    <row r="7100" ht="12" customHeight="1"/>
    <row r="7101" ht="12" customHeight="1"/>
    <row r="7102" ht="12" customHeight="1"/>
    <row r="7103" ht="12" customHeight="1"/>
    <row r="7104" ht="12" customHeight="1"/>
    <row r="7105" ht="12" customHeight="1"/>
    <row r="7106" ht="12" customHeight="1"/>
    <row r="7107" ht="12" customHeight="1"/>
    <row r="7108" ht="12" customHeight="1"/>
    <row r="7109" ht="12" customHeight="1"/>
    <row r="7110" ht="12" customHeight="1"/>
    <row r="7111" ht="12" customHeight="1"/>
    <row r="7112" ht="12" customHeight="1"/>
    <row r="7113" ht="12" customHeight="1"/>
    <row r="7114" ht="12" customHeight="1"/>
    <row r="7115" ht="12" customHeight="1"/>
    <row r="7116" ht="12" customHeight="1"/>
    <row r="7117" ht="12" customHeight="1"/>
    <row r="7118" ht="12" customHeight="1"/>
    <row r="7119" ht="12" customHeight="1"/>
    <row r="7120" ht="12" customHeight="1"/>
    <row r="7121" ht="12" customHeight="1"/>
    <row r="7122" ht="12" customHeight="1"/>
    <row r="7123" ht="12" customHeight="1"/>
    <row r="7124" ht="12" customHeight="1"/>
    <row r="7125" ht="12" customHeight="1"/>
    <row r="7126" ht="12" customHeight="1"/>
    <row r="7127" ht="12" customHeight="1"/>
    <row r="7128" ht="12" customHeight="1"/>
    <row r="7129" ht="12" customHeight="1"/>
    <row r="7130" ht="12" customHeight="1"/>
    <row r="7131" ht="12" customHeight="1"/>
    <row r="7132" ht="12" customHeight="1"/>
    <row r="7133" ht="12" customHeight="1"/>
    <row r="7134" ht="12" customHeight="1"/>
    <row r="7135" ht="12" customHeight="1"/>
    <row r="7136" ht="12" customHeight="1"/>
    <row r="7137" ht="12" customHeight="1"/>
    <row r="7138" ht="12" customHeight="1"/>
    <row r="7139" ht="12" customHeight="1"/>
    <row r="7140" ht="12" customHeight="1"/>
    <row r="7141" ht="12" customHeight="1"/>
    <row r="7142" ht="12" customHeight="1"/>
    <row r="7143" ht="12" customHeight="1"/>
    <row r="7144" ht="12" customHeight="1"/>
    <row r="7145" ht="12" customHeight="1"/>
    <row r="7146" ht="12" customHeight="1"/>
    <row r="7147" ht="12" customHeight="1"/>
    <row r="7148" ht="12" customHeight="1"/>
    <row r="7149" ht="12" customHeight="1"/>
    <row r="7150" ht="12" customHeight="1"/>
    <row r="7151" ht="12" customHeight="1"/>
    <row r="7152" ht="12" customHeight="1"/>
    <row r="7153" ht="12" customHeight="1"/>
    <row r="7154" ht="12" customHeight="1"/>
    <row r="7155" ht="12" customHeight="1"/>
    <row r="7156" ht="12" customHeight="1"/>
    <row r="7157" ht="12" customHeight="1"/>
    <row r="7158" ht="12" customHeight="1"/>
    <row r="7159" ht="12" customHeight="1"/>
    <row r="7160" ht="12" customHeight="1"/>
    <row r="7161" ht="12" customHeight="1"/>
    <row r="7162" ht="12" customHeight="1"/>
    <row r="7163" ht="12" customHeight="1"/>
    <row r="7164" ht="12" customHeight="1"/>
    <row r="7165" ht="12" customHeight="1"/>
    <row r="7166" ht="12" customHeight="1"/>
    <row r="7167" ht="12" customHeight="1"/>
    <row r="7168" ht="12" customHeight="1"/>
    <row r="7169" ht="12" customHeight="1"/>
    <row r="7170" ht="12" customHeight="1"/>
    <row r="7171" ht="12" customHeight="1"/>
    <row r="7172" ht="12" customHeight="1"/>
    <row r="7173" ht="12" customHeight="1"/>
    <row r="7174" ht="12" customHeight="1"/>
    <row r="7175" ht="12" customHeight="1"/>
    <row r="7176" ht="12" customHeight="1"/>
    <row r="7177" ht="12" customHeight="1"/>
    <row r="7178" ht="12" customHeight="1"/>
    <row r="7179" ht="12" customHeight="1"/>
    <row r="7180" ht="12" customHeight="1"/>
    <row r="7181" ht="12" customHeight="1"/>
    <row r="7182" ht="12" customHeight="1"/>
    <row r="7183" ht="12" customHeight="1"/>
    <row r="7184" ht="12" customHeight="1"/>
    <row r="7185" ht="12" customHeight="1"/>
    <row r="7186" ht="12" customHeight="1"/>
    <row r="7187" ht="12" customHeight="1"/>
    <row r="7188" ht="12" customHeight="1"/>
    <row r="7189" ht="12" customHeight="1"/>
    <row r="7190" ht="12" customHeight="1"/>
    <row r="7191" ht="12" customHeight="1"/>
    <row r="7192" ht="12" customHeight="1"/>
    <row r="7193" ht="12" customHeight="1"/>
    <row r="7194" ht="12" customHeight="1"/>
    <row r="7195" ht="12" customHeight="1"/>
    <row r="7196" ht="12" customHeight="1"/>
    <row r="7197" ht="12" customHeight="1"/>
    <row r="7198" ht="12" customHeight="1"/>
    <row r="7199" ht="12" customHeight="1"/>
    <row r="7200" ht="12" customHeight="1"/>
    <row r="7201" ht="12" customHeight="1"/>
    <row r="7202" ht="12" customHeight="1"/>
    <row r="7203" ht="12" customHeight="1"/>
    <row r="7204" ht="12" customHeight="1"/>
    <row r="7205" ht="12" customHeight="1"/>
    <row r="7206" ht="12" customHeight="1"/>
    <row r="7207" ht="12" customHeight="1"/>
    <row r="7208" ht="12" customHeight="1"/>
    <row r="7209" ht="12" customHeight="1"/>
    <row r="7210" ht="12" customHeight="1"/>
    <row r="7211" ht="12" customHeight="1"/>
    <row r="7212" ht="12" customHeight="1"/>
    <row r="7213" ht="12" customHeight="1"/>
    <row r="7214" ht="12" customHeight="1"/>
    <row r="7215" ht="12" customHeight="1"/>
    <row r="7216" ht="12" customHeight="1"/>
    <row r="7217" ht="12" customHeight="1"/>
    <row r="7218" ht="12" customHeight="1"/>
    <row r="7219" ht="12" customHeight="1"/>
    <row r="7220" ht="12" customHeight="1"/>
    <row r="7221" ht="12" customHeight="1"/>
    <row r="7222" ht="12" customHeight="1"/>
    <row r="7223" ht="12" customHeight="1"/>
    <row r="7224" ht="12" customHeight="1"/>
    <row r="7225" ht="12" customHeight="1"/>
    <row r="7226" ht="12" customHeight="1"/>
    <row r="7227" ht="12" customHeight="1"/>
    <row r="7228" ht="12" customHeight="1"/>
    <row r="7229" ht="12" customHeight="1"/>
    <row r="7230" ht="12" customHeight="1"/>
    <row r="7231" ht="12" customHeight="1"/>
    <row r="7232" ht="12" customHeight="1"/>
    <row r="7233" ht="12" customHeight="1"/>
    <row r="7234" ht="12" customHeight="1"/>
    <row r="7235" ht="12" customHeight="1"/>
    <row r="7236" ht="12" customHeight="1"/>
    <row r="7237" ht="12" customHeight="1"/>
    <row r="7238" ht="12" customHeight="1"/>
    <row r="7239" ht="12" customHeight="1"/>
    <row r="7240" ht="12" customHeight="1"/>
    <row r="7241" ht="12" customHeight="1"/>
    <row r="7242" ht="12" customHeight="1"/>
    <row r="7243" ht="12" customHeight="1"/>
    <row r="7244" ht="12" customHeight="1"/>
    <row r="7245" ht="12" customHeight="1"/>
    <row r="7246" ht="12" customHeight="1"/>
    <row r="7247" ht="12" customHeight="1"/>
    <row r="7248" ht="12" customHeight="1"/>
    <row r="7249" ht="12" customHeight="1"/>
    <row r="7250" ht="12" customHeight="1"/>
    <row r="7251" ht="12" customHeight="1"/>
    <row r="7252" ht="12" customHeight="1"/>
    <row r="7253" ht="12" customHeight="1"/>
    <row r="7254" ht="12" customHeight="1"/>
    <row r="7255" ht="12" customHeight="1"/>
    <row r="7256" ht="12" customHeight="1"/>
    <row r="7257" ht="12" customHeight="1"/>
    <row r="7258" ht="12" customHeight="1"/>
    <row r="7259" ht="12" customHeight="1"/>
    <row r="7260" ht="12" customHeight="1"/>
    <row r="7261" ht="12" customHeight="1"/>
    <row r="7262" ht="12" customHeight="1"/>
    <row r="7263" ht="12" customHeight="1"/>
    <row r="7264" ht="12" customHeight="1"/>
    <row r="7265" ht="12" customHeight="1"/>
    <row r="7266" ht="12" customHeight="1"/>
    <row r="7267" ht="12" customHeight="1"/>
    <row r="7268" ht="12" customHeight="1"/>
    <row r="7269" ht="12" customHeight="1"/>
    <row r="7270" ht="12" customHeight="1"/>
    <row r="7271" ht="12" customHeight="1"/>
    <row r="7272" ht="12" customHeight="1"/>
    <row r="7273" ht="12" customHeight="1"/>
    <row r="7274" ht="12" customHeight="1"/>
    <row r="7275" ht="12" customHeight="1"/>
    <row r="7276" ht="12" customHeight="1"/>
    <row r="7277" ht="12" customHeight="1"/>
    <row r="7278" ht="12" customHeight="1"/>
    <row r="7279" ht="12" customHeight="1"/>
    <row r="7280" ht="12" customHeight="1"/>
    <row r="7281" ht="12" customHeight="1"/>
    <row r="7282" ht="12" customHeight="1"/>
    <row r="7283" ht="12" customHeight="1"/>
    <row r="7284" ht="12" customHeight="1"/>
    <row r="7285" ht="12" customHeight="1"/>
    <row r="7286" ht="12" customHeight="1"/>
    <row r="7287" ht="12" customHeight="1"/>
    <row r="7288" ht="12" customHeight="1"/>
    <row r="7289" ht="12" customHeight="1"/>
    <row r="7290" ht="12" customHeight="1"/>
    <row r="7291" ht="12" customHeight="1"/>
    <row r="7292" ht="12" customHeight="1"/>
    <row r="7293" ht="12" customHeight="1"/>
    <row r="7294" ht="12" customHeight="1"/>
    <row r="7295" ht="12" customHeight="1"/>
    <row r="7296" ht="12" customHeight="1"/>
    <row r="7297" ht="12" customHeight="1"/>
    <row r="7298" ht="12" customHeight="1"/>
    <row r="7299" ht="12" customHeight="1"/>
    <row r="7300" ht="12" customHeight="1"/>
    <row r="7301" ht="12" customHeight="1"/>
    <row r="7302" ht="12" customHeight="1"/>
    <row r="7303" ht="12" customHeight="1"/>
    <row r="7304" ht="12" customHeight="1"/>
    <row r="7305" ht="12" customHeight="1"/>
    <row r="7306" ht="12" customHeight="1"/>
    <row r="7307" ht="12" customHeight="1"/>
    <row r="7308" ht="12" customHeight="1"/>
    <row r="7309" ht="12" customHeight="1"/>
    <row r="7310" ht="12" customHeight="1"/>
    <row r="7311" ht="12" customHeight="1"/>
    <row r="7312" ht="12" customHeight="1"/>
    <row r="7313" ht="12" customHeight="1"/>
    <row r="7314" ht="12" customHeight="1"/>
    <row r="7315" ht="12" customHeight="1"/>
    <row r="7316" ht="12" customHeight="1"/>
    <row r="7317" ht="12" customHeight="1"/>
    <row r="7318" ht="12" customHeight="1"/>
    <row r="7319" ht="12" customHeight="1"/>
    <row r="7320" ht="12" customHeight="1"/>
    <row r="7321" ht="12" customHeight="1"/>
    <row r="7322" ht="12" customHeight="1"/>
    <row r="7323" ht="12" customHeight="1"/>
    <row r="7324" ht="12" customHeight="1"/>
    <row r="7325" ht="12" customHeight="1"/>
    <row r="7326" ht="12" customHeight="1"/>
    <row r="7327" ht="12" customHeight="1"/>
    <row r="7328" ht="12" customHeight="1"/>
    <row r="7329" ht="12" customHeight="1"/>
    <row r="7330" ht="12" customHeight="1"/>
    <row r="7331" ht="12" customHeight="1"/>
    <row r="7332" ht="12" customHeight="1"/>
    <row r="7333" ht="12" customHeight="1"/>
    <row r="7334" ht="12" customHeight="1"/>
    <row r="7335" ht="12" customHeight="1"/>
    <row r="7336" ht="12" customHeight="1"/>
    <row r="7337" ht="12" customHeight="1"/>
    <row r="7338" ht="12" customHeight="1"/>
    <row r="7339" ht="12" customHeight="1"/>
    <row r="7340" ht="12" customHeight="1"/>
    <row r="7341" ht="12" customHeight="1"/>
    <row r="7342" ht="12" customHeight="1"/>
    <row r="7343" ht="12" customHeight="1"/>
    <row r="7344" ht="12" customHeight="1"/>
    <row r="7345" ht="12" customHeight="1"/>
    <row r="7346" ht="12" customHeight="1"/>
    <row r="7347" ht="12" customHeight="1"/>
    <row r="7348" ht="12" customHeight="1"/>
    <row r="7349" ht="12" customHeight="1"/>
    <row r="7350" ht="12" customHeight="1"/>
    <row r="7351" ht="12" customHeight="1"/>
    <row r="7352" ht="12" customHeight="1"/>
    <row r="7353" ht="12" customHeight="1"/>
    <row r="7354" ht="12" customHeight="1"/>
    <row r="7355" ht="12" customHeight="1"/>
    <row r="7356" ht="12" customHeight="1"/>
    <row r="7357" ht="12" customHeight="1"/>
    <row r="7358" ht="12" customHeight="1"/>
    <row r="7359" ht="12" customHeight="1"/>
    <row r="7360" ht="12" customHeight="1"/>
    <row r="7361" ht="12" customHeight="1"/>
    <row r="7362" ht="12" customHeight="1"/>
    <row r="7363" ht="12" customHeight="1"/>
    <row r="7364" ht="12" customHeight="1"/>
    <row r="7365" ht="12" customHeight="1"/>
    <row r="7366" ht="12" customHeight="1"/>
    <row r="7367" ht="12" customHeight="1"/>
    <row r="7368" ht="12" customHeight="1"/>
    <row r="7369" ht="12" customHeight="1"/>
    <row r="7370" ht="12" customHeight="1"/>
    <row r="7371" ht="12" customHeight="1"/>
    <row r="7372" ht="12" customHeight="1"/>
    <row r="7373" ht="12" customHeight="1"/>
    <row r="7374" ht="12" customHeight="1"/>
    <row r="7375" ht="12" customHeight="1"/>
    <row r="7376" ht="12" customHeight="1"/>
    <row r="7377" ht="12" customHeight="1"/>
    <row r="7378" ht="12" customHeight="1"/>
    <row r="7379" ht="12" customHeight="1"/>
    <row r="7380" ht="12" customHeight="1"/>
    <row r="7381" ht="12" customHeight="1"/>
    <row r="7382" ht="12" customHeight="1"/>
    <row r="7383" ht="12" customHeight="1"/>
    <row r="7384" ht="12" customHeight="1"/>
    <row r="7385" ht="12" customHeight="1"/>
    <row r="7386" ht="12" customHeight="1"/>
    <row r="7387" ht="12" customHeight="1"/>
    <row r="7388" ht="12" customHeight="1"/>
    <row r="7389" ht="12" customHeight="1"/>
    <row r="7390" ht="12" customHeight="1"/>
    <row r="7391" ht="12" customHeight="1"/>
    <row r="7392" ht="12" customHeight="1"/>
    <row r="7393" ht="12" customHeight="1"/>
    <row r="7394" ht="12" customHeight="1"/>
    <row r="7395" ht="12" customHeight="1"/>
    <row r="7396" ht="12" customHeight="1"/>
    <row r="7397" ht="12" customHeight="1"/>
    <row r="7398" ht="12" customHeight="1"/>
    <row r="7399" ht="12" customHeight="1"/>
    <row r="7400" ht="12" customHeight="1"/>
    <row r="7401" ht="12" customHeight="1"/>
    <row r="7402" ht="12" customHeight="1"/>
    <row r="7403" ht="12" customHeight="1"/>
    <row r="7404" ht="12" customHeight="1"/>
    <row r="7405" ht="12" customHeight="1"/>
    <row r="7406" ht="12" customHeight="1"/>
    <row r="7407" ht="12" customHeight="1"/>
    <row r="7408" ht="12" customHeight="1"/>
    <row r="7409" ht="12" customHeight="1"/>
    <row r="7410" ht="12" customHeight="1"/>
    <row r="7411" ht="12" customHeight="1"/>
    <row r="7412" ht="12" customHeight="1"/>
    <row r="7413" ht="12" customHeight="1"/>
    <row r="7414" ht="12" customHeight="1"/>
    <row r="7415" ht="12" customHeight="1"/>
    <row r="7416" ht="12" customHeight="1"/>
    <row r="7417" ht="12" customHeight="1"/>
    <row r="7418" ht="12" customHeight="1"/>
    <row r="7419" ht="12" customHeight="1"/>
    <row r="7420" ht="12" customHeight="1"/>
    <row r="7421" ht="12" customHeight="1"/>
    <row r="7422" ht="12" customHeight="1"/>
    <row r="7423" ht="12" customHeight="1"/>
    <row r="7424" ht="12" customHeight="1"/>
    <row r="7425" ht="12" customHeight="1"/>
    <row r="7426" ht="12" customHeight="1"/>
    <row r="7427" ht="12" customHeight="1"/>
    <row r="7428" ht="12" customHeight="1"/>
    <row r="7429" ht="12" customHeight="1"/>
    <row r="7430" ht="12" customHeight="1"/>
    <row r="7431" ht="12" customHeight="1"/>
    <row r="7432" ht="12" customHeight="1"/>
    <row r="7433" ht="12" customHeight="1"/>
    <row r="7434" ht="12" customHeight="1"/>
    <row r="7435" ht="12" customHeight="1"/>
    <row r="7436" ht="12" customHeight="1"/>
    <row r="7437" ht="12" customHeight="1"/>
    <row r="7438" ht="12" customHeight="1"/>
    <row r="7439" ht="12" customHeight="1"/>
    <row r="7440" ht="12" customHeight="1"/>
    <row r="7441" ht="12" customHeight="1"/>
    <row r="7442" ht="12" customHeight="1"/>
    <row r="7443" ht="12" customHeight="1"/>
    <row r="7444" ht="12" customHeight="1"/>
    <row r="7445" ht="12" customHeight="1"/>
    <row r="7446" ht="12" customHeight="1"/>
    <row r="7447" ht="12" customHeight="1"/>
    <row r="7448" ht="12" customHeight="1"/>
    <row r="7449" ht="12" customHeight="1"/>
    <row r="7450" ht="12" customHeight="1"/>
    <row r="7451" ht="12" customHeight="1"/>
    <row r="7452" ht="12" customHeight="1"/>
    <row r="7453" ht="12" customHeight="1"/>
    <row r="7454" ht="12" customHeight="1"/>
    <row r="7455" ht="12" customHeight="1"/>
    <row r="7456" ht="12" customHeight="1"/>
    <row r="7457" ht="12" customHeight="1"/>
    <row r="7458" ht="12" customHeight="1"/>
    <row r="7459" ht="12" customHeight="1"/>
    <row r="7460" ht="12" customHeight="1"/>
    <row r="7461" ht="12" customHeight="1"/>
    <row r="7462" ht="12" customHeight="1"/>
    <row r="7463" ht="12" customHeight="1"/>
    <row r="7464" ht="12" customHeight="1"/>
    <row r="7465" ht="12" customHeight="1"/>
    <row r="7466" ht="12" customHeight="1"/>
    <row r="7467" ht="12" customHeight="1"/>
    <row r="7468" ht="12" customHeight="1"/>
    <row r="7469" ht="12" customHeight="1"/>
    <row r="7470" ht="12" customHeight="1"/>
    <row r="7471" ht="12" customHeight="1"/>
    <row r="7472" ht="12" customHeight="1"/>
    <row r="7473" ht="12" customHeight="1"/>
    <row r="7474" ht="12" customHeight="1"/>
    <row r="7475" ht="12" customHeight="1"/>
    <row r="7476" ht="12" customHeight="1"/>
    <row r="7477" ht="12" customHeight="1"/>
    <row r="7478" ht="12" customHeight="1"/>
    <row r="7479" ht="12" customHeight="1"/>
    <row r="7480" ht="12" customHeight="1"/>
    <row r="7481" ht="12" customHeight="1"/>
    <row r="7482" ht="12" customHeight="1"/>
    <row r="7483" ht="12" customHeight="1"/>
    <row r="7484" ht="12" customHeight="1"/>
    <row r="7485" ht="12" customHeight="1"/>
    <row r="7486" ht="12" customHeight="1"/>
    <row r="7487" ht="12" customHeight="1"/>
    <row r="7488" ht="12" customHeight="1"/>
    <row r="7489" ht="12" customHeight="1"/>
    <row r="7490" ht="12" customHeight="1"/>
    <row r="7491" ht="12" customHeight="1"/>
    <row r="7492" ht="12" customHeight="1"/>
    <row r="7493" ht="12" customHeight="1"/>
    <row r="7494" ht="12" customHeight="1"/>
    <row r="7495" ht="12" customHeight="1"/>
    <row r="7496" ht="12" customHeight="1"/>
    <row r="7497" ht="12" customHeight="1"/>
    <row r="7498" ht="12" customHeight="1"/>
    <row r="7499" ht="12" customHeight="1"/>
    <row r="7500" ht="12" customHeight="1"/>
    <row r="7501" ht="12" customHeight="1"/>
    <row r="7502" ht="12" customHeight="1"/>
    <row r="7503" ht="12" customHeight="1"/>
    <row r="7504" ht="12" customHeight="1"/>
    <row r="7505" ht="12" customHeight="1"/>
    <row r="7506" ht="12" customHeight="1"/>
    <row r="7507" ht="12" customHeight="1"/>
    <row r="7508" ht="12" customHeight="1"/>
    <row r="7509" ht="12" customHeight="1"/>
    <row r="7510" ht="12" customHeight="1"/>
    <row r="7511" ht="12" customHeight="1"/>
    <row r="7512" ht="12" customHeight="1"/>
    <row r="7513" ht="12" customHeight="1"/>
    <row r="7514" ht="12" customHeight="1"/>
    <row r="7515" ht="12" customHeight="1"/>
    <row r="7516" ht="12" customHeight="1"/>
    <row r="7517" ht="12" customHeight="1"/>
    <row r="7518" ht="12" customHeight="1"/>
    <row r="7519" ht="12" customHeight="1"/>
    <row r="7520" ht="12" customHeight="1"/>
    <row r="7521" ht="12" customHeight="1"/>
    <row r="7522" ht="12" customHeight="1"/>
    <row r="7523" ht="12" customHeight="1"/>
    <row r="7524" ht="12" customHeight="1"/>
    <row r="7525" ht="12" customHeight="1"/>
    <row r="7526" ht="12" customHeight="1"/>
    <row r="7527" ht="12" customHeight="1"/>
    <row r="7528" ht="12" customHeight="1"/>
    <row r="7529" ht="12" customHeight="1"/>
    <row r="7530" ht="12" customHeight="1"/>
    <row r="7531" ht="12" customHeight="1"/>
    <row r="7532" ht="12" customHeight="1"/>
    <row r="7533" ht="12" customHeight="1"/>
    <row r="7534" ht="12" customHeight="1"/>
    <row r="7535" ht="12" customHeight="1"/>
    <row r="7536" ht="12" customHeight="1"/>
    <row r="7537" ht="12" customHeight="1"/>
    <row r="7538" ht="12" customHeight="1"/>
    <row r="7539" ht="12" customHeight="1"/>
    <row r="7540" ht="12" customHeight="1"/>
    <row r="7541" ht="12" customHeight="1"/>
    <row r="7542" ht="12" customHeight="1"/>
    <row r="7543" ht="12" customHeight="1"/>
    <row r="7544" ht="12" customHeight="1"/>
    <row r="7545" ht="12" customHeight="1"/>
    <row r="7546" ht="12" customHeight="1"/>
    <row r="7547" ht="12" customHeight="1"/>
    <row r="7548" ht="12" customHeight="1"/>
    <row r="7549" ht="12" customHeight="1"/>
    <row r="7550" ht="12" customHeight="1"/>
    <row r="7551" ht="12" customHeight="1"/>
    <row r="7552" ht="12" customHeight="1"/>
    <row r="7553" ht="12" customHeight="1"/>
    <row r="7554" ht="12" customHeight="1"/>
    <row r="7555" ht="12" customHeight="1"/>
    <row r="7556" ht="12" customHeight="1"/>
    <row r="7557" ht="12" customHeight="1"/>
    <row r="7558" ht="12" customHeight="1"/>
    <row r="7559" ht="12" customHeight="1"/>
    <row r="7560" ht="12" customHeight="1"/>
    <row r="7561" ht="12" customHeight="1"/>
    <row r="7562" ht="12" customHeight="1"/>
    <row r="7563" ht="12" customHeight="1"/>
    <row r="7564" ht="12" customHeight="1"/>
    <row r="7565" ht="12" customHeight="1"/>
    <row r="7566" ht="12" customHeight="1"/>
    <row r="7567" ht="12" customHeight="1"/>
    <row r="7568" ht="12" customHeight="1"/>
    <row r="7569" ht="12" customHeight="1"/>
    <row r="7570" ht="12" customHeight="1"/>
    <row r="7571" ht="12" customHeight="1"/>
    <row r="7572" ht="12" customHeight="1"/>
    <row r="7573" ht="12" customHeight="1"/>
    <row r="7574" ht="12" customHeight="1"/>
    <row r="7575" ht="12" customHeight="1"/>
    <row r="7576" ht="12" customHeight="1"/>
    <row r="7577" ht="12" customHeight="1"/>
    <row r="7578" ht="12" customHeight="1"/>
    <row r="7579" ht="12" customHeight="1"/>
    <row r="7580" ht="12" customHeight="1"/>
    <row r="7581" ht="12" customHeight="1"/>
    <row r="7582" ht="12" customHeight="1"/>
    <row r="7583" ht="12" customHeight="1"/>
    <row r="7584" ht="12" customHeight="1"/>
    <row r="7585" ht="12" customHeight="1"/>
    <row r="7586" ht="12" customHeight="1"/>
    <row r="7587" ht="12" customHeight="1"/>
    <row r="7588" ht="12" customHeight="1"/>
    <row r="7589" ht="12" customHeight="1"/>
    <row r="7590" ht="12" customHeight="1"/>
    <row r="7591" ht="12" customHeight="1"/>
    <row r="7592" ht="12" customHeight="1"/>
    <row r="7593" ht="12" customHeight="1"/>
    <row r="7594" ht="12" customHeight="1"/>
    <row r="7595" ht="12" customHeight="1"/>
    <row r="7596" ht="12" customHeight="1"/>
    <row r="7597" ht="12" customHeight="1"/>
    <row r="7598" ht="12" customHeight="1"/>
    <row r="7599" ht="12" customHeight="1"/>
    <row r="7600" ht="12" customHeight="1"/>
    <row r="7601" ht="12" customHeight="1"/>
    <row r="7602" ht="12" customHeight="1"/>
    <row r="7603" ht="12" customHeight="1"/>
    <row r="7604" ht="12" customHeight="1"/>
    <row r="7605" ht="12" customHeight="1"/>
    <row r="7606" ht="12" customHeight="1"/>
    <row r="7607" ht="12" customHeight="1"/>
    <row r="7608" ht="12" customHeight="1"/>
    <row r="7609" ht="12" customHeight="1"/>
    <row r="7610" ht="12" customHeight="1"/>
    <row r="7611" ht="12" customHeight="1"/>
    <row r="7612" ht="12" customHeight="1"/>
    <row r="7613" ht="12" customHeight="1"/>
    <row r="7614" ht="12" customHeight="1"/>
    <row r="7615" ht="12" customHeight="1"/>
    <row r="7616" ht="12" customHeight="1"/>
    <row r="7617" ht="12" customHeight="1"/>
    <row r="7618" ht="12" customHeight="1"/>
    <row r="7619" ht="12" customHeight="1"/>
    <row r="7620" ht="12" customHeight="1"/>
    <row r="7621" ht="12" customHeight="1"/>
    <row r="7622" ht="12" customHeight="1"/>
    <row r="7623" ht="12" customHeight="1"/>
    <row r="7624" ht="12" customHeight="1"/>
    <row r="7625" ht="12" customHeight="1"/>
    <row r="7626" ht="12" customHeight="1"/>
    <row r="7627" ht="12" customHeight="1"/>
    <row r="7628" ht="12" customHeight="1"/>
    <row r="7629" ht="12" customHeight="1"/>
    <row r="7630" ht="12" customHeight="1"/>
    <row r="7631" ht="12" customHeight="1"/>
    <row r="7632" ht="12" customHeight="1"/>
    <row r="7633" ht="12" customHeight="1"/>
    <row r="7634" ht="12" customHeight="1"/>
    <row r="7635" ht="12" customHeight="1"/>
    <row r="7636" ht="12" customHeight="1"/>
    <row r="7637" ht="12" customHeight="1"/>
    <row r="7638" ht="12" customHeight="1"/>
    <row r="7639" ht="12" customHeight="1"/>
    <row r="7640" ht="12" customHeight="1"/>
    <row r="7641" ht="12" customHeight="1"/>
    <row r="7642" ht="12" customHeight="1"/>
    <row r="7643" ht="12" customHeight="1"/>
    <row r="7644" ht="12" customHeight="1"/>
    <row r="7645" ht="12" customHeight="1"/>
    <row r="7646" ht="12" customHeight="1"/>
    <row r="7647" ht="12" customHeight="1"/>
    <row r="7648" ht="12" customHeight="1"/>
    <row r="7649" ht="12" customHeight="1"/>
    <row r="7650" ht="12" customHeight="1"/>
    <row r="7651" ht="12" customHeight="1"/>
    <row r="7652" ht="12" customHeight="1"/>
    <row r="7653" ht="12" customHeight="1"/>
    <row r="7654" ht="12" customHeight="1"/>
    <row r="7655" ht="12" customHeight="1"/>
    <row r="7656" ht="12" customHeight="1"/>
    <row r="7657" ht="12" customHeight="1"/>
    <row r="7658" ht="12" customHeight="1"/>
    <row r="7659" ht="12" customHeight="1"/>
    <row r="7660" ht="12" customHeight="1"/>
    <row r="7661" ht="12" customHeight="1"/>
    <row r="7662" ht="12" customHeight="1"/>
    <row r="7663" ht="12" customHeight="1"/>
    <row r="7664" ht="12" customHeight="1"/>
    <row r="7665" ht="12" customHeight="1"/>
    <row r="7666" ht="12" customHeight="1"/>
    <row r="7667" ht="12" customHeight="1"/>
    <row r="7668" ht="12" customHeight="1"/>
    <row r="7669" ht="12" customHeight="1"/>
    <row r="7670" ht="12" customHeight="1"/>
    <row r="7671" ht="12" customHeight="1"/>
    <row r="7672" ht="12" customHeight="1"/>
    <row r="7673" ht="12" customHeight="1"/>
    <row r="7674" ht="12" customHeight="1"/>
    <row r="7675" ht="12" customHeight="1"/>
    <row r="7676" ht="12" customHeight="1"/>
    <row r="7677" ht="12" customHeight="1"/>
    <row r="7678" ht="12" customHeight="1"/>
    <row r="7679" ht="12" customHeight="1"/>
    <row r="7680" ht="12" customHeight="1"/>
    <row r="7681" ht="12" customHeight="1"/>
    <row r="7682" ht="12" customHeight="1"/>
    <row r="7683" ht="12" customHeight="1"/>
    <row r="7684" ht="12" customHeight="1"/>
    <row r="7685" ht="12" customHeight="1"/>
    <row r="7686" ht="12" customHeight="1"/>
    <row r="7687" ht="12" customHeight="1"/>
    <row r="7688" ht="12" customHeight="1"/>
    <row r="7689" ht="12" customHeight="1"/>
    <row r="7690" ht="12" customHeight="1"/>
    <row r="7691" ht="12" customHeight="1"/>
    <row r="7692" ht="12" customHeight="1"/>
    <row r="7693" ht="12" customHeight="1"/>
    <row r="7694" ht="12" customHeight="1"/>
    <row r="7695" ht="12" customHeight="1"/>
    <row r="7696" ht="12" customHeight="1"/>
    <row r="7697" ht="12" customHeight="1"/>
    <row r="7698" ht="12" customHeight="1"/>
    <row r="7699" ht="12" customHeight="1"/>
    <row r="7700" ht="12" customHeight="1"/>
    <row r="7701" ht="12" customHeight="1"/>
    <row r="7702" ht="12" customHeight="1"/>
    <row r="7703" ht="12" customHeight="1"/>
    <row r="7704" ht="12" customHeight="1"/>
    <row r="7705" ht="12" customHeight="1"/>
    <row r="7706" ht="12" customHeight="1"/>
    <row r="7707" ht="12" customHeight="1"/>
    <row r="7708" ht="12" customHeight="1"/>
    <row r="7709" ht="12" customHeight="1"/>
    <row r="7710" ht="12" customHeight="1"/>
    <row r="7711" ht="12" customHeight="1"/>
    <row r="7712" ht="12" customHeight="1"/>
    <row r="7713" ht="12" customHeight="1"/>
    <row r="7714" ht="12" customHeight="1"/>
    <row r="7715" ht="12" customHeight="1"/>
    <row r="7716" ht="12" customHeight="1"/>
    <row r="7717" ht="12" customHeight="1"/>
    <row r="7718" ht="12" customHeight="1"/>
    <row r="7719" ht="12" customHeight="1"/>
    <row r="7720" ht="12" customHeight="1"/>
    <row r="7721" ht="12" customHeight="1"/>
    <row r="7722" ht="12" customHeight="1"/>
    <row r="7723" ht="12" customHeight="1"/>
    <row r="7724" ht="12" customHeight="1"/>
    <row r="7725" ht="12" customHeight="1"/>
    <row r="7726" ht="12" customHeight="1"/>
    <row r="7727" ht="12" customHeight="1"/>
    <row r="7728" ht="12" customHeight="1"/>
    <row r="7729" ht="12" customHeight="1"/>
    <row r="7730" ht="12" customHeight="1"/>
    <row r="7731" ht="12" customHeight="1"/>
    <row r="7732" ht="12" customHeight="1"/>
    <row r="7733" ht="12" customHeight="1"/>
    <row r="7734" ht="12" customHeight="1"/>
    <row r="7735" ht="12" customHeight="1"/>
    <row r="7736" ht="12" customHeight="1"/>
    <row r="7737" ht="12" customHeight="1"/>
    <row r="7738" ht="12" customHeight="1"/>
    <row r="7739" ht="12" customHeight="1"/>
    <row r="7740" ht="12" customHeight="1"/>
    <row r="7741" ht="12" customHeight="1"/>
    <row r="7742" ht="12" customHeight="1"/>
    <row r="7743" ht="12" customHeight="1"/>
    <row r="7744" ht="12" customHeight="1"/>
    <row r="7745" ht="12" customHeight="1"/>
    <row r="7746" ht="12" customHeight="1"/>
    <row r="7747" ht="12" customHeight="1"/>
    <row r="7748" ht="12" customHeight="1"/>
    <row r="7749" ht="12" customHeight="1"/>
    <row r="7750" ht="12" customHeight="1"/>
    <row r="7751" ht="12" customHeight="1"/>
    <row r="7752" ht="12" customHeight="1"/>
    <row r="7753" ht="12" customHeight="1"/>
    <row r="7754" ht="12" customHeight="1"/>
    <row r="7755" ht="12" customHeight="1"/>
    <row r="7756" ht="12" customHeight="1"/>
    <row r="7757" ht="12" customHeight="1"/>
    <row r="7758" ht="12" customHeight="1"/>
    <row r="7759" ht="12" customHeight="1"/>
    <row r="7760" ht="12" customHeight="1"/>
    <row r="7761" ht="12" customHeight="1"/>
    <row r="7762" ht="12" customHeight="1"/>
    <row r="7763" ht="12" customHeight="1"/>
    <row r="7764" ht="12" customHeight="1"/>
    <row r="7765" ht="12" customHeight="1"/>
    <row r="7766" ht="12" customHeight="1"/>
    <row r="7767" ht="12" customHeight="1"/>
    <row r="7768" ht="12" customHeight="1"/>
    <row r="7769" ht="12" customHeight="1"/>
    <row r="7770" ht="12" customHeight="1"/>
    <row r="7771" ht="12" customHeight="1"/>
    <row r="7772" ht="12" customHeight="1"/>
    <row r="7773" ht="12" customHeight="1"/>
    <row r="7774" ht="12" customHeight="1"/>
    <row r="7775" ht="12" customHeight="1"/>
    <row r="7776" ht="12" customHeight="1"/>
    <row r="7777" ht="12" customHeight="1"/>
    <row r="7778" ht="12" customHeight="1"/>
    <row r="7779" ht="12" customHeight="1"/>
    <row r="7780" ht="12" customHeight="1"/>
    <row r="7781" ht="12" customHeight="1"/>
    <row r="7782" ht="12" customHeight="1"/>
    <row r="7783" ht="12" customHeight="1"/>
    <row r="7784" ht="12" customHeight="1"/>
    <row r="7785" ht="12" customHeight="1"/>
    <row r="7786" ht="12" customHeight="1"/>
    <row r="7787" ht="12" customHeight="1"/>
    <row r="7788" ht="12" customHeight="1"/>
    <row r="7789" ht="12" customHeight="1"/>
    <row r="7790" ht="12" customHeight="1"/>
    <row r="7791" ht="12" customHeight="1"/>
    <row r="7792" ht="12" customHeight="1"/>
    <row r="7793" ht="12" customHeight="1"/>
    <row r="7794" ht="12" customHeight="1"/>
    <row r="7795" ht="12" customHeight="1"/>
    <row r="7796" ht="12" customHeight="1"/>
    <row r="7797" ht="12" customHeight="1"/>
    <row r="7798" ht="12" customHeight="1"/>
    <row r="7799" ht="12" customHeight="1"/>
    <row r="7800" ht="12" customHeight="1"/>
    <row r="7801" ht="12" customHeight="1"/>
    <row r="7802" ht="12" customHeight="1"/>
    <row r="7803" ht="12" customHeight="1"/>
    <row r="7804" ht="12" customHeight="1"/>
    <row r="7805" ht="12" customHeight="1"/>
    <row r="7806" ht="12" customHeight="1"/>
    <row r="7807" ht="12" customHeight="1"/>
    <row r="7808" ht="12" customHeight="1"/>
    <row r="7809" ht="12" customHeight="1"/>
    <row r="7810" ht="12" customHeight="1"/>
    <row r="7811" ht="12" customHeight="1"/>
    <row r="7812" ht="12" customHeight="1"/>
    <row r="7813" ht="12" customHeight="1"/>
    <row r="7814" ht="12" customHeight="1"/>
    <row r="7815" ht="12" customHeight="1"/>
    <row r="7816" ht="12" customHeight="1"/>
    <row r="7817" ht="12" customHeight="1"/>
    <row r="7818" ht="12" customHeight="1"/>
    <row r="7819" ht="12" customHeight="1"/>
    <row r="7820" ht="12" customHeight="1"/>
    <row r="7821" ht="12" customHeight="1"/>
    <row r="7822" ht="12" customHeight="1"/>
    <row r="7823" ht="12" customHeight="1"/>
    <row r="7824" ht="12" customHeight="1"/>
    <row r="7825" ht="12" customHeight="1"/>
    <row r="7826" ht="12" customHeight="1"/>
    <row r="7827" ht="12" customHeight="1"/>
    <row r="7828" ht="12" customHeight="1"/>
    <row r="7829" ht="12" customHeight="1"/>
    <row r="7830" ht="12" customHeight="1"/>
    <row r="7831" ht="12" customHeight="1"/>
    <row r="7832" ht="12" customHeight="1"/>
    <row r="7833" ht="12" customHeight="1"/>
    <row r="7834" ht="12" customHeight="1"/>
    <row r="7835" ht="12" customHeight="1"/>
    <row r="7836" ht="12" customHeight="1"/>
    <row r="7837" ht="12" customHeight="1"/>
    <row r="7838" ht="12" customHeight="1"/>
    <row r="7839" ht="12" customHeight="1"/>
    <row r="7840" ht="12" customHeight="1"/>
    <row r="7841" ht="12" customHeight="1"/>
    <row r="7842" ht="12" customHeight="1"/>
    <row r="7843" ht="12" customHeight="1"/>
    <row r="7844" ht="12" customHeight="1"/>
    <row r="7845" ht="12" customHeight="1"/>
    <row r="7846" ht="12" customHeight="1"/>
    <row r="7847" ht="12" customHeight="1"/>
    <row r="7848" ht="12" customHeight="1"/>
    <row r="7849" ht="12" customHeight="1"/>
    <row r="7850" ht="12" customHeight="1"/>
    <row r="7851" ht="12" customHeight="1"/>
    <row r="7852" ht="12" customHeight="1"/>
    <row r="7853" ht="12" customHeight="1"/>
    <row r="7854" ht="12" customHeight="1"/>
    <row r="7855" ht="12" customHeight="1"/>
    <row r="7856" ht="12" customHeight="1"/>
    <row r="7857" ht="12" customHeight="1"/>
    <row r="7858" ht="12" customHeight="1"/>
    <row r="7859" ht="12" customHeight="1"/>
    <row r="7860" ht="12" customHeight="1"/>
    <row r="7861" ht="12" customHeight="1"/>
    <row r="7862" ht="12" customHeight="1"/>
    <row r="7863" ht="12" customHeight="1"/>
    <row r="7864" ht="12" customHeight="1"/>
    <row r="7865" ht="12" customHeight="1"/>
    <row r="7866" ht="12" customHeight="1"/>
    <row r="7867" ht="12" customHeight="1"/>
    <row r="7868" ht="12" customHeight="1"/>
    <row r="7869" ht="12" customHeight="1"/>
    <row r="7870" ht="12" customHeight="1"/>
    <row r="7871" ht="12" customHeight="1"/>
    <row r="7872" ht="12" customHeight="1"/>
    <row r="7873" ht="12" customHeight="1"/>
    <row r="7874" ht="12" customHeight="1"/>
    <row r="7875" ht="12" customHeight="1"/>
    <row r="7876" ht="12" customHeight="1"/>
    <row r="7877" ht="12" customHeight="1"/>
    <row r="7878" ht="12" customHeight="1"/>
    <row r="7879" ht="12" customHeight="1"/>
    <row r="7880" ht="12" customHeight="1"/>
    <row r="7881" ht="12" customHeight="1"/>
    <row r="7882" ht="12" customHeight="1"/>
    <row r="7883" ht="12" customHeight="1"/>
    <row r="7884" ht="12" customHeight="1"/>
    <row r="7885" ht="12" customHeight="1"/>
    <row r="7886" ht="12" customHeight="1"/>
    <row r="7887" ht="12" customHeight="1"/>
    <row r="7888" ht="12" customHeight="1"/>
    <row r="7889" ht="12" customHeight="1"/>
    <row r="7890" ht="12" customHeight="1"/>
    <row r="7891" ht="12" customHeight="1"/>
    <row r="7892" ht="12" customHeight="1"/>
    <row r="7893" ht="12" customHeight="1"/>
    <row r="7894" ht="12" customHeight="1"/>
    <row r="7895" ht="12" customHeight="1"/>
    <row r="7896" ht="12" customHeight="1"/>
    <row r="7897" ht="12" customHeight="1"/>
    <row r="7898" ht="12" customHeight="1"/>
    <row r="7899" ht="12" customHeight="1"/>
    <row r="7900" ht="12" customHeight="1"/>
    <row r="7901" ht="12" customHeight="1"/>
    <row r="7902" ht="12" customHeight="1"/>
    <row r="7903" ht="12" customHeight="1"/>
    <row r="7904" ht="12" customHeight="1"/>
    <row r="7905" ht="12" customHeight="1"/>
    <row r="7906" ht="12" customHeight="1"/>
    <row r="7907" ht="12" customHeight="1"/>
    <row r="7908" ht="12" customHeight="1"/>
    <row r="7909" ht="12" customHeight="1"/>
    <row r="7910" ht="12" customHeight="1"/>
    <row r="7911" ht="12" customHeight="1"/>
    <row r="7912" ht="12" customHeight="1"/>
    <row r="7913" ht="12" customHeight="1"/>
    <row r="7914" ht="12" customHeight="1"/>
    <row r="7915" ht="12" customHeight="1"/>
    <row r="7916" ht="12" customHeight="1"/>
    <row r="7917" ht="12" customHeight="1"/>
    <row r="7918" ht="12" customHeight="1"/>
    <row r="7919" ht="12" customHeight="1"/>
    <row r="7920" ht="12" customHeight="1"/>
    <row r="7921" ht="12" customHeight="1"/>
    <row r="7922" ht="12" customHeight="1"/>
    <row r="7923" ht="12" customHeight="1"/>
    <row r="7924" ht="12" customHeight="1"/>
    <row r="7925" ht="12" customHeight="1"/>
    <row r="7926" ht="12" customHeight="1"/>
    <row r="7927" ht="12" customHeight="1"/>
    <row r="7928" ht="12" customHeight="1"/>
    <row r="7929" ht="12" customHeight="1"/>
    <row r="7930" ht="12" customHeight="1"/>
    <row r="7931" ht="12" customHeight="1"/>
    <row r="7932" ht="12" customHeight="1"/>
    <row r="7933" ht="12" customHeight="1"/>
    <row r="7934" ht="12" customHeight="1"/>
    <row r="7935" ht="12" customHeight="1"/>
    <row r="7936" ht="12" customHeight="1"/>
    <row r="7937" ht="12" customHeight="1"/>
    <row r="7938" ht="12" customHeight="1"/>
    <row r="7939" ht="12" customHeight="1"/>
    <row r="7940" ht="12" customHeight="1"/>
    <row r="7941" ht="12" customHeight="1"/>
    <row r="7942" ht="12" customHeight="1"/>
    <row r="7943" ht="12" customHeight="1"/>
    <row r="7944" ht="12" customHeight="1"/>
    <row r="7945" ht="12" customHeight="1"/>
    <row r="7946" ht="12" customHeight="1"/>
    <row r="7947" ht="12" customHeight="1"/>
    <row r="7948" ht="12" customHeight="1"/>
    <row r="7949" ht="12" customHeight="1"/>
    <row r="7950" ht="12" customHeight="1"/>
    <row r="7951" ht="12" customHeight="1"/>
    <row r="7952" ht="12" customHeight="1"/>
    <row r="7953" ht="12" customHeight="1"/>
    <row r="7954" ht="12" customHeight="1"/>
    <row r="7955" ht="12" customHeight="1"/>
    <row r="7956" ht="12" customHeight="1"/>
    <row r="7957" ht="12" customHeight="1"/>
    <row r="7958" ht="12" customHeight="1"/>
    <row r="7959" ht="12" customHeight="1"/>
    <row r="7960" ht="12" customHeight="1"/>
    <row r="7961" ht="12" customHeight="1"/>
    <row r="7962" ht="12" customHeight="1"/>
    <row r="7963" ht="12" customHeight="1"/>
    <row r="7964" ht="12" customHeight="1"/>
    <row r="7965" ht="12" customHeight="1"/>
    <row r="7966" ht="12" customHeight="1"/>
    <row r="7967" ht="12" customHeight="1"/>
    <row r="7968" ht="12" customHeight="1"/>
    <row r="7969" ht="12" customHeight="1"/>
    <row r="7970" ht="12" customHeight="1"/>
    <row r="7971" ht="12" customHeight="1"/>
    <row r="7972" ht="12" customHeight="1"/>
    <row r="7973" ht="12" customHeight="1"/>
    <row r="7974" ht="12" customHeight="1"/>
    <row r="7975" ht="12" customHeight="1"/>
    <row r="7976" ht="12" customHeight="1"/>
    <row r="7977" ht="12" customHeight="1"/>
    <row r="7978" ht="12" customHeight="1"/>
    <row r="7979" ht="12" customHeight="1"/>
    <row r="7980" ht="12" customHeight="1"/>
    <row r="7981" ht="12" customHeight="1"/>
    <row r="7982" ht="12" customHeight="1"/>
    <row r="7983" ht="12" customHeight="1"/>
    <row r="7984" ht="12" customHeight="1"/>
    <row r="7985" ht="12" customHeight="1"/>
    <row r="7986" ht="12" customHeight="1"/>
    <row r="7987" ht="12" customHeight="1"/>
    <row r="7988" ht="12" customHeight="1"/>
    <row r="7989" ht="12" customHeight="1"/>
    <row r="7990" ht="12" customHeight="1"/>
    <row r="7991" ht="12" customHeight="1"/>
    <row r="7992" ht="12" customHeight="1"/>
    <row r="7993" ht="12" customHeight="1"/>
    <row r="7994" ht="12" customHeight="1"/>
    <row r="7995" ht="12" customHeight="1"/>
    <row r="7996" ht="12" customHeight="1"/>
    <row r="7997" ht="12" customHeight="1"/>
    <row r="7998" ht="12" customHeight="1"/>
    <row r="7999" ht="12" customHeight="1"/>
    <row r="8000" ht="12" customHeight="1"/>
    <row r="8001" ht="12" customHeight="1"/>
    <row r="8002" ht="12" customHeight="1"/>
    <row r="8003" ht="12" customHeight="1"/>
    <row r="8004" ht="12" customHeight="1"/>
    <row r="8005" ht="12" customHeight="1"/>
    <row r="8006" ht="12" customHeight="1"/>
    <row r="8007" ht="12" customHeight="1"/>
    <row r="8008" ht="12" customHeight="1"/>
    <row r="8009" ht="12" customHeight="1"/>
    <row r="8010" ht="12" customHeight="1"/>
    <row r="8011" ht="12" customHeight="1"/>
    <row r="8012" ht="12" customHeight="1"/>
    <row r="8013" ht="12" customHeight="1"/>
    <row r="8014" ht="12" customHeight="1"/>
    <row r="8015" ht="12" customHeight="1"/>
    <row r="8016" ht="12" customHeight="1"/>
    <row r="8017" ht="12" customHeight="1"/>
    <row r="8018" ht="12" customHeight="1"/>
    <row r="8019" ht="12" customHeight="1"/>
    <row r="8020" ht="12" customHeight="1"/>
    <row r="8021" ht="12" customHeight="1"/>
    <row r="8022" ht="12" customHeight="1"/>
    <row r="8023" ht="12" customHeight="1"/>
    <row r="8024" ht="12" customHeight="1"/>
    <row r="8025" ht="12" customHeight="1"/>
    <row r="8026" ht="12" customHeight="1"/>
    <row r="8027" ht="12" customHeight="1"/>
    <row r="8028" ht="12" customHeight="1"/>
    <row r="8029" ht="12" customHeight="1"/>
    <row r="8030" ht="12" customHeight="1"/>
    <row r="8031" ht="12" customHeight="1"/>
    <row r="8032" ht="12" customHeight="1"/>
    <row r="8033" ht="12" customHeight="1"/>
    <row r="8034" ht="12" customHeight="1"/>
    <row r="8035" ht="12" customHeight="1"/>
    <row r="8036" ht="12" customHeight="1"/>
    <row r="8037" ht="12" customHeight="1"/>
    <row r="8038" ht="12" customHeight="1"/>
    <row r="8039" ht="12" customHeight="1"/>
    <row r="8040" ht="12" customHeight="1"/>
    <row r="8041" ht="12" customHeight="1"/>
    <row r="8042" ht="12" customHeight="1"/>
    <row r="8043" ht="12" customHeight="1"/>
    <row r="8044" ht="12" customHeight="1"/>
    <row r="8045" ht="12" customHeight="1"/>
    <row r="8046" ht="12" customHeight="1"/>
    <row r="8047" ht="12" customHeight="1"/>
    <row r="8048" ht="12" customHeight="1"/>
    <row r="8049" ht="12" customHeight="1"/>
    <row r="8050" ht="12" customHeight="1"/>
    <row r="8051" ht="12" customHeight="1"/>
    <row r="8052" ht="12" customHeight="1"/>
    <row r="8053" ht="12" customHeight="1"/>
    <row r="8054" ht="12" customHeight="1"/>
    <row r="8055" ht="12" customHeight="1"/>
    <row r="8056" ht="12" customHeight="1"/>
    <row r="8057" ht="12" customHeight="1"/>
    <row r="8058" ht="12" customHeight="1"/>
    <row r="8059" ht="12" customHeight="1"/>
    <row r="8060" ht="12" customHeight="1"/>
    <row r="8061" ht="12" customHeight="1"/>
    <row r="8062" ht="12" customHeight="1"/>
    <row r="8063" ht="12" customHeight="1"/>
    <row r="8064" ht="12" customHeight="1"/>
    <row r="8065" ht="12" customHeight="1"/>
    <row r="8066" ht="12" customHeight="1"/>
    <row r="8067" ht="12" customHeight="1"/>
    <row r="8068" ht="12" customHeight="1"/>
    <row r="8069" ht="12" customHeight="1"/>
    <row r="8070" ht="12" customHeight="1"/>
    <row r="8071" ht="12" customHeight="1"/>
    <row r="8072" ht="12" customHeight="1"/>
    <row r="8073" ht="12" customHeight="1"/>
    <row r="8074" ht="12" customHeight="1"/>
    <row r="8075" ht="12" customHeight="1"/>
    <row r="8076" ht="12" customHeight="1"/>
    <row r="8077" ht="12" customHeight="1"/>
    <row r="8078" ht="12" customHeight="1"/>
    <row r="8079" ht="12" customHeight="1"/>
    <row r="8080" ht="12" customHeight="1"/>
    <row r="8081" ht="12" customHeight="1"/>
    <row r="8082" ht="12" customHeight="1"/>
    <row r="8083" ht="12" customHeight="1"/>
    <row r="8084" ht="12" customHeight="1"/>
    <row r="8085" ht="12" customHeight="1"/>
    <row r="8086" ht="12" customHeight="1"/>
    <row r="8087" ht="12" customHeight="1"/>
    <row r="8088" ht="12" customHeight="1"/>
    <row r="8089" ht="12" customHeight="1"/>
    <row r="8090" ht="12" customHeight="1"/>
    <row r="8091" ht="12" customHeight="1"/>
    <row r="8092" ht="12" customHeight="1"/>
    <row r="8093" ht="12" customHeight="1"/>
    <row r="8094" ht="12" customHeight="1"/>
    <row r="8095" ht="12" customHeight="1"/>
    <row r="8096" ht="12" customHeight="1"/>
    <row r="8097" ht="12" customHeight="1"/>
    <row r="8098" ht="12" customHeight="1"/>
    <row r="8099" ht="12" customHeight="1"/>
    <row r="8100" ht="12" customHeight="1"/>
    <row r="8101" ht="12" customHeight="1"/>
    <row r="8102" ht="12" customHeight="1"/>
    <row r="8103" ht="12" customHeight="1"/>
    <row r="8104" ht="12" customHeight="1"/>
    <row r="8105" ht="12" customHeight="1"/>
    <row r="8106" ht="12" customHeight="1"/>
    <row r="8107" ht="12" customHeight="1"/>
    <row r="8108" ht="12" customHeight="1"/>
    <row r="8109" ht="12" customHeight="1"/>
    <row r="8110" ht="12" customHeight="1"/>
    <row r="8111" ht="12" customHeight="1"/>
    <row r="8112" ht="12" customHeight="1"/>
    <row r="8113" ht="12" customHeight="1"/>
    <row r="8114" ht="12" customHeight="1"/>
    <row r="8115" ht="12" customHeight="1"/>
    <row r="8116" ht="12" customHeight="1"/>
    <row r="8117" ht="12" customHeight="1"/>
    <row r="8118" ht="12" customHeight="1"/>
    <row r="8119" ht="12" customHeight="1"/>
    <row r="8120" ht="12" customHeight="1"/>
    <row r="8121" ht="12" customHeight="1"/>
    <row r="8122" ht="12" customHeight="1"/>
    <row r="8123" ht="12" customHeight="1"/>
    <row r="8124" ht="12" customHeight="1"/>
    <row r="8125" ht="12" customHeight="1"/>
    <row r="8126" ht="12" customHeight="1"/>
    <row r="8127" ht="12" customHeight="1"/>
    <row r="8128" ht="12" customHeight="1"/>
    <row r="8129" ht="12" customHeight="1"/>
    <row r="8130" ht="12" customHeight="1"/>
    <row r="8131" ht="12" customHeight="1"/>
    <row r="8132" ht="12" customHeight="1"/>
    <row r="8133" ht="12" customHeight="1"/>
    <row r="8134" ht="12" customHeight="1"/>
    <row r="8135" ht="12" customHeight="1"/>
    <row r="8136" ht="12" customHeight="1"/>
    <row r="8137" ht="12" customHeight="1"/>
    <row r="8138" ht="12" customHeight="1"/>
    <row r="8139" ht="12" customHeight="1"/>
    <row r="8140" ht="12" customHeight="1"/>
    <row r="8141" ht="12" customHeight="1"/>
    <row r="8142" ht="12" customHeight="1"/>
    <row r="8143" ht="12" customHeight="1"/>
    <row r="8144" ht="12" customHeight="1"/>
    <row r="8145" ht="12" customHeight="1"/>
    <row r="8146" ht="12" customHeight="1"/>
    <row r="8147" ht="12" customHeight="1"/>
    <row r="8148" ht="12" customHeight="1"/>
    <row r="8149" ht="12" customHeight="1"/>
    <row r="8150" ht="12" customHeight="1"/>
    <row r="8151" ht="12" customHeight="1"/>
    <row r="8152" ht="12" customHeight="1"/>
    <row r="8153" ht="12" customHeight="1"/>
    <row r="8154" ht="12" customHeight="1"/>
    <row r="8155" ht="12" customHeight="1"/>
    <row r="8156" ht="12" customHeight="1"/>
    <row r="8157" ht="12" customHeight="1"/>
    <row r="8158" ht="12" customHeight="1"/>
    <row r="8159" ht="12" customHeight="1"/>
    <row r="8160" ht="12" customHeight="1"/>
    <row r="8161" ht="12" customHeight="1"/>
    <row r="8162" ht="12" customHeight="1"/>
    <row r="8163" ht="12" customHeight="1"/>
    <row r="8164" ht="12" customHeight="1"/>
    <row r="8165" ht="12" customHeight="1"/>
    <row r="8166" ht="12" customHeight="1"/>
    <row r="8167" ht="12" customHeight="1"/>
    <row r="8168" ht="12" customHeight="1"/>
    <row r="8169" ht="12" customHeight="1"/>
    <row r="8170" ht="12" customHeight="1"/>
    <row r="8171" ht="12" customHeight="1"/>
    <row r="8172" ht="12" customHeight="1"/>
    <row r="8173" ht="12" customHeight="1"/>
    <row r="8174" ht="12" customHeight="1"/>
    <row r="8175" ht="12" customHeight="1"/>
    <row r="8176" ht="12" customHeight="1"/>
    <row r="8177" ht="12" customHeight="1"/>
    <row r="8178" ht="12" customHeight="1"/>
    <row r="8179" ht="12" customHeight="1"/>
    <row r="8180" ht="12" customHeight="1"/>
    <row r="8181" ht="12" customHeight="1"/>
    <row r="8182" ht="12" customHeight="1"/>
    <row r="8183" ht="12" customHeight="1"/>
    <row r="8184" ht="12" customHeight="1"/>
    <row r="8185" ht="12" customHeight="1"/>
    <row r="8186" ht="12" customHeight="1"/>
    <row r="8187" ht="12" customHeight="1"/>
    <row r="8188" ht="12" customHeight="1"/>
    <row r="8189" ht="12" customHeight="1"/>
    <row r="8190" ht="12" customHeight="1"/>
    <row r="8191" ht="12" customHeight="1"/>
    <row r="8192" ht="12" customHeight="1"/>
    <row r="8193" ht="12" customHeight="1"/>
    <row r="8194" ht="12" customHeight="1"/>
    <row r="8195" ht="12" customHeight="1"/>
    <row r="8196" ht="12" customHeight="1"/>
    <row r="8197" ht="12" customHeight="1"/>
    <row r="8198" ht="12" customHeight="1"/>
    <row r="8199" ht="12" customHeight="1"/>
    <row r="8200" ht="12" customHeight="1"/>
    <row r="8201" ht="12" customHeight="1"/>
    <row r="8202" ht="12" customHeight="1"/>
    <row r="8203" ht="12" customHeight="1"/>
    <row r="8204" ht="12" customHeight="1"/>
    <row r="8205" ht="12" customHeight="1"/>
    <row r="8206" ht="12" customHeight="1"/>
    <row r="8207" ht="12" customHeight="1"/>
    <row r="8208" ht="12" customHeight="1"/>
    <row r="8209" ht="12" customHeight="1"/>
    <row r="8210" ht="12" customHeight="1"/>
    <row r="8211" ht="12" customHeight="1"/>
    <row r="8212" ht="12" customHeight="1"/>
    <row r="8213" ht="12" customHeight="1"/>
    <row r="8214" ht="12" customHeight="1"/>
    <row r="8215" ht="12" customHeight="1"/>
    <row r="8216" ht="12" customHeight="1"/>
    <row r="8217" ht="12" customHeight="1"/>
    <row r="8218" ht="12" customHeight="1"/>
    <row r="8219" ht="12" customHeight="1"/>
    <row r="8220" ht="12" customHeight="1"/>
    <row r="8221" ht="12" customHeight="1"/>
    <row r="8222" ht="12" customHeight="1"/>
    <row r="8223" ht="12" customHeight="1"/>
    <row r="8224" ht="12" customHeight="1"/>
    <row r="8225" ht="12" customHeight="1"/>
    <row r="8226" ht="12" customHeight="1"/>
    <row r="8227" ht="12" customHeight="1"/>
    <row r="8228" ht="12" customHeight="1"/>
    <row r="8229" ht="12" customHeight="1"/>
    <row r="8230" ht="12" customHeight="1"/>
    <row r="8231" ht="12" customHeight="1"/>
    <row r="8232" ht="12" customHeight="1"/>
    <row r="8233" ht="12" customHeight="1"/>
    <row r="8234" ht="12" customHeight="1"/>
    <row r="8235" ht="12" customHeight="1"/>
    <row r="8236" ht="12" customHeight="1"/>
    <row r="8237" ht="12" customHeight="1"/>
    <row r="8238" ht="12" customHeight="1"/>
    <row r="8239" ht="12" customHeight="1"/>
    <row r="8240" ht="12" customHeight="1"/>
    <row r="8241" ht="12" customHeight="1"/>
    <row r="8242" ht="12" customHeight="1"/>
    <row r="8243" ht="12" customHeight="1"/>
    <row r="8244" ht="12" customHeight="1"/>
    <row r="8245" ht="12" customHeight="1"/>
    <row r="8246" ht="12" customHeight="1"/>
    <row r="8247" ht="12" customHeight="1"/>
    <row r="8248" ht="12" customHeight="1"/>
    <row r="8249" ht="12" customHeight="1"/>
    <row r="8250" ht="12" customHeight="1"/>
    <row r="8251" ht="12" customHeight="1"/>
    <row r="8252" ht="12" customHeight="1"/>
    <row r="8253" ht="12" customHeight="1"/>
    <row r="8254" ht="12" customHeight="1"/>
    <row r="8255" ht="12" customHeight="1"/>
    <row r="8256" ht="12" customHeight="1"/>
    <row r="8257" ht="12" customHeight="1"/>
    <row r="8258" ht="12" customHeight="1"/>
    <row r="8259" ht="12" customHeight="1"/>
    <row r="8260" ht="12" customHeight="1"/>
    <row r="8261" ht="12" customHeight="1"/>
    <row r="8262" ht="12" customHeight="1"/>
    <row r="8263" ht="12" customHeight="1"/>
    <row r="8264" ht="12" customHeight="1"/>
    <row r="8265" ht="12" customHeight="1"/>
    <row r="8266" ht="12" customHeight="1"/>
    <row r="8267" ht="12" customHeight="1"/>
    <row r="8268" ht="12" customHeight="1"/>
    <row r="8269" ht="12" customHeight="1"/>
    <row r="8270" ht="12" customHeight="1"/>
    <row r="8271" ht="12" customHeight="1"/>
    <row r="8272" ht="12" customHeight="1"/>
    <row r="8273" ht="12" customHeight="1"/>
    <row r="8274" ht="12" customHeight="1"/>
    <row r="8275" ht="12" customHeight="1"/>
    <row r="8276" ht="12" customHeight="1"/>
    <row r="8277" ht="12" customHeight="1"/>
    <row r="8278" ht="12" customHeight="1"/>
    <row r="8279" ht="12" customHeight="1"/>
    <row r="8280" ht="12" customHeight="1"/>
    <row r="8281" ht="12" customHeight="1"/>
    <row r="8282" ht="12" customHeight="1"/>
    <row r="8283" ht="12" customHeight="1"/>
    <row r="8284" ht="12" customHeight="1"/>
    <row r="8285" ht="12" customHeight="1"/>
    <row r="8286" ht="12" customHeight="1"/>
    <row r="8287" ht="12" customHeight="1"/>
    <row r="8288" ht="12" customHeight="1"/>
    <row r="8289" ht="12" customHeight="1"/>
    <row r="8290" ht="12" customHeight="1"/>
    <row r="8291" ht="12" customHeight="1"/>
    <row r="8292" ht="12" customHeight="1"/>
    <row r="8293" ht="12" customHeight="1"/>
    <row r="8294" ht="12" customHeight="1"/>
    <row r="8295" ht="12" customHeight="1"/>
    <row r="8296" ht="12" customHeight="1"/>
    <row r="8297" ht="12" customHeight="1"/>
    <row r="8298" ht="12" customHeight="1"/>
    <row r="8299" ht="12" customHeight="1"/>
    <row r="8300" ht="12" customHeight="1"/>
    <row r="8301" ht="12" customHeight="1"/>
    <row r="8302" ht="12" customHeight="1"/>
    <row r="8303" ht="12" customHeight="1"/>
    <row r="8304" ht="12" customHeight="1"/>
    <row r="8305" ht="12" customHeight="1"/>
    <row r="8306" ht="12" customHeight="1"/>
    <row r="8307" ht="12" customHeight="1"/>
    <row r="8308" ht="12" customHeight="1"/>
    <row r="8309" ht="12" customHeight="1"/>
    <row r="8310" ht="12" customHeight="1"/>
    <row r="8311" ht="12" customHeight="1"/>
    <row r="8312" ht="12" customHeight="1"/>
    <row r="8313" ht="12" customHeight="1"/>
    <row r="8314" ht="12" customHeight="1"/>
    <row r="8315" ht="12" customHeight="1"/>
    <row r="8316" ht="12" customHeight="1"/>
    <row r="8317" ht="12" customHeight="1"/>
    <row r="8318" ht="12" customHeight="1"/>
    <row r="8319" ht="12" customHeight="1"/>
    <row r="8320" ht="12" customHeight="1"/>
    <row r="8321" ht="12" customHeight="1"/>
    <row r="8322" ht="12" customHeight="1"/>
    <row r="8323" ht="12" customHeight="1"/>
    <row r="8324" ht="12" customHeight="1"/>
    <row r="8325" ht="12" customHeight="1"/>
    <row r="8326" ht="12" customHeight="1"/>
    <row r="8327" ht="12" customHeight="1"/>
    <row r="8328" ht="12" customHeight="1"/>
    <row r="8329" ht="12" customHeight="1"/>
    <row r="8330" ht="12" customHeight="1"/>
    <row r="8331" ht="12" customHeight="1"/>
    <row r="8332" ht="12" customHeight="1"/>
    <row r="8333" ht="12" customHeight="1"/>
    <row r="8334" ht="12" customHeight="1"/>
    <row r="8335" ht="12" customHeight="1"/>
    <row r="8336" ht="12" customHeight="1"/>
    <row r="8337" ht="12" customHeight="1"/>
    <row r="8338" ht="12" customHeight="1"/>
    <row r="8339" ht="12" customHeight="1"/>
    <row r="8340" ht="12" customHeight="1"/>
    <row r="8341" ht="12" customHeight="1"/>
    <row r="8342" ht="12" customHeight="1"/>
    <row r="8343" ht="12" customHeight="1"/>
    <row r="8344" ht="12" customHeight="1"/>
    <row r="8345" ht="12" customHeight="1"/>
    <row r="8346" ht="12" customHeight="1"/>
    <row r="8347" ht="12" customHeight="1"/>
    <row r="8348" ht="12" customHeight="1"/>
    <row r="8349" ht="12" customHeight="1"/>
    <row r="8350" ht="12" customHeight="1"/>
    <row r="8351" ht="12" customHeight="1"/>
    <row r="8352" ht="12" customHeight="1"/>
    <row r="8353" ht="12" customHeight="1"/>
    <row r="8354" ht="12" customHeight="1"/>
    <row r="8355" ht="12" customHeight="1"/>
    <row r="8356" ht="12" customHeight="1"/>
    <row r="8357" ht="12" customHeight="1"/>
    <row r="8358" ht="12" customHeight="1"/>
    <row r="8359" ht="12" customHeight="1"/>
    <row r="8360" ht="12" customHeight="1"/>
    <row r="8361" ht="12" customHeight="1"/>
    <row r="8362" ht="12" customHeight="1"/>
    <row r="8363" ht="12" customHeight="1"/>
    <row r="8364" ht="12" customHeight="1"/>
    <row r="8365" ht="12" customHeight="1"/>
    <row r="8366" ht="12" customHeight="1"/>
    <row r="8367" ht="12" customHeight="1"/>
    <row r="8368" ht="12" customHeight="1"/>
    <row r="8369" ht="12" customHeight="1"/>
    <row r="8370" ht="12" customHeight="1"/>
    <row r="8371" ht="12" customHeight="1"/>
    <row r="8372" ht="12" customHeight="1"/>
    <row r="8373" ht="12" customHeight="1"/>
    <row r="8374" ht="12" customHeight="1"/>
    <row r="8375" ht="12" customHeight="1"/>
    <row r="8376" ht="12" customHeight="1"/>
    <row r="8377" ht="12" customHeight="1"/>
    <row r="8378" ht="12" customHeight="1"/>
    <row r="8379" ht="12" customHeight="1"/>
    <row r="8380" ht="12" customHeight="1"/>
    <row r="8381" ht="12" customHeight="1"/>
    <row r="8382" ht="12" customHeight="1"/>
    <row r="8383" ht="12" customHeight="1"/>
    <row r="8384" ht="12" customHeight="1"/>
    <row r="8385" ht="12" customHeight="1"/>
    <row r="8386" ht="12" customHeight="1"/>
    <row r="8387" ht="12" customHeight="1"/>
    <row r="8388" ht="12" customHeight="1"/>
    <row r="8389" ht="12" customHeight="1"/>
    <row r="8390" ht="12" customHeight="1"/>
    <row r="8391" ht="12" customHeight="1"/>
    <row r="8392" ht="12" customHeight="1"/>
    <row r="8393" ht="12" customHeight="1"/>
    <row r="8394" ht="12" customHeight="1"/>
    <row r="8395" ht="12" customHeight="1"/>
    <row r="8396" ht="12" customHeight="1"/>
    <row r="8397" ht="12" customHeight="1"/>
    <row r="8398" ht="12" customHeight="1"/>
    <row r="8399" ht="12" customHeight="1"/>
    <row r="8400" ht="12" customHeight="1"/>
    <row r="8401" ht="12" customHeight="1"/>
    <row r="8402" ht="12" customHeight="1"/>
    <row r="8403" ht="12" customHeight="1"/>
    <row r="8404" ht="12" customHeight="1"/>
    <row r="8405" ht="12" customHeight="1"/>
    <row r="8406" ht="12" customHeight="1"/>
    <row r="8407" ht="12" customHeight="1"/>
    <row r="8408" ht="12" customHeight="1"/>
    <row r="8409" ht="12" customHeight="1"/>
    <row r="8410" ht="12" customHeight="1"/>
    <row r="8411" ht="12" customHeight="1"/>
    <row r="8412" ht="12" customHeight="1"/>
    <row r="8413" ht="12" customHeight="1"/>
    <row r="8414" ht="12" customHeight="1"/>
    <row r="8415" ht="12" customHeight="1"/>
    <row r="8416" ht="12" customHeight="1"/>
    <row r="8417" ht="12" customHeight="1"/>
    <row r="8418" ht="12" customHeight="1"/>
    <row r="8419" ht="12" customHeight="1"/>
    <row r="8420" ht="12" customHeight="1"/>
    <row r="8421" ht="12" customHeight="1"/>
    <row r="8422" ht="12" customHeight="1"/>
    <row r="8423" ht="12" customHeight="1"/>
    <row r="8424" ht="12" customHeight="1"/>
    <row r="8425" ht="12" customHeight="1"/>
    <row r="8426" ht="12" customHeight="1"/>
    <row r="8427" ht="12" customHeight="1"/>
    <row r="8428" ht="12" customHeight="1"/>
    <row r="8429" ht="12" customHeight="1"/>
    <row r="8430" ht="12" customHeight="1"/>
    <row r="8431" ht="12" customHeight="1"/>
    <row r="8432" ht="12" customHeight="1"/>
    <row r="8433" ht="12" customHeight="1"/>
    <row r="8434" ht="12" customHeight="1"/>
    <row r="8435" ht="12" customHeight="1"/>
    <row r="8436" ht="12" customHeight="1"/>
    <row r="8437" ht="12" customHeight="1"/>
    <row r="8438" ht="12" customHeight="1"/>
    <row r="8439" ht="12" customHeight="1"/>
    <row r="8440" ht="12" customHeight="1"/>
    <row r="8441" ht="12" customHeight="1"/>
    <row r="8442" ht="12" customHeight="1"/>
    <row r="8443" ht="12" customHeight="1"/>
    <row r="8444" ht="12" customHeight="1"/>
    <row r="8445" ht="12" customHeight="1"/>
    <row r="8446" ht="12" customHeight="1"/>
    <row r="8447" ht="12" customHeight="1"/>
    <row r="8448" ht="12" customHeight="1"/>
    <row r="8449" ht="12" customHeight="1"/>
    <row r="8450" ht="12" customHeight="1"/>
    <row r="8451" ht="12" customHeight="1"/>
    <row r="8452" ht="12" customHeight="1"/>
    <row r="8453" ht="12" customHeight="1"/>
    <row r="8454" ht="12" customHeight="1"/>
    <row r="8455" ht="12" customHeight="1"/>
    <row r="8456" ht="12" customHeight="1"/>
    <row r="8457" ht="12" customHeight="1"/>
    <row r="8458" ht="12" customHeight="1"/>
    <row r="8459" ht="12" customHeight="1"/>
    <row r="8460" ht="12" customHeight="1"/>
    <row r="8461" ht="12" customHeight="1"/>
    <row r="8462" ht="12" customHeight="1"/>
    <row r="8463" ht="12" customHeight="1"/>
    <row r="8464" ht="12" customHeight="1"/>
    <row r="8465" ht="12" customHeight="1"/>
    <row r="8466" ht="12" customHeight="1"/>
    <row r="8467" ht="12" customHeight="1"/>
    <row r="8468" ht="12" customHeight="1"/>
    <row r="8469" ht="12" customHeight="1"/>
    <row r="8470" ht="12" customHeight="1"/>
    <row r="8471" ht="12" customHeight="1"/>
    <row r="8472" ht="12" customHeight="1"/>
    <row r="8473" ht="12" customHeight="1"/>
    <row r="8474" ht="12" customHeight="1"/>
    <row r="8475" ht="12" customHeight="1"/>
    <row r="8476" ht="12" customHeight="1"/>
    <row r="8477" ht="12" customHeight="1"/>
    <row r="8478" ht="12" customHeight="1"/>
    <row r="8479" ht="12" customHeight="1"/>
    <row r="8480" ht="12" customHeight="1"/>
    <row r="8481" ht="12" customHeight="1"/>
    <row r="8482" ht="12" customHeight="1"/>
    <row r="8483" ht="12" customHeight="1"/>
    <row r="8484" ht="12" customHeight="1"/>
    <row r="8485" ht="12" customHeight="1"/>
    <row r="8486" ht="12" customHeight="1"/>
    <row r="8487" ht="12" customHeight="1"/>
    <row r="8488" ht="12" customHeight="1"/>
    <row r="8489" ht="12" customHeight="1"/>
    <row r="8490" ht="12" customHeight="1"/>
    <row r="8491" ht="12" customHeight="1"/>
    <row r="8492" ht="12" customHeight="1"/>
    <row r="8493" ht="12" customHeight="1"/>
    <row r="8494" ht="12" customHeight="1"/>
    <row r="8495" ht="12" customHeight="1"/>
    <row r="8496" ht="12" customHeight="1"/>
    <row r="8497" ht="12" customHeight="1"/>
    <row r="8498" ht="12" customHeight="1"/>
    <row r="8499" ht="12" customHeight="1"/>
    <row r="8500" ht="12" customHeight="1"/>
    <row r="8501" ht="12" customHeight="1"/>
    <row r="8502" ht="12" customHeight="1"/>
    <row r="8503" ht="12" customHeight="1"/>
    <row r="8504" ht="12" customHeight="1"/>
    <row r="8505" ht="12" customHeight="1"/>
    <row r="8506" ht="12" customHeight="1"/>
    <row r="8507" ht="12" customHeight="1"/>
    <row r="8508" ht="12" customHeight="1"/>
    <row r="8509" ht="12" customHeight="1"/>
    <row r="8510" ht="12" customHeight="1"/>
    <row r="8511" ht="12" customHeight="1"/>
    <row r="8512" ht="12" customHeight="1"/>
    <row r="8513" ht="12" customHeight="1"/>
    <row r="8514" ht="12" customHeight="1"/>
    <row r="8515" ht="12" customHeight="1"/>
    <row r="8516" ht="12" customHeight="1"/>
    <row r="8517" ht="12" customHeight="1"/>
    <row r="8518" ht="12" customHeight="1"/>
    <row r="8519" ht="12" customHeight="1"/>
    <row r="8520" ht="12" customHeight="1"/>
    <row r="8521" ht="12" customHeight="1"/>
    <row r="8522" ht="12" customHeight="1"/>
    <row r="8523" ht="12" customHeight="1"/>
    <row r="8524" ht="12" customHeight="1"/>
    <row r="8525" ht="12" customHeight="1"/>
    <row r="8526" ht="12" customHeight="1"/>
    <row r="8527" ht="12" customHeight="1"/>
    <row r="8528" ht="12" customHeight="1"/>
    <row r="8529" ht="12" customHeight="1"/>
    <row r="8530" ht="12" customHeight="1"/>
    <row r="8531" ht="12" customHeight="1"/>
    <row r="8532" ht="12" customHeight="1"/>
    <row r="8533" ht="12" customHeight="1"/>
    <row r="8534" ht="12" customHeight="1"/>
    <row r="8535" ht="12" customHeight="1"/>
    <row r="8536" ht="12" customHeight="1"/>
    <row r="8537" ht="12" customHeight="1"/>
    <row r="8538" ht="12" customHeight="1"/>
    <row r="8539" ht="12" customHeight="1"/>
    <row r="8540" ht="12" customHeight="1"/>
    <row r="8541" ht="12" customHeight="1"/>
    <row r="8542" ht="12" customHeight="1"/>
    <row r="8543" ht="12" customHeight="1"/>
    <row r="8544" ht="12" customHeight="1"/>
    <row r="8545" ht="12" customHeight="1"/>
    <row r="8546" ht="12" customHeight="1"/>
    <row r="8547" ht="12" customHeight="1"/>
    <row r="8548" ht="12" customHeight="1"/>
    <row r="8549" ht="12" customHeight="1"/>
    <row r="8550" ht="12" customHeight="1"/>
    <row r="8551" ht="12" customHeight="1"/>
    <row r="8552" ht="12" customHeight="1"/>
    <row r="8553" ht="12" customHeight="1"/>
    <row r="8554" ht="12" customHeight="1"/>
    <row r="8555" ht="12" customHeight="1"/>
    <row r="8556" ht="12" customHeight="1"/>
    <row r="8557" ht="12" customHeight="1"/>
    <row r="8558" ht="12" customHeight="1"/>
    <row r="8559" ht="12" customHeight="1"/>
    <row r="8560" ht="12" customHeight="1"/>
    <row r="8561" ht="12" customHeight="1"/>
    <row r="8562" ht="12" customHeight="1"/>
    <row r="8563" ht="12" customHeight="1"/>
    <row r="8564" ht="12" customHeight="1"/>
    <row r="8565" ht="12" customHeight="1"/>
    <row r="8566" ht="12" customHeight="1"/>
    <row r="8567" ht="12" customHeight="1"/>
    <row r="8568" ht="12" customHeight="1"/>
    <row r="8569" ht="12" customHeight="1"/>
    <row r="8570" ht="12" customHeight="1"/>
    <row r="8571" ht="12" customHeight="1"/>
    <row r="8572" ht="12" customHeight="1"/>
    <row r="8573" ht="12" customHeight="1"/>
    <row r="8574" ht="12" customHeight="1"/>
    <row r="8575" ht="12" customHeight="1"/>
    <row r="8576" ht="12" customHeight="1"/>
    <row r="8577" ht="12" customHeight="1"/>
    <row r="8578" ht="12" customHeight="1"/>
    <row r="8579" ht="12" customHeight="1"/>
    <row r="8580" ht="12" customHeight="1"/>
    <row r="8581" ht="12" customHeight="1"/>
    <row r="8582" ht="12" customHeight="1"/>
    <row r="8583" ht="12" customHeight="1"/>
    <row r="8584" ht="12" customHeight="1"/>
    <row r="8585" ht="12" customHeight="1"/>
    <row r="8586" ht="12" customHeight="1"/>
    <row r="8587" ht="12" customHeight="1"/>
    <row r="8588" ht="12" customHeight="1"/>
    <row r="8589" ht="12" customHeight="1"/>
    <row r="8590" ht="12" customHeight="1"/>
    <row r="8591" ht="12" customHeight="1"/>
    <row r="8592" ht="12" customHeight="1"/>
    <row r="8593" ht="12" customHeight="1"/>
    <row r="8594" ht="12" customHeight="1"/>
    <row r="8595" ht="12" customHeight="1"/>
    <row r="8596" ht="12" customHeight="1"/>
    <row r="8597" ht="12" customHeight="1"/>
    <row r="8598" ht="12" customHeight="1"/>
    <row r="8599" ht="12" customHeight="1"/>
    <row r="8600" ht="12" customHeight="1"/>
    <row r="8601" ht="12" customHeight="1"/>
    <row r="8602" ht="12" customHeight="1"/>
    <row r="8603" ht="12" customHeight="1"/>
    <row r="8604" ht="12" customHeight="1"/>
    <row r="8605" ht="12" customHeight="1"/>
    <row r="8606" ht="12" customHeight="1"/>
    <row r="8607" ht="12" customHeight="1"/>
    <row r="8608" ht="12" customHeight="1"/>
    <row r="8609" ht="12" customHeight="1"/>
    <row r="8610" ht="12" customHeight="1"/>
    <row r="8611" ht="12" customHeight="1"/>
    <row r="8612" ht="12" customHeight="1"/>
    <row r="8613" ht="12" customHeight="1"/>
    <row r="8614" ht="12" customHeight="1"/>
    <row r="8615" ht="12" customHeight="1"/>
    <row r="8616" ht="12" customHeight="1"/>
    <row r="8617" ht="12" customHeight="1"/>
    <row r="8618" ht="12" customHeight="1"/>
    <row r="8619" ht="12" customHeight="1"/>
    <row r="8620" ht="12" customHeight="1"/>
    <row r="8621" ht="12" customHeight="1"/>
    <row r="8622" ht="12" customHeight="1"/>
    <row r="8623" ht="12" customHeight="1"/>
    <row r="8624" ht="12" customHeight="1"/>
    <row r="8625" ht="12" customHeight="1"/>
    <row r="8626" ht="12" customHeight="1"/>
    <row r="8627" ht="12" customHeight="1"/>
    <row r="8628" ht="12" customHeight="1"/>
    <row r="8629" ht="12" customHeight="1"/>
    <row r="8630" ht="12" customHeight="1"/>
    <row r="8631" ht="12" customHeight="1"/>
    <row r="8632" ht="12" customHeight="1"/>
    <row r="8633" ht="12" customHeight="1"/>
    <row r="8634" ht="12" customHeight="1"/>
    <row r="8635" ht="12" customHeight="1"/>
    <row r="8636" ht="12" customHeight="1"/>
    <row r="8637" ht="12" customHeight="1"/>
    <row r="8638" ht="12" customHeight="1"/>
    <row r="8639" ht="12" customHeight="1"/>
    <row r="8640" ht="12" customHeight="1"/>
    <row r="8641" ht="12" customHeight="1"/>
    <row r="8642" ht="12" customHeight="1"/>
    <row r="8643" ht="12" customHeight="1"/>
    <row r="8644" ht="12" customHeight="1"/>
    <row r="8645" ht="12" customHeight="1"/>
    <row r="8646" ht="12" customHeight="1"/>
    <row r="8647" ht="12" customHeight="1"/>
    <row r="8648" ht="12" customHeight="1"/>
    <row r="8649" ht="12" customHeight="1"/>
    <row r="8650" ht="12" customHeight="1"/>
    <row r="8651" ht="12" customHeight="1"/>
    <row r="8652" ht="12" customHeight="1"/>
    <row r="8653" ht="12" customHeight="1"/>
    <row r="8654" ht="12" customHeight="1"/>
    <row r="8655" ht="12" customHeight="1"/>
    <row r="8656" ht="12" customHeight="1"/>
    <row r="8657" ht="12" customHeight="1"/>
    <row r="8658" ht="12" customHeight="1"/>
    <row r="8659" ht="12" customHeight="1"/>
    <row r="8660" ht="12" customHeight="1"/>
    <row r="8661" ht="12" customHeight="1"/>
    <row r="8662" ht="12" customHeight="1"/>
    <row r="8663" ht="12" customHeight="1"/>
    <row r="8664" ht="12" customHeight="1"/>
    <row r="8665" ht="12" customHeight="1"/>
    <row r="8666" ht="12" customHeight="1"/>
    <row r="8667" ht="12" customHeight="1"/>
    <row r="8668" ht="12" customHeight="1"/>
    <row r="8669" ht="12" customHeight="1"/>
    <row r="8670" ht="12" customHeight="1"/>
    <row r="8671" ht="12" customHeight="1"/>
    <row r="8672" ht="12" customHeight="1"/>
    <row r="8673" ht="12" customHeight="1"/>
    <row r="8674" ht="12" customHeight="1"/>
    <row r="8675" ht="12" customHeight="1"/>
    <row r="8676" ht="12" customHeight="1"/>
    <row r="8677" ht="12" customHeight="1"/>
    <row r="8678" ht="12" customHeight="1"/>
    <row r="8679" ht="12" customHeight="1"/>
    <row r="8680" ht="12" customHeight="1"/>
    <row r="8681" ht="12" customHeight="1"/>
    <row r="8682" ht="12" customHeight="1"/>
    <row r="8683" ht="12" customHeight="1"/>
    <row r="8684" ht="12" customHeight="1"/>
    <row r="8685" ht="12" customHeight="1"/>
    <row r="8686" ht="12" customHeight="1"/>
    <row r="8687" ht="12" customHeight="1"/>
    <row r="8688" ht="12" customHeight="1"/>
    <row r="8689" ht="12" customHeight="1"/>
    <row r="8690" ht="12" customHeight="1"/>
    <row r="8691" ht="12" customHeight="1"/>
    <row r="8692" ht="12" customHeight="1"/>
    <row r="8693" ht="12" customHeight="1"/>
    <row r="8694" ht="12" customHeight="1"/>
    <row r="8695" ht="12" customHeight="1"/>
    <row r="8696" ht="12" customHeight="1"/>
    <row r="8697" ht="12" customHeight="1"/>
    <row r="8698" ht="12" customHeight="1"/>
    <row r="8699" ht="12" customHeight="1"/>
    <row r="8700" ht="12" customHeight="1"/>
    <row r="8701" ht="12" customHeight="1"/>
    <row r="8702" ht="12" customHeight="1"/>
    <row r="8703" ht="12" customHeight="1"/>
    <row r="8704" ht="12" customHeight="1"/>
    <row r="8705" ht="12" customHeight="1"/>
    <row r="8706" ht="12" customHeight="1"/>
    <row r="8707" ht="12" customHeight="1"/>
    <row r="8708" ht="12" customHeight="1"/>
    <row r="8709" ht="12" customHeight="1"/>
    <row r="8710" ht="12" customHeight="1"/>
    <row r="8711" ht="12" customHeight="1"/>
    <row r="8712" ht="12" customHeight="1"/>
    <row r="8713" ht="12" customHeight="1"/>
    <row r="8714" ht="12" customHeight="1"/>
    <row r="8715" ht="12" customHeight="1"/>
    <row r="8716" ht="12" customHeight="1"/>
    <row r="8717" ht="12" customHeight="1"/>
    <row r="8718" ht="12" customHeight="1"/>
    <row r="8719" ht="12" customHeight="1"/>
    <row r="8720" ht="12" customHeight="1"/>
    <row r="8721" ht="12" customHeight="1"/>
    <row r="8722" ht="12" customHeight="1"/>
    <row r="8723" ht="12" customHeight="1"/>
    <row r="8724" ht="12" customHeight="1"/>
    <row r="8725" ht="12" customHeight="1"/>
    <row r="8726" ht="12" customHeight="1"/>
    <row r="8727" ht="12" customHeight="1"/>
    <row r="8728" ht="12" customHeight="1"/>
    <row r="8729" ht="12" customHeight="1"/>
    <row r="8730" ht="12" customHeight="1"/>
    <row r="8731" ht="12" customHeight="1"/>
    <row r="8732" ht="12" customHeight="1"/>
    <row r="8733" ht="12" customHeight="1"/>
    <row r="8734" ht="12" customHeight="1"/>
    <row r="8735" ht="12" customHeight="1"/>
    <row r="8736" ht="12" customHeight="1"/>
    <row r="8737" ht="12" customHeight="1"/>
    <row r="8738" ht="12" customHeight="1"/>
    <row r="8739" ht="12" customHeight="1"/>
    <row r="8740" ht="12" customHeight="1"/>
    <row r="8741" ht="12" customHeight="1"/>
    <row r="8742" ht="12" customHeight="1"/>
    <row r="8743" ht="12" customHeight="1"/>
    <row r="8744" ht="12" customHeight="1"/>
    <row r="8745" ht="12" customHeight="1"/>
    <row r="8746" ht="12" customHeight="1"/>
    <row r="8747" ht="12" customHeight="1"/>
    <row r="8748" ht="12" customHeight="1"/>
    <row r="8749" ht="12" customHeight="1"/>
    <row r="8750" ht="12" customHeight="1"/>
    <row r="8751" ht="12" customHeight="1"/>
    <row r="8752" ht="12" customHeight="1"/>
    <row r="8753" ht="12" customHeight="1"/>
    <row r="8754" ht="12" customHeight="1"/>
    <row r="8755" ht="12" customHeight="1"/>
    <row r="8756" ht="12" customHeight="1"/>
    <row r="8757" ht="12" customHeight="1"/>
    <row r="8758" ht="12" customHeight="1"/>
    <row r="8759" ht="12" customHeight="1"/>
    <row r="8760" ht="12" customHeight="1"/>
    <row r="8761" ht="12" customHeight="1"/>
    <row r="8762" ht="12" customHeight="1"/>
    <row r="8763" ht="12" customHeight="1"/>
    <row r="8764" ht="12" customHeight="1"/>
    <row r="8765" ht="12" customHeight="1"/>
    <row r="8766" ht="12" customHeight="1"/>
    <row r="8767" ht="12" customHeight="1"/>
    <row r="8768" ht="12" customHeight="1"/>
    <row r="8769" ht="12" customHeight="1"/>
    <row r="8770" ht="12" customHeight="1"/>
    <row r="8771" ht="12" customHeight="1"/>
    <row r="8772" ht="12" customHeight="1"/>
    <row r="8773" ht="12" customHeight="1"/>
    <row r="8774" ht="12" customHeight="1"/>
    <row r="8775" ht="12" customHeight="1"/>
    <row r="8776" ht="12" customHeight="1"/>
    <row r="8777" ht="12" customHeight="1"/>
    <row r="8778" ht="12" customHeight="1"/>
    <row r="8779" ht="12" customHeight="1"/>
    <row r="8780" ht="12" customHeight="1"/>
    <row r="8781" ht="12" customHeight="1"/>
    <row r="8782" ht="12" customHeight="1"/>
    <row r="8783" ht="12" customHeight="1"/>
    <row r="8784" ht="12" customHeight="1"/>
    <row r="8785" ht="12" customHeight="1"/>
    <row r="8786" ht="12" customHeight="1"/>
    <row r="8787" ht="12" customHeight="1"/>
    <row r="8788" ht="12" customHeight="1"/>
    <row r="8789" ht="12" customHeight="1"/>
    <row r="8790" ht="12" customHeight="1"/>
    <row r="8791" ht="12" customHeight="1"/>
    <row r="8792" ht="12" customHeight="1"/>
    <row r="8793" ht="12" customHeight="1"/>
    <row r="8794" ht="12" customHeight="1"/>
    <row r="8795" ht="12" customHeight="1"/>
    <row r="8796" ht="12" customHeight="1"/>
    <row r="8797" ht="12" customHeight="1"/>
    <row r="8798" ht="12" customHeight="1"/>
    <row r="8799" ht="12" customHeight="1"/>
    <row r="8800" ht="12" customHeight="1"/>
    <row r="8801" ht="12" customHeight="1"/>
    <row r="8802" ht="12" customHeight="1"/>
    <row r="8803" ht="12" customHeight="1"/>
    <row r="8804" ht="12" customHeight="1"/>
    <row r="8805" ht="12" customHeight="1"/>
    <row r="8806" ht="12" customHeight="1"/>
    <row r="8807" ht="12" customHeight="1"/>
    <row r="8808" ht="12" customHeight="1"/>
    <row r="8809" ht="12" customHeight="1"/>
    <row r="8810" ht="12" customHeight="1"/>
    <row r="8811" ht="12" customHeight="1"/>
    <row r="8812" ht="12" customHeight="1"/>
    <row r="8813" ht="12" customHeight="1"/>
    <row r="8814" ht="12" customHeight="1"/>
    <row r="8815" ht="12" customHeight="1"/>
    <row r="8816" ht="12" customHeight="1"/>
    <row r="8817" ht="12" customHeight="1"/>
    <row r="8818" ht="12" customHeight="1"/>
    <row r="8819" ht="12" customHeight="1"/>
    <row r="8820" ht="12" customHeight="1"/>
    <row r="8821" ht="12" customHeight="1"/>
    <row r="8822" ht="12" customHeight="1"/>
    <row r="8823" ht="12" customHeight="1"/>
    <row r="8824" ht="12" customHeight="1"/>
    <row r="8825" ht="12" customHeight="1"/>
    <row r="8826" ht="12" customHeight="1"/>
    <row r="8827" ht="12" customHeight="1"/>
    <row r="8828" ht="12" customHeight="1"/>
    <row r="8829" ht="12" customHeight="1"/>
    <row r="8830" ht="12" customHeight="1"/>
    <row r="8831" ht="12" customHeight="1"/>
    <row r="8832" ht="12" customHeight="1"/>
    <row r="8833" ht="12" customHeight="1"/>
    <row r="8834" ht="12" customHeight="1"/>
    <row r="8835" ht="12" customHeight="1"/>
    <row r="8836" ht="12" customHeight="1"/>
    <row r="8837" ht="12" customHeight="1"/>
    <row r="8838" ht="12" customHeight="1"/>
    <row r="8839" ht="12" customHeight="1"/>
    <row r="8840" ht="12" customHeight="1"/>
    <row r="8841" ht="12" customHeight="1"/>
    <row r="8842" ht="12" customHeight="1"/>
    <row r="8843" ht="12" customHeight="1"/>
    <row r="8844" ht="12" customHeight="1"/>
    <row r="8845" ht="12" customHeight="1"/>
    <row r="8846" ht="12" customHeight="1"/>
    <row r="8847" ht="12" customHeight="1"/>
    <row r="8848" ht="12" customHeight="1"/>
    <row r="8849" ht="12" customHeight="1"/>
    <row r="8850" ht="12" customHeight="1"/>
    <row r="8851" ht="12" customHeight="1"/>
    <row r="8852" ht="12" customHeight="1"/>
    <row r="8853" ht="12" customHeight="1"/>
    <row r="8854" ht="12" customHeight="1"/>
    <row r="8855" ht="12" customHeight="1"/>
    <row r="8856" ht="12" customHeight="1"/>
    <row r="8857" ht="12" customHeight="1"/>
    <row r="8858" ht="12" customHeight="1"/>
    <row r="8859" ht="12" customHeight="1"/>
    <row r="8860" ht="12" customHeight="1"/>
    <row r="8861" ht="12" customHeight="1"/>
    <row r="8862" ht="12" customHeight="1"/>
    <row r="8863" ht="12" customHeight="1"/>
    <row r="8864" ht="12" customHeight="1"/>
    <row r="8865" ht="12" customHeight="1"/>
    <row r="8866" ht="12" customHeight="1"/>
    <row r="8867" ht="12" customHeight="1"/>
    <row r="8868" ht="12" customHeight="1"/>
    <row r="8869" ht="12" customHeight="1"/>
    <row r="8870" ht="12" customHeight="1"/>
    <row r="8871" ht="12" customHeight="1"/>
    <row r="8872" ht="12" customHeight="1"/>
    <row r="8873" ht="12" customHeight="1"/>
    <row r="8874" ht="12" customHeight="1"/>
    <row r="8875" ht="12" customHeight="1"/>
    <row r="8876" ht="12" customHeight="1"/>
    <row r="8877" ht="12" customHeight="1"/>
    <row r="8878" ht="12" customHeight="1"/>
    <row r="8879" ht="12" customHeight="1"/>
    <row r="8880" ht="12" customHeight="1"/>
    <row r="8881" ht="12" customHeight="1"/>
    <row r="8882" ht="12" customHeight="1"/>
    <row r="8883" ht="12" customHeight="1"/>
    <row r="8884" ht="12" customHeight="1"/>
    <row r="8885" ht="12" customHeight="1"/>
    <row r="8886" ht="12" customHeight="1"/>
    <row r="8887" ht="12" customHeight="1"/>
    <row r="8888" ht="12" customHeight="1"/>
    <row r="8889" ht="12" customHeight="1"/>
    <row r="8890" ht="12" customHeight="1"/>
    <row r="8891" ht="12" customHeight="1"/>
    <row r="8892" ht="12" customHeight="1"/>
    <row r="8893" ht="12" customHeight="1"/>
    <row r="8894" ht="12" customHeight="1"/>
    <row r="8895" ht="12" customHeight="1"/>
    <row r="8896" ht="12" customHeight="1"/>
    <row r="8897" ht="12" customHeight="1"/>
    <row r="8898" ht="12" customHeight="1"/>
    <row r="8899" ht="12" customHeight="1"/>
    <row r="8900" ht="12" customHeight="1"/>
    <row r="8901" ht="12" customHeight="1"/>
    <row r="8902" ht="12" customHeight="1"/>
    <row r="8903" ht="12" customHeight="1"/>
    <row r="8904" ht="12" customHeight="1"/>
    <row r="8905" ht="12" customHeight="1"/>
    <row r="8906" ht="12" customHeight="1"/>
    <row r="8907" ht="12" customHeight="1"/>
    <row r="8908" ht="12" customHeight="1"/>
    <row r="8909" ht="12" customHeight="1"/>
    <row r="8910" ht="12" customHeight="1"/>
    <row r="8911" ht="12" customHeight="1"/>
    <row r="8912" ht="12" customHeight="1"/>
    <row r="8913" ht="12" customHeight="1"/>
    <row r="8914" ht="12" customHeight="1"/>
    <row r="8915" ht="12" customHeight="1"/>
    <row r="8916" ht="12" customHeight="1"/>
    <row r="8917" ht="12" customHeight="1"/>
    <row r="8918" ht="12" customHeight="1"/>
    <row r="8919" ht="12" customHeight="1"/>
    <row r="8920" ht="12" customHeight="1"/>
    <row r="8921" ht="12" customHeight="1"/>
    <row r="8922" ht="12" customHeight="1"/>
    <row r="8923" ht="12" customHeight="1"/>
    <row r="8924" ht="12" customHeight="1"/>
    <row r="8925" ht="12" customHeight="1"/>
    <row r="8926" ht="12" customHeight="1"/>
    <row r="8927" ht="12" customHeight="1"/>
    <row r="8928" ht="12" customHeight="1"/>
    <row r="8929" ht="12" customHeight="1"/>
    <row r="8930" ht="12" customHeight="1"/>
    <row r="8931" ht="12" customHeight="1"/>
    <row r="8932" ht="12" customHeight="1"/>
    <row r="8933" ht="12" customHeight="1"/>
    <row r="8934" ht="12" customHeight="1"/>
    <row r="8935" ht="12" customHeight="1"/>
    <row r="8936" ht="12" customHeight="1"/>
    <row r="8937" ht="12" customHeight="1"/>
    <row r="8938" ht="12" customHeight="1"/>
    <row r="8939" ht="12" customHeight="1"/>
    <row r="8940" ht="12" customHeight="1"/>
    <row r="8941" ht="12" customHeight="1"/>
    <row r="8942" ht="12" customHeight="1"/>
    <row r="8943" ht="12" customHeight="1"/>
    <row r="8944" ht="12" customHeight="1"/>
    <row r="8945" ht="12" customHeight="1"/>
    <row r="8946" ht="12" customHeight="1"/>
    <row r="8947" ht="12" customHeight="1"/>
    <row r="8948" ht="12" customHeight="1"/>
    <row r="8949" ht="12" customHeight="1"/>
    <row r="8950" ht="12" customHeight="1"/>
    <row r="8951" ht="12" customHeight="1"/>
    <row r="8952" ht="12" customHeight="1"/>
    <row r="8953" ht="12" customHeight="1"/>
    <row r="8954" ht="12" customHeight="1"/>
    <row r="8955" ht="12" customHeight="1"/>
    <row r="8956" ht="12" customHeight="1"/>
    <row r="8957" ht="12" customHeight="1"/>
    <row r="8958" ht="12" customHeight="1"/>
    <row r="8959" ht="12" customHeight="1"/>
    <row r="8960" ht="12" customHeight="1"/>
    <row r="8961" ht="12" customHeight="1"/>
    <row r="8962" ht="12" customHeight="1"/>
    <row r="8963" ht="12" customHeight="1"/>
    <row r="8964" ht="12" customHeight="1"/>
    <row r="8965" ht="12" customHeight="1"/>
    <row r="8966" ht="12" customHeight="1"/>
    <row r="8967" ht="12" customHeight="1"/>
    <row r="8968" ht="12" customHeight="1"/>
    <row r="8969" ht="12" customHeight="1"/>
    <row r="8970" ht="12" customHeight="1"/>
    <row r="8971" ht="12" customHeight="1"/>
    <row r="8972" ht="12" customHeight="1"/>
    <row r="8973" ht="12" customHeight="1"/>
    <row r="8974" ht="12" customHeight="1"/>
    <row r="8975" ht="12" customHeight="1"/>
    <row r="8976" ht="12" customHeight="1"/>
    <row r="8977" ht="12" customHeight="1"/>
    <row r="8978" ht="12" customHeight="1"/>
    <row r="8979" ht="12" customHeight="1"/>
    <row r="8980" ht="12" customHeight="1"/>
    <row r="8981" ht="12" customHeight="1"/>
    <row r="8982" ht="12" customHeight="1"/>
    <row r="8983" ht="12" customHeight="1"/>
    <row r="8984" ht="12" customHeight="1"/>
    <row r="8985" ht="12" customHeight="1"/>
    <row r="8986" ht="12" customHeight="1"/>
    <row r="8987" ht="12" customHeight="1"/>
    <row r="8988" ht="12" customHeight="1"/>
    <row r="8989" ht="12" customHeight="1"/>
    <row r="8990" ht="12" customHeight="1"/>
    <row r="8991" ht="12" customHeight="1"/>
    <row r="8992" ht="12" customHeight="1"/>
    <row r="8993" ht="12" customHeight="1"/>
    <row r="8994" ht="12" customHeight="1"/>
    <row r="8995" ht="12" customHeight="1"/>
    <row r="8996" ht="12" customHeight="1"/>
    <row r="8997" ht="12" customHeight="1"/>
    <row r="8998" ht="12" customHeight="1"/>
    <row r="8999" ht="12" customHeight="1"/>
    <row r="9000" ht="12" customHeight="1"/>
    <row r="9001" ht="12" customHeight="1"/>
    <row r="9002" ht="12" customHeight="1"/>
    <row r="9003" ht="12" customHeight="1"/>
    <row r="9004" ht="12" customHeight="1"/>
    <row r="9005" ht="12" customHeight="1"/>
    <row r="9006" ht="12" customHeight="1"/>
    <row r="9007" ht="12" customHeight="1"/>
    <row r="9008" ht="12" customHeight="1"/>
    <row r="9009" ht="12" customHeight="1"/>
    <row r="9010" ht="12" customHeight="1"/>
    <row r="9011" ht="12" customHeight="1"/>
    <row r="9012" ht="12" customHeight="1"/>
    <row r="9013" ht="12" customHeight="1"/>
    <row r="9014" ht="12" customHeight="1"/>
    <row r="9015" ht="12" customHeight="1"/>
    <row r="9016" ht="12" customHeight="1"/>
    <row r="9017" ht="12" customHeight="1"/>
    <row r="9018" ht="12" customHeight="1"/>
    <row r="9019" ht="12" customHeight="1"/>
    <row r="9020" ht="12" customHeight="1"/>
    <row r="9021" ht="12" customHeight="1"/>
    <row r="9022" ht="12" customHeight="1"/>
    <row r="9023" ht="12" customHeight="1"/>
    <row r="9024" ht="12" customHeight="1"/>
    <row r="9025" ht="12" customHeight="1"/>
    <row r="9026" ht="12" customHeight="1"/>
    <row r="9027" ht="12" customHeight="1"/>
    <row r="9028" ht="12" customHeight="1"/>
    <row r="9029" ht="12" customHeight="1"/>
    <row r="9030" ht="12" customHeight="1"/>
    <row r="9031" ht="12" customHeight="1"/>
    <row r="9032" ht="12" customHeight="1"/>
    <row r="9033" ht="12" customHeight="1"/>
    <row r="9034" ht="12" customHeight="1"/>
    <row r="9035" ht="12" customHeight="1"/>
    <row r="9036" ht="12" customHeight="1"/>
    <row r="9037" ht="12" customHeight="1"/>
    <row r="9038" ht="12" customHeight="1"/>
    <row r="9039" ht="12" customHeight="1"/>
    <row r="9040" ht="12" customHeight="1"/>
    <row r="9041" ht="12" customHeight="1"/>
    <row r="9042" ht="12" customHeight="1"/>
    <row r="9043" ht="12" customHeight="1"/>
    <row r="9044" ht="12" customHeight="1"/>
    <row r="9045" ht="12" customHeight="1"/>
    <row r="9046" ht="12" customHeight="1"/>
    <row r="9047" ht="12" customHeight="1"/>
    <row r="9048" ht="12" customHeight="1"/>
    <row r="9049" ht="12" customHeight="1"/>
    <row r="9050" ht="12" customHeight="1"/>
    <row r="9051" ht="12" customHeight="1"/>
    <row r="9052" ht="12" customHeight="1"/>
    <row r="9053" ht="12" customHeight="1"/>
    <row r="9054" ht="12" customHeight="1"/>
    <row r="9055" ht="12" customHeight="1"/>
    <row r="9056" ht="12" customHeight="1"/>
    <row r="9057" ht="12" customHeight="1"/>
    <row r="9058" ht="12" customHeight="1"/>
    <row r="9059" ht="12" customHeight="1"/>
    <row r="9060" ht="12" customHeight="1"/>
    <row r="9061" ht="12" customHeight="1"/>
    <row r="9062" ht="12" customHeight="1"/>
    <row r="9063" ht="12" customHeight="1"/>
    <row r="9064" ht="12" customHeight="1"/>
    <row r="9065" ht="12" customHeight="1"/>
    <row r="9066" ht="12" customHeight="1"/>
    <row r="9067" ht="12" customHeight="1"/>
    <row r="9068" ht="12" customHeight="1"/>
    <row r="9069" ht="12" customHeight="1"/>
    <row r="9070" ht="12" customHeight="1"/>
    <row r="9071" ht="12" customHeight="1"/>
    <row r="9072" ht="12" customHeight="1"/>
    <row r="9073" ht="12" customHeight="1"/>
    <row r="9074" ht="12" customHeight="1"/>
    <row r="9075" ht="12" customHeight="1"/>
    <row r="9076" ht="12" customHeight="1"/>
    <row r="9077" ht="12" customHeight="1"/>
    <row r="9078" ht="12" customHeight="1"/>
    <row r="9079" ht="12" customHeight="1"/>
    <row r="9080" ht="12" customHeight="1"/>
    <row r="9081" ht="12" customHeight="1"/>
    <row r="9082" ht="12" customHeight="1"/>
    <row r="9083" ht="12" customHeight="1"/>
    <row r="9084" ht="12" customHeight="1"/>
    <row r="9085" ht="12" customHeight="1"/>
    <row r="9086" ht="12" customHeight="1"/>
    <row r="9087" ht="12" customHeight="1"/>
    <row r="9088" ht="12" customHeight="1"/>
    <row r="9089" ht="12" customHeight="1"/>
    <row r="9090" ht="12" customHeight="1"/>
    <row r="9091" ht="12" customHeight="1"/>
    <row r="9092" ht="12" customHeight="1"/>
    <row r="9093" ht="12" customHeight="1"/>
    <row r="9094" ht="12" customHeight="1"/>
    <row r="9095" ht="12" customHeight="1"/>
    <row r="9096" ht="12" customHeight="1"/>
    <row r="9097" ht="12" customHeight="1"/>
    <row r="9098" ht="12" customHeight="1"/>
    <row r="9099" ht="12" customHeight="1"/>
    <row r="9100" ht="12" customHeight="1"/>
    <row r="9101" ht="12" customHeight="1"/>
    <row r="9102" ht="12" customHeight="1"/>
    <row r="9103" ht="12" customHeight="1"/>
    <row r="9104" ht="12" customHeight="1"/>
    <row r="9105" ht="12" customHeight="1"/>
    <row r="9106" ht="12" customHeight="1"/>
    <row r="9107" ht="12" customHeight="1"/>
    <row r="9108" ht="12" customHeight="1"/>
    <row r="9109" ht="12" customHeight="1"/>
    <row r="9110" ht="12" customHeight="1"/>
    <row r="9111" ht="12" customHeight="1"/>
    <row r="9112" ht="12" customHeight="1"/>
    <row r="9113" ht="12" customHeight="1"/>
    <row r="9114" ht="12" customHeight="1"/>
    <row r="9115" ht="12" customHeight="1"/>
    <row r="9116" ht="12" customHeight="1"/>
    <row r="9117" ht="12" customHeight="1"/>
    <row r="9118" ht="12" customHeight="1"/>
    <row r="9119" ht="12" customHeight="1"/>
    <row r="9120" ht="12" customHeight="1"/>
    <row r="9121" ht="12" customHeight="1"/>
    <row r="9122" ht="12" customHeight="1"/>
    <row r="9123" ht="12" customHeight="1"/>
    <row r="9124" ht="12" customHeight="1"/>
    <row r="9125" ht="12" customHeight="1"/>
    <row r="9126" ht="12" customHeight="1"/>
    <row r="9127" ht="12" customHeight="1"/>
    <row r="9128" ht="12" customHeight="1"/>
    <row r="9129" ht="12" customHeight="1"/>
    <row r="9130" ht="12" customHeight="1"/>
    <row r="9131" ht="12" customHeight="1"/>
    <row r="9132" ht="12" customHeight="1"/>
    <row r="9133" ht="12" customHeight="1"/>
    <row r="9134" ht="12" customHeight="1"/>
    <row r="9135" ht="12" customHeight="1"/>
    <row r="9136" ht="12" customHeight="1"/>
    <row r="9137" ht="12" customHeight="1"/>
    <row r="9138" ht="12" customHeight="1"/>
    <row r="9139" ht="12" customHeight="1"/>
    <row r="9140" ht="12" customHeight="1"/>
    <row r="9141" ht="12" customHeight="1"/>
    <row r="9142" ht="12" customHeight="1"/>
    <row r="9143" ht="12" customHeight="1"/>
    <row r="9144" ht="12" customHeight="1"/>
    <row r="9145" ht="12" customHeight="1"/>
    <row r="9146" ht="12" customHeight="1"/>
    <row r="9147" ht="12" customHeight="1"/>
    <row r="9148" ht="12" customHeight="1"/>
    <row r="9149" ht="12" customHeight="1"/>
    <row r="9150" ht="12" customHeight="1"/>
    <row r="9151" ht="12" customHeight="1"/>
    <row r="9152" ht="12" customHeight="1"/>
    <row r="9153" ht="12" customHeight="1"/>
    <row r="9154" ht="12" customHeight="1"/>
    <row r="9155" ht="12" customHeight="1"/>
    <row r="9156" ht="12" customHeight="1"/>
    <row r="9157" ht="12" customHeight="1"/>
    <row r="9158" ht="12" customHeight="1"/>
    <row r="9159" ht="12" customHeight="1"/>
    <row r="9160" ht="12" customHeight="1"/>
    <row r="9161" ht="12" customHeight="1"/>
    <row r="9162" ht="12" customHeight="1"/>
    <row r="9163" ht="12" customHeight="1"/>
    <row r="9164" ht="12" customHeight="1"/>
    <row r="9165" ht="12" customHeight="1"/>
    <row r="9166" ht="12" customHeight="1"/>
    <row r="9167" ht="12" customHeight="1"/>
    <row r="9168" ht="12" customHeight="1"/>
    <row r="9169" ht="12" customHeight="1"/>
    <row r="9170" ht="12" customHeight="1"/>
    <row r="9171" ht="12" customHeight="1"/>
    <row r="9172" ht="12" customHeight="1"/>
    <row r="9173" ht="12" customHeight="1"/>
    <row r="9174" ht="12" customHeight="1"/>
    <row r="9175" ht="12" customHeight="1"/>
    <row r="9176" ht="12" customHeight="1"/>
    <row r="9177" ht="12" customHeight="1"/>
    <row r="9178" ht="12" customHeight="1"/>
    <row r="9179" ht="12" customHeight="1"/>
    <row r="9180" ht="12" customHeight="1"/>
    <row r="9181" ht="12" customHeight="1"/>
    <row r="9182" ht="12" customHeight="1"/>
    <row r="9183" ht="12" customHeight="1"/>
    <row r="9184" ht="12" customHeight="1"/>
    <row r="9185" ht="12" customHeight="1"/>
    <row r="9186" ht="12" customHeight="1"/>
    <row r="9187" ht="12" customHeight="1"/>
    <row r="9188" ht="12" customHeight="1"/>
    <row r="9189" ht="12" customHeight="1"/>
    <row r="9190" ht="12" customHeight="1"/>
    <row r="9191" ht="12" customHeight="1"/>
    <row r="9192" ht="12" customHeight="1"/>
    <row r="9193" ht="12" customHeight="1"/>
    <row r="9194" ht="12" customHeight="1"/>
    <row r="9195" ht="12" customHeight="1"/>
    <row r="9196" ht="12" customHeight="1"/>
    <row r="9197" ht="12" customHeight="1"/>
    <row r="9198" ht="12" customHeight="1"/>
    <row r="9199" ht="12" customHeight="1"/>
    <row r="9200" ht="12" customHeight="1"/>
    <row r="9201" ht="12" customHeight="1"/>
    <row r="9202" ht="12" customHeight="1"/>
    <row r="9203" ht="12" customHeight="1"/>
    <row r="9204" ht="12" customHeight="1"/>
    <row r="9205" ht="12" customHeight="1"/>
    <row r="9206" ht="12" customHeight="1"/>
    <row r="9207" ht="12" customHeight="1"/>
    <row r="9208" ht="12" customHeight="1"/>
    <row r="9209" ht="12" customHeight="1"/>
    <row r="9210" ht="12" customHeight="1"/>
    <row r="9211" ht="12" customHeight="1"/>
    <row r="9212" ht="12" customHeight="1"/>
    <row r="9213" ht="12" customHeight="1"/>
    <row r="9214" ht="12" customHeight="1"/>
    <row r="9215" ht="12" customHeight="1"/>
    <row r="9216" ht="12" customHeight="1"/>
    <row r="9217" ht="12" customHeight="1"/>
    <row r="9218" ht="12" customHeight="1"/>
    <row r="9219" ht="12" customHeight="1"/>
    <row r="9220" ht="12" customHeight="1"/>
    <row r="9221" ht="12" customHeight="1"/>
    <row r="9222" ht="12" customHeight="1"/>
    <row r="9223" ht="12" customHeight="1"/>
    <row r="9224" ht="12" customHeight="1"/>
    <row r="9225" ht="12" customHeight="1"/>
    <row r="9226" ht="12" customHeight="1"/>
    <row r="9227" ht="12" customHeight="1"/>
    <row r="9228" ht="12" customHeight="1"/>
    <row r="9229" ht="12" customHeight="1"/>
    <row r="9230" ht="12" customHeight="1"/>
    <row r="9231" ht="12" customHeight="1"/>
    <row r="9232" ht="12" customHeight="1"/>
    <row r="9233" ht="12" customHeight="1"/>
    <row r="9234" ht="12" customHeight="1"/>
    <row r="9235" ht="12" customHeight="1"/>
    <row r="9236" ht="12" customHeight="1"/>
    <row r="9237" ht="12" customHeight="1"/>
    <row r="9238" ht="12" customHeight="1"/>
    <row r="9239" ht="12" customHeight="1"/>
    <row r="9240" ht="12" customHeight="1"/>
    <row r="9241" ht="12" customHeight="1"/>
    <row r="9242" ht="12" customHeight="1"/>
    <row r="9243" ht="12" customHeight="1"/>
    <row r="9244" ht="12" customHeight="1"/>
    <row r="9245" ht="12" customHeight="1"/>
    <row r="9246" ht="12" customHeight="1"/>
    <row r="9247" ht="12" customHeight="1"/>
    <row r="9248" ht="12" customHeight="1"/>
    <row r="9249" ht="12" customHeight="1"/>
    <row r="9250" ht="12" customHeight="1"/>
    <row r="9251" ht="12" customHeight="1"/>
    <row r="9252" ht="12" customHeight="1"/>
    <row r="9253" ht="12" customHeight="1"/>
    <row r="9254" ht="12" customHeight="1"/>
    <row r="9255" ht="12" customHeight="1"/>
    <row r="9256" ht="12" customHeight="1"/>
    <row r="9257" ht="12" customHeight="1"/>
    <row r="9258" ht="12" customHeight="1"/>
    <row r="9259" ht="12" customHeight="1"/>
    <row r="9260" ht="12" customHeight="1"/>
    <row r="9261" ht="12" customHeight="1"/>
    <row r="9262" ht="12" customHeight="1"/>
    <row r="9263" ht="12" customHeight="1"/>
    <row r="9264" ht="12" customHeight="1"/>
    <row r="9265" ht="12" customHeight="1"/>
    <row r="9266" ht="12" customHeight="1"/>
    <row r="9267" ht="12" customHeight="1"/>
    <row r="9268" ht="12" customHeight="1"/>
    <row r="9269" ht="12" customHeight="1"/>
    <row r="9270" ht="12" customHeight="1"/>
    <row r="9271" ht="12" customHeight="1"/>
    <row r="9272" ht="12" customHeight="1"/>
    <row r="9273" ht="12" customHeight="1"/>
    <row r="9274" ht="12" customHeight="1"/>
    <row r="9275" ht="12" customHeight="1"/>
    <row r="9276" ht="12" customHeight="1"/>
    <row r="9277" ht="12" customHeight="1"/>
    <row r="9278" ht="12" customHeight="1"/>
    <row r="9279" ht="12" customHeight="1"/>
    <row r="9280" ht="12" customHeight="1"/>
    <row r="9281" ht="12" customHeight="1"/>
    <row r="9282" ht="12" customHeight="1"/>
    <row r="9283" ht="12" customHeight="1"/>
    <row r="9284" ht="12" customHeight="1"/>
    <row r="9285" ht="12" customHeight="1"/>
    <row r="9286" ht="12" customHeight="1"/>
    <row r="9287" ht="12" customHeight="1"/>
    <row r="9288" ht="12" customHeight="1"/>
    <row r="9289" ht="12" customHeight="1"/>
    <row r="9290" ht="12" customHeight="1"/>
    <row r="9291" ht="12" customHeight="1"/>
    <row r="9292" ht="12" customHeight="1"/>
    <row r="9293" ht="12" customHeight="1"/>
    <row r="9294" ht="12" customHeight="1"/>
    <row r="9295" ht="12" customHeight="1"/>
    <row r="9296" ht="12" customHeight="1"/>
    <row r="9297" ht="12" customHeight="1"/>
    <row r="9298" ht="12" customHeight="1"/>
    <row r="9299" ht="12" customHeight="1"/>
    <row r="9300" ht="12" customHeight="1"/>
    <row r="9301" ht="12" customHeight="1"/>
    <row r="9302" ht="12" customHeight="1"/>
    <row r="9303" ht="12" customHeight="1"/>
    <row r="9304" ht="12" customHeight="1"/>
    <row r="9305" ht="12" customHeight="1"/>
    <row r="9306" ht="12" customHeight="1"/>
    <row r="9307" ht="12" customHeight="1"/>
    <row r="9308" ht="12" customHeight="1"/>
    <row r="9309" ht="12" customHeight="1"/>
    <row r="9310" ht="12" customHeight="1"/>
    <row r="9311" ht="12" customHeight="1"/>
    <row r="9312" ht="12" customHeight="1"/>
    <row r="9313" ht="12" customHeight="1"/>
    <row r="9314" ht="12" customHeight="1"/>
    <row r="9315" ht="12" customHeight="1"/>
    <row r="9316" ht="12" customHeight="1"/>
    <row r="9317" ht="12" customHeight="1"/>
    <row r="9318" ht="12" customHeight="1"/>
    <row r="9319" ht="12" customHeight="1"/>
    <row r="9320" ht="12" customHeight="1"/>
    <row r="9321" ht="12" customHeight="1"/>
    <row r="9322" ht="12" customHeight="1"/>
    <row r="9323" ht="12" customHeight="1"/>
    <row r="9324" ht="12" customHeight="1"/>
    <row r="9325" ht="12" customHeight="1"/>
    <row r="9326" ht="12" customHeight="1"/>
    <row r="9327" ht="12" customHeight="1"/>
    <row r="9328" ht="12" customHeight="1"/>
    <row r="9329" ht="12" customHeight="1"/>
    <row r="9330" ht="12" customHeight="1"/>
    <row r="9331" ht="12" customHeight="1"/>
    <row r="9332" ht="12" customHeight="1"/>
    <row r="9333" ht="12" customHeight="1"/>
    <row r="9334" ht="12" customHeight="1"/>
    <row r="9335" ht="12" customHeight="1"/>
    <row r="9336" ht="12" customHeight="1"/>
    <row r="9337" ht="12" customHeight="1"/>
    <row r="9338" ht="12" customHeight="1"/>
    <row r="9339" ht="12" customHeight="1"/>
    <row r="9340" ht="12" customHeight="1"/>
    <row r="9341" ht="12" customHeight="1"/>
    <row r="9342" ht="12" customHeight="1"/>
    <row r="9343" ht="12" customHeight="1"/>
    <row r="9344" ht="12" customHeight="1"/>
    <row r="9345" ht="12" customHeight="1"/>
    <row r="9346" ht="12" customHeight="1"/>
    <row r="9347" ht="12" customHeight="1"/>
    <row r="9348" ht="12" customHeight="1"/>
    <row r="9349" ht="12" customHeight="1"/>
    <row r="9350" ht="12" customHeight="1"/>
    <row r="9351" ht="12" customHeight="1"/>
    <row r="9352" ht="12" customHeight="1"/>
    <row r="9353" ht="12" customHeight="1"/>
    <row r="9354" ht="12" customHeight="1"/>
    <row r="9355" ht="12" customHeight="1"/>
    <row r="9356" ht="12" customHeight="1"/>
    <row r="9357" ht="12" customHeight="1"/>
    <row r="9358" ht="12" customHeight="1"/>
    <row r="9359" ht="12" customHeight="1"/>
    <row r="9360" ht="12" customHeight="1"/>
    <row r="9361" ht="12" customHeight="1"/>
    <row r="9362" ht="12" customHeight="1"/>
    <row r="9363" ht="12" customHeight="1"/>
    <row r="9364" ht="12" customHeight="1"/>
    <row r="9365" ht="12" customHeight="1"/>
    <row r="9366" ht="12" customHeight="1"/>
    <row r="9367" ht="12" customHeight="1"/>
    <row r="9368" ht="12" customHeight="1"/>
    <row r="9369" ht="12" customHeight="1"/>
    <row r="9370" ht="12" customHeight="1"/>
    <row r="9371" ht="12" customHeight="1"/>
    <row r="9372" ht="12" customHeight="1"/>
    <row r="9373" ht="12" customHeight="1"/>
    <row r="9374" ht="12" customHeight="1"/>
    <row r="9375" ht="12" customHeight="1"/>
    <row r="9376" ht="12" customHeight="1"/>
    <row r="9377" ht="12" customHeight="1"/>
    <row r="9378" ht="12" customHeight="1"/>
    <row r="9379" ht="12" customHeight="1"/>
    <row r="9380" ht="12" customHeight="1"/>
    <row r="9381" ht="12" customHeight="1"/>
    <row r="9382" ht="12" customHeight="1"/>
    <row r="9383" ht="12" customHeight="1"/>
    <row r="9384" ht="12" customHeight="1"/>
    <row r="9385" ht="12" customHeight="1"/>
    <row r="9386" ht="12" customHeight="1"/>
    <row r="9387" ht="12" customHeight="1"/>
    <row r="9388" ht="12" customHeight="1"/>
    <row r="9389" ht="12" customHeight="1"/>
    <row r="9390" ht="12" customHeight="1"/>
    <row r="9391" ht="12" customHeight="1"/>
    <row r="9392" ht="12" customHeight="1"/>
    <row r="9393" ht="12" customHeight="1"/>
    <row r="9394" ht="12" customHeight="1"/>
    <row r="9395" ht="12" customHeight="1"/>
    <row r="9396" ht="12" customHeight="1"/>
    <row r="9397" ht="12" customHeight="1"/>
    <row r="9398" ht="12" customHeight="1"/>
    <row r="9399" ht="12" customHeight="1"/>
    <row r="9400" ht="12" customHeight="1"/>
    <row r="9401" ht="12" customHeight="1"/>
    <row r="9402" ht="12" customHeight="1"/>
    <row r="9403" ht="12" customHeight="1"/>
    <row r="9404" ht="12" customHeight="1"/>
    <row r="9405" ht="12" customHeight="1"/>
    <row r="9406" ht="12" customHeight="1"/>
    <row r="9407" ht="12" customHeight="1"/>
    <row r="9408" ht="12" customHeight="1"/>
    <row r="9409" ht="12" customHeight="1"/>
    <row r="9410" ht="12" customHeight="1"/>
    <row r="9411" ht="12" customHeight="1"/>
    <row r="9412" ht="12" customHeight="1"/>
    <row r="9413" ht="12" customHeight="1"/>
    <row r="9414" ht="12" customHeight="1"/>
    <row r="9415" ht="12" customHeight="1"/>
    <row r="9416" ht="12" customHeight="1"/>
    <row r="9417" ht="12" customHeight="1"/>
    <row r="9418" ht="12" customHeight="1"/>
    <row r="9419" ht="12" customHeight="1"/>
    <row r="9420" ht="12" customHeight="1"/>
    <row r="9421" ht="12" customHeight="1"/>
    <row r="9422" ht="12" customHeight="1"/>
    <row r="9423" ht="12" customHeight="1"/>
    <row r="9424" ht="12" customHeight="1"/>
    <row r="9425" ht="12" customHeight="1"/>
    <row r="9426" ht="12" customHeight="1"/>
    <row r="9427" ht="12" customHeight="1"/>
    <row r="9428" ht="12" customHeight="1"/>
    <row r="9429" ht="12" customHeight="1"/>
    <row r="9430" ht="12" customHeight="1"/>
    <row r="9431" ht="12" customHeight="1"/>
    <row r="9432" ht="12" customHeight="1"/>
    <row r="9433" ht="12" customHeight="1"/>
    <row r="9434" ht="12" customHeight="1"/>
    <row r="9435" ht="12" customHeight="1"/>
    <row r="9436" ht="12" customHeight="1"/>
    <row r="9437" ht="12" customHeight="1"/>
    <row r="9438" ht="12" customHeight="1"/>
    <row r="9439" ht="12" customHeight="1"/>
    <row r="9440" ht="12" customHeight="1"/>
    <row r="9441" ht="12" customHeight="1"/>
    <row r="9442" ht="12" customHeight="1"/>
    <row r="9443" ht="12" customHeight="1"/>
    <row r="9444" ht="12" customHeight="1"/>
    <row r="9445" ht="12" customHeight="1"/>
    <row r="9446" ht="12" customHeight="1"/>
    <row r="9447" ht="12" customHeight="1"/>
    <row r="9448" ht="12" customHeight="1"/>
    <row r="9449" ht="12" customHeight="1"/>
    <row r="9450" ht="12" customHeight="1"/>
    <row r="9451" ht="12" customHeight="1"/>
    <row r="9452" ht="12" customHeight="1"/>
    <row r="9453" ht="12" customHeight="1"/>
    <row r="9454" ht="12" customHeight="1"/>
    <row r="9455" ht="12" customHeight="1"/>
    <row r="9456" ht="12" customHeight="1"/>
    <row r="9457" ht="12" customHeight="1"/>
    <row r="9458" ht="12" customHeight="1"/>
    <row r="9459" ht="12" customHeight="1"/>
    <row r="9460" ht="12" customHeight="1"/>
    <row r="9461" ht="12" customHeight="1"/>
    <row r="9462" ht="12" customHeight="1"/>
    <row r="9463" ht="12" customHeight="1"/>
    <row r="9464" ht="12" customHeight="1"/>
    <row r="9465" ht="12" customHeight="1"/>
    <row r="9466" ht="12" customHeight="1"/>
    <row r="9467" ht="12" customHeight="1"/>
    <row r="9468" ht="12" customHeight="1"/>
    <row r="9469" ht="12" customHeight="1"/>
    <row r="9470" ht="12" customHeight="1"/>
    <row r="9471" ht="12" customHeight="1"/>
    <row r="9472" ht="12" customHeight="1"/>
    <row r="9473" ht="12" customHeight="1"/>
    <row r="9474" ht="12" customHeight="1"/>
    <row r="9475" ht="12" customHeight="1"/>
    <row r="9476" ht="12" customHeight="1"/>
    <row r="9477" ht="12" customHeight="1"/>
    <row r="9478" ht="12" customHeight="1"/>
    <row r="9479" ht="12" customHeight="1"/>
    <row r="9480" ht="12" customHeight="1"/>
    <row r="9481" ht="12" customHeight="1"/>
    <row r="9482" ht="12" customHeight="1"/>
    <row r="9483" ht="12" customHeight="1"/>
    <row r="9484" ht="12" customHeight="1"/>
    <row r="9485" ht="12" customHeight="1"/>
    <row r="9486" ht="12" customHeight="1"/>
    <row r="9487" ht="12" customHeight="1"/>
    <row r="9488" ht="12" customHeight="1"/>
    <row r="9489" ht="12" customHeight="1"/>
    <row r="9490" ht="12" customHeight="1"/>
    <row r="9491" ht="12" customHeight="1"/>
    <row r="9492" ht="12" customHeight="1"/>
    <row r="9493" ht="12" customHeight="1"/>
    <row r="9494" ht="12" customHeight="1"/>
    <row r="9495" ht="12" customHeight="1"/>
    <row r="9496" ht="12" customHeight="1"/>
    <row r="9497" ht="12" customHeight="1"/>
    <row r="9498" ht="12" customHeight="1"/>
    <row r="9499" ht="12" customHeight="1"/>
    <row r="9500" ht="12" customHeight="1"/>
    <row r="9501" ht="12" customHeight="1"/>
    <row r="9502" ht="12" customHeight="1"/>
    <row r="9503" ht="12" customHeight="1"/>
    <row r="9504" ht="12" customHeight="1"/>
    <row r="9505" ht="12" customHeight="1"/>
    <row r="9506" ht="12" customHeight="1"/>
    <row r="9507" ht="12" customHeight="1"/>
    <row r="9508" ht="12" customHeight="1"/>
    <row r="9509" ht="12" customHeight="1"/>
    <row r="9510" ht="12" customHeight="1"/>
    <row r="9511" ht="12" customHeight="1"/>
    <row r="9512" ht="12" customHeight="1"/>
    <row r="9513" ht="12" customHeight="1"/>
    <row r="9514" ht="12" customHeight="1"/>
    <row r="9515" ht="12" customHeight="1"/>
    <row r="9516" ht="12" customHeight="1"/>
    <row r="9517" ht="12" customHeight="1"/>
    <row r="9518" ht="12" customHeight="1"/>
    <row r="9519" ht="12" customHeight="1"/>
    <row r="9520" ht="12" customHeight="1"/>
    <row r="9521" ht="12" customHeight="1"/>
    <row r="9522" ht="12" customHeight="1"/>
    <row r="9523" ht="12" customHeight="1"/>
    <row r="9524" ht="12" customHeight="1"/>
    <row r="9525" ht="12" customHeight="1"/>
    <row r="9526" ht="12" customHeight="1"/>
    <row r="9527" ht="12" customHeight="1"/>
    <row r="9528" ht="12" customHeight="1"/>
    <row r="9529" ht="12" customHeight="1"/>
    <row r="9530" ht="12" customHeight="1"/>
    <row r="9531" ht="12" customHeight="1"/>
    <row r="9532" ht="12" customHeight="1"/>
    <row r="9533" ht="12" customHeight="1"/>
    <row r="9534" ht="12" customHeight="1"/>
    <row r="9535" ht="12" customHeight="1"/>
    <row r="9536" ht="12" customHeight="1"/>
    <row r="9537" ht="12" customHeight="1"/>
    <row r="9538" ht="12" customHeight="1"/>
    <row r="9539" ht="12" customHeight="1"/>
    <row r="9540" ht="12" customHeight="1"/>
    <row r="9541" ht="12" customHeight="1"/>
    <row r="9542" ht="12" customHeight="1"/>
    <row r="9543" ht="12" customHeight="1"/>
    <row r="9544" ht="12" customHeight="1"/>
    <row r="9545" ht="12" customHeight="1"/>
    <row r="9546" ht="12" customHeight="1"/>
    <row r="9547" ht="12" customHeight="1"/>
    <row r="9548" ht="12" customHeight="1"/>
    <row r="9549" ht="12" customHeight="1"/>
    <row r="9550" ht="12" customHeight="1"/>
    <row r="9551" ht="12" customHeight="1"/>
    <row r="9552" ht="12" customHeight="1"/>
    <row r="9553" ht="12" customHeight="1"/>
    <row r="9554" ht="12" customHeight="1"/>
    <row r="9555" ht="12" customHeight="1"/>
    <row r="9556" ht="12" customHeight="1"/>
    <row r="9557" ht="12" customHeight="1"/>
    <row r="9558" ht="12" customHeight="1"/>
    <row r="9559" ht="12" customHeight="1"/>
    <row r="9560" ht="12" customHeight="1"/>
    <row r="9561" ht="12" customHeight="1"/>
    <row r="9562" ht="12" customHeight="1"/>
    <row r="9563" ht="12" customHeight="1"/>
    <row r="9564" ht="12" customHeight="1"/>
    <row r="9565" ht="12" customHeight="1"/>
    <row r="9566" ht="12" customHeight="1"/>
    <row r="9567" ht="12" customHeight="1"/>
    <row r="9568" ht="12" customHeight="1"/>
    <row r="9569" ht="12" customHeight="1"/>
    <row r="9570" ht="12" customHeight="1"/>
    <row r="9571" ht="12" customHeight="1"/>
    <row r="9572" ht="12" customHeight="1"/>
    <row r="9573" ht="12" customHeight="1"/>
    <row r="9574" ht="12" customHeight="1"/>
    <row r="9575" ht="12" customHeight="1"/>
    <row r="9576" ht="12" customHeight="1"/>
    <row r="9577" ht="12" customHeight="1"/>
    <row r="9578" ht="12" customHeight="1"/>
    <row r="9579" ht="12" customHeight="1"/>
    <row r="9580" ht="12" customHeight="1"/>
    <row r="9581" ht="12" customHeight="1"/>
    <row r="9582" ht="12" customHeight="1"/>
    <row r="9583" ht="12" customHeight="1"/>
    <row r="9584" ht="12" customHeight="1"/>
    <row r="9585" ht="12" customHeight="1"/>
    <row r="9586" ht="12" customHeight="1"/>
    <row r="9587" ht="12" customHeight="1"/>
    <row r="9588" ht="12" customHeight="1"/>
    <row r="9589" ht="12" customHeight="1"/>
    <row r="9590" ht="12" customHeight="1"/>
    <row r="9591" ht="12" customHeight="1"/>
    <row r="9592" ht="12" customHeight="1"/>
    <row r="9593" ht="12" customHeight="1"/>
    <row r="9594" ht="12" customHeight="1"/>
    <row r="9595" ht="12" customHeight="1"/>
    <row r="9596" ht="12" customHeight="1"/>
    <row r="9597" ht="12" customHeight="1"/>
    <row r="9598" ht="12" customHeight="1"/>
    <row r="9599" ht="12" customHeight="1"/>
    <row r="9600" ht="12" customHeight="1"/>
    <row r="9601" ht="12" customHeight="1"/>
    <row r="9602" ht="12" customHeight="1"/>
    <row r="9603" ht="12" customHeight="1"/>
    <row r="9604" ht="12" customHeight="1"/>
    <row r="9605" ht="12" customHeight="1"/>
    <row r="9606" ht="12" customHeight="1"/>
    <row r="9607" ht="12" customHeight="1"/>
    <row r="9608" ht="12" customHeight="1"/>
    <row r="9609" ht="12" customHeight="1"/>
    <row r="9610" ht="12" customHeight="1"/>
    <row r="9611" ht="12" customHeight="1"/>
    <row r="9612" ht="12" customHeight="1"/>
    <row r="9613" ht="12" customHeight="1"/>
    <row r="9614" ht="12" customHeight="1"/>
    <row r="9615" ht="12" customHeight="1"/>
    <row r="9616" ht="12" customHeight="1"/>
    <row r="9617" ht="12" customHeight="1"/>
    <row r="9618" ht="12" customHeight="1"/>
    <row r="9619" ht="12" customHeight="1"/>
    <row r="9620" ht="12" customHeight="1"/>
    <row r="9621" ht="12" customHeight="1"/>
    <row r="9622" ht="12" customHeight="1"/>
    <row r="9623" ht="12" customHeight="1"/>
    <row r="9624" ht="12" customHeight="1"/>
    <row r="9625" ht="12" customHeight="1"/>
    <row r="9626" ht="12" customHeight="1"/>
    <row r="9627" ht="12" customHeight="1"/>
    <row r="9628" ht="12" customHeight="1"/>
    <row r="9629" ht="12" customHeight="1"/>
    <row r="9630" ht="12" customHeight="1"/>
    <row r="9631" ht="12" customHeight="1"/>
    <row r="9632" ht="12" customHeight="1"/>
    <row r="9633" ht="12" customHeight="1"/>
    <row r="9634" ht="12" customHeight="1"/>
    <row r="9635" ht="12" customHeight="1"/>
    <row r="9636" ht="12" customHeight="1"/>
    <row r="9637" ht="12" customHeight="1"/>
    <row r="9638" ht="12" customHeight="1"/>
    <row r="9639" ht="12" customHeight="1"/>
    <row r="9640" ht="12" customHeight="1"/>
    <row r="9641" ht="12" customHeight="1"/>
    <row r="9642" ht="12" customHeight="1"/>
    <row r="9643" ht="12" customHeight="1"/>
    <row r="9644" ht="12" customHeight="1"/>
    <row r="9645" ht="12" customHeight="1"/>
    <row r="9646" ht="12" customHeight="1"/>
    <row r="9647" ht="12" customHeight="1"/>
    <row r="9648" ht="12" customHeight="1"/>
    <row r="9649" ht="12" customHeight="1"/>
    <row r="9650" ht="12" customHeight="1"/>
    <row r="9651" ht="12" customHeight="1"/>
    <row r="9652" ht="12" customHeight="1"/>
    <row r="9653" ht="12" customHeight="1"/>
    <row r="9654" ht="12" customHeight="1"/>
    <row r="9655" ht="12" customHeight="1"/>
    <row r="9656" ht="12" customHeight="1"/>
    <row r="9657" ht="12" customHeight="1"/>
    <row r="9658" ht="12" customHeight="1"/>
    <row r="9659" ht="12" customHeight="1"/>
    <row r="9660" ht="12" customHeight="1"/>
    <row r="9661" ht="12" customHeight="1"/>
    <row r="9662" ht="12" customHeight="1"/>
    <row r="9663" ht="12" customHeight="1"/>
    <row r="9664" ht="12" customHeight="1"/>
    <row r="9665" ht="12" customHeight="1"/>
    <row r="9666" ht="12" customHeight="1"/>
    <row r="9667" ht="12" customHeight="1"/>
    <row r="9668" ht="12" customHeight="1"/>
    <row r="9669" ht="12" customHeight="1"/>
    <row r="9670" ht="12" customHeight="1"/>
    <row r="9671" ht="12" customHeight="1"/>
    <row r="9672" ht="12" customHeight="1"/>
    <row r="9673" ht="12" customHeight="1"/>
    <row r="9674" ht="12" customHeight="1"/>
    <row r="9675" ht="12" customHeight="1"/>
    <row r="9676" ht="12" customHeight="1"/>
    <row r="9677" ht="12" customHeight="1"/>
    <row r="9678" ht="12" customHeight="1"/>
    <row r="9679" ht="12" customHeight="1"/>
    <row r="9680" ht="12" customHeight="1"/>
    <row r="9681" ht="12" customHeight="1"/>
    <row r="9682" ht="12" customHeight="1"/>
    <row r="9683" ht="12" customHeight="1"/>
    <row r="9684" ht="12" customHeight="1"/>
    <row r="9685" ht="12" customHeight="1"/>
    <row r="9686" ht="12" customHeight="1"/>
    <row r="9687" ht="12" customHeight="1"/>
    <row r="9688" ht="12" customHeight="1"/>
    <row r="9689" ht="12" customHeight="1"/>
    <row r="9690" ht="12" customHeight="1"/>
    <row r="9691" ht="12" customHeight="1"/>
    <row r="9692" ht="12" customHeight="1"/>
    <row r="9693" ht="12" customHeight="1"/>
    <row r="9694" ht="12" customHeight="1"/>
    <row r="9695" ht="12" customHeight="1"/>
    <row r="9696" ht="12" customHeight="1"/>
    <row r="9697" ht="12" customHeight="1"/>
    <row r="9698" ht="12" customHeight="1"/>
    <row r="9699" ht="12" customHeight="1"/>
    <row r="9700" ht="12" customHeight="1"/>
    <row r="9701" ht="12" customHeight="1"/>
    <row r="9702" ht="12" customHeight="1"/>
    <row r="9703" ht="12" customHeight="1"/>
    <row r="9704" ht="12" customHeight="1"/>
    <row r="9705" ht="12" customHeight="1"/>
    <row r="9706" ht="12" customHeight="1"/>
    <row r="9707" ht="12" customHeight="1"/>
    <row r="9708" ht="12" customHeight="1"/>
    <row r="9709" ht="12" customHeight="1"/>
    <row r="9710" ht="12" customHeight="1"/>
    <row r="9711" ht="12" customHeight="1"/>
    <row r="9712" ht="12" customHeight="1"/>
    <row r="9713" ht="12" customHeight="1"/>
    <row r="9714" ht="12" customHeight="1"/>
    <row r="9715" ht="12" customHeight="1"/>
    <row r="9716" ht="12" customHeight="1"/>
    <row r="9717" ht="12" customHeight="1"/>
    <row r="9718" ht="12" customHeight="1"/>
    <row r="9719" ht="12" customHeight="1"/>
    <row r="9720" ht="12" customHeight="1"/>
    <row r="9721" ht="12" customHeight="1"/>
    <row r="9722" ht="12" customHeight="1"/>
    <row r="9723" ht="12" customHeight="1"/>
    <row r="9724" ht="12" customHeight="1"/>
    <row r="9725" ht="12" customHeight="1"/>
    <row r="9726" ht="12" customHeight="1"/>
    <row r="9727" ht="12" customHeight="1"/>
    <row r="9728" ht="12" customHeight="1"/>
    <row r="9729" ht="12" customHeight="1"/>
    <row r="9730" ht="12" customHeight="1"/>
    <row r="9731" ht="12" customHeight="1"/>
    <row r="9732" ht="12" customHeight="1"/>
    <row r="9733" ht="12" customHeight="1"/>
    <row r="9734" ht="12" customHeight="1"/>
    <row r="9735" ht="12" customHeight="1"/>
    <row r="9736" ht="12" customHeight="1"/>
    <row r="9737" ht="12" customHeight="1"/>
    <row r="9738" ht="12" customHeight="1"/>
    <row r="9739" ht="12" customHeight="1"/>
    <row r="9740" ht="12" customHeight="1"/>
    <row r="9741" ht="12" customHeight="1"/>
    <row r="9742" ht="12" customHeight="1"/>
    <row r="9743" ht="12" customHeight="1"/>
    <row r="9744" ht="12" customHeight="1"/>
    <row r="9745" ht="12" customHeight="1"/>
    <row r="9746" ht="12" customHeight="1"/>
    <row r="9747" ht="12" customHeight="1"/>
    <row r="9748" ht="12" customHeight="1"/>
    <row r="9749" ht="12" customHeight="1"/>
    <row r="9750" ht="12" customHeight="1"/>
    <row r="9751" ht="12" customHeight="1"/>
    <row r="9752" ht="12" customHeight="1"/>
    <row r="9753" ht="12" customHeight="1"/>
    <row r="9754" ht="12" customHeight="1"/>
    <row r="9755" ht="12" customHeight="1"/>
    <row r="9756" ht="12" customHeight="1"/>
    <row r="9757" ht="12" customHeight="1"/>
    <row r="9758" ht="12" customHeight="1"/>
    <row r="9759" ht="12" customHeight="1"/>
    <row r="9760" ht="12" customHeight="1"/>
    <row r="9761" ht="12" customHeight="1"/>
    <row r="9762" ht="12" customHeight="1"/>
    <row r="9763" ht="12" customHeight="1"/>
    <row r="9764" ht="12" customHeight="1"/>
    <row r="9765" ht="12" customHeight="1"/>
    <row r="9766" ht="12" customHeight="1"/>
    <row r="9767" ht="12" customHeight="1"/>
    <row r="9768" ht="12" customHeight="1"/>
    <row r="9769" ht="12" customHeight="1"/>
    <row r="9770" ht="12" customHeight="1"/>
    <row r="9771" ht="12" customHeight="1"/>
    <row r="9772" ht="12" customHeight="1"/>
    <row r="9773" ht="12" customHeight="1"/>
    <row r="9774" ht="12" customHeight="1"/>
    <row r="9775" ht="12" customHeight="1"/>
    <row r="9776" ht="12" customHeight="1"/>
    <row r="9777" ht="12" customHeight="1"/>
    <row r="9778" ht="12" customHeight="1"/>
    <row r="9779" ht="12" customHeight="1"/>
    <row r="9780" ht="12" customHeight="1"/>
    <row r="9781" ht="12" customHeight="1"/>
    <row r="9782" ht="12" customHeight="1"/>
    <row r="9783" ht="12" customHeight="1"/>
    <row r="9784" ht="12" customHeight="1"/>
    <row r="9785" ht="12" customHeight="1"/>
    <row r="9786" ht="12" customHeight="1"/>
    <row r="9787" ht="12" customHeight="1"/>
    <row r="9788" ht="12" customHeight="1"/>
    <row r="9789" ht="12" customHeight="1"/>
    <row r="9790" ht="12" customHeight="1"/>
    <row r="9791" ht="12" customHeight="1"/>
    <row r="9792" ht="12" customHeight="1"/>
    <row r="9793" ht="12" customHeight="1"/>
    <row r="9794" ht="12" customHeight="1"/>
    <row r="9795" ht="12" customHeight="1"/>
    <row r="9796" ht="12" customHeight="1"/>
    <row r="9797" ht="12" customHeight="1"/>
    <row r="9798" ht="12" customHeight="1"/>
    <row r="9799" ht="12" customHeight="1"/>
    <row r="9800" ht="12" customHeight="1"/>
    <row r="9801" ht="12" customHeight="1"/>
    <row r="9802" ht="12" customHeight="1"/>
    <row r="9803" ht="12" customHeight="1"/>
    <row r="9804" ht="12" customHeight="1"/>
    <row r="9805" ht="12" customHeight="1"/>
    <row r="9806" ht="12" customHeight="1"/>
    <row r="9807" ht="12" customHeight="1"/>
    <row r="9808" ht="12" customHeight="1"/>
    <row r="9809" ht="12" customHeight="1"/>
    <row r="9810" ht="12" customHeight="1"/>
    <row r="9811" ht="12" customHeight="1"/>
    <row r="9812" ht="12" customHeight="1"/>
    <row r="9813" ht="12" customHeight="1"/>
    <row r="9814" ht="12" customHeight="1"/>
    <row r="9815" ht="12" customHeight="1"/>
    <row r="9816" ht="12" customHeight="1"/>
    <row r="9817" ht="12" customHeight="1"/>
    <row r="9818" ht="12" customHeight="1"/>
    <row r="9819" ht="12" customHeight="1"/>
    <row r="9820" ht="12" customHeight="1"/>
    <row r="9821" ht="12" customHeight="1"/>
    <row r="9822" ht="12" customHeight="1"/>
    <row r="9823" ht="12" customHeight="1"/>
    <row r="9824" ht="12" customHeight="1"/>
    <row r="9825" ht="12" customHeight="1"/>
    <row r="9826" ht="12" customHeight="1"/>
    <row r="9827" ht="12" customHeight="1"/>
    <row r="9828" ht="12" customHeight="1"/>
    <row r="9829" ht="12" customHeight="1"/>
    <row r="9830" ht="12" customHeight="1"/>
    <row r="9831" ht="12" customHeight="1"/>
    <row r="9832" ht="12" customHeight="1"/>
    <row r="9833" ht="12" customHeight="1"/>
    <row r="9834" ht="12" customHeight="1"/>
    <row r="9835" ht="12" customHeight="1"/>
    <row r="9836" ht="12" customHeight="1"/>
    <row r="9837" ht="12" customHeight="1"/>
    <row r="9838" ht="12" customHeight="1"/>
    <row r="9839" ht="12" customHeight="1"/>
    <row r="9840" ht="12" customHeight="1"/>
    <row r="9841" ht="12" customHeight="1"/>
    <row r="9842" ht="12" customHeight="1"/>
    <row r="9843" ht="12" customHeight="1"/>
    <row r="9844" ht="12" customHeight="1"/>
    <row r="9845" ht="12" customHeight="1"/>
    <row r="9846" ht="12" customHeight="1"/>
    <row r="9847" ht="12" customHeight="1"/>
    <row r="9848" ht="12" customHeight="1"/>
    <row r="9849" ht="12" customHeight="1"/>
    <row r="9850" ht="12" customHeight="1"/>
    <row r="9851" ht="12" customHeight="1"/>
    <row r="9852" ht="12" customHeight="1"/>
    <row r="9853" ht="12" customHeight="1"/>
    <row r="9854" ht="12" customHeight="1"/>
    <row r="9855" ht="12" customHeight="1"/>
    <row r="9856" ht="12" customHeight="1"/>
    <row r="9857" ht="12" customHeight="1"/>
    <row r="9858" ht="12" customHeight="1"/>
    <row r="9859" ht="12" customHeight="1"/>
    <row r="9860" ht="12" customHeight="1"/>
    <row r="9861" ht="12" customHeight="1"/>
    <row r="9862" ht="12" customHeight="1"/>
    <row r="9863" ht="12" customHeight="1"/>
    <row r="9864" ht="12" customHeight="1"/>
    <row r="9865" ht="12" customHeight="1"/>
    <row r="9866" ht="12" customHeight="1"/>
    <row r="9867" ht="12" customHeight="1"/>
    <row r="9868" ht="12" customHeight="1"/>
    <row r="9869" ht="12" customHeight="1"/>
    <row r="9870" ht="12" customHeight="1"/>
    <row r="9871" ht="12" customHeight="1"/>
    <row r="9872" ht="12" customHeight="1"/>
    <row r="9873" ht="12" customHeight="1"/>
    <row r="9874" ht="12" customHeight="1"/>
    <row r="9875" ht="12" customHeight="1"/>
    <row r="9876" ht="12" customHeight="1"/>
    <row r="9877" ht="12" customHeight="1"/>
    <row r="9878" ht="12" customHeight="1"/>
    <row r="9879" ht="12" customHeight="1"/>
    <row r="9880" ht="12" customHeight="1"/>
    <row r="9881" ht="12" customHeight="1"/>
    <row r="9882" ht="12" customHeight="1"/>
    <row r="9883" ht="12" customHeight="1"/>
    <row r="9884" ht="12" customHeight="1"/>
    <row r="9885" ht="12" customHeight="1"/>
    <row r="9886" ht="12" customHeight="1"/>
    <row r="9887" ht="12" customHeight="1"/>
    <row r="9888" ht="12" customHeight="1"/>
    <row r="9889" ht="12" customHeight="1"/>
    <row r="9890" ht="12" customHeight="1"/>
    <row r="9891" ht="12" customHeight="1"/>
    <row r="9892" ht="12" customHeight="1"/>
    <row r="9893" ht="12" customHeight="1"/>
    <row r="9894" ht="12" customHeight="1"/>
    <row r="9895" ht="12" customHeight="1"/>
    <row r="9896" ht="12" customHeight="1"/>
    <row r="9897" ht="12" customHeight="1"/>
    <row r="9898" ht="12" customHeight="1"/>
    <row r="9899" ht="12" customHeight="1"/>
    <row r="9900" ht="12" customHeight="1"/>
    <row r="9901" ht="12" customHeight="1"/>
    <row r="9902" ht="12" customHeight="1"/>
    <row r="9903" ht="12" customHeight="1"/>
    <row r="9904" ht="12" customHeight="1"/>
    <row r="9905" ht="12" customHeight="1"/>
    <row r="9906" ht="12" customHeight="1"/>
    <row r="9907" ht="12" customHeight="1"/>
    <row r="9908" ht="12" customHeight="1"/>
    <row r="9909" ht="12" customHeight="1"/>
    <row r="9910" ht="12" customHeight="1"/>
    <row r="9911" ht="12" customHeight="1"/>
    <row r="9912" ht="12" customHeight="1"/>
    <row r="9913" ht="12" customHeight="1"/>
    <row r="9914" ht="12" customHeight="1"/>
    <row r="9915" ht="12" customHeight="1"/>
    <row r="9916" ht="12" customHeight="1"/>
    <row r="9917" ht="12" customHeight="1"/>
    <row r="9918" ht="12" customHeight="1"/>
    <row r="9919" ht="12" customHeight="1"/>
    <row r="9920" ht="12" customHeight="1"/>
    <row r="9921" ht="12" customHeight="1"/>
    <row r="9922" ht="12" customHeight="1"/>
    <row r="9923" ht="12" customHeight="1"/>
    <row r="9924" ht="12" customHeight="1"/>
    <row r="9925" ht="12" customHeight="1"/>
    <row r="9926" ht="12" customHeight="1"/>
    <row r="9927" ht="12" customHeight="1"/>
    <row r="9928" ht="12" customHeight="1"/>
    <row r="9929" ht="12" customHeight="1"/>
    <row r="9930" ht="12" customHeight="1"/>
    <row r="9931" ht="12" customHeight="1"/>
    <row r="9932" ht="12" customHeight="1"/>
    <row r="9933" ht="12" customHeight="1"/>
    <row r="9934" ht="12" customHeight="1"/>
    <row r="9935" ht="12" customHeight="1"/>
    <row r="9936" ht="12" customHeight="1"/>
    <row r="9937" ht="12" customHeight="1"/>
    <row r="9938" ht="12" customHeight="1"/>
    <row r="9939" ht="12" customHeight="1"/>
    <row r="9940" ht="12" customHeight="1"/>
    <row r="9941" ht="12" customHeight="1"/>
    <row r="9942" ht="12" customHeight="1"/>
    <row r="9943" ht="12" customHeight="1"/>
    <row r="9944" ht="12" customHeight="1"/>
    <row r="9945" ht="12" customHeight="1"/>
    <row r="9946" ht="12" customHeight="1"/>
    <row r="9947" ht="12" customHeight="1"/>
    <row r="9948" ht="12" customHeight="1"/>
    <row r="9949" ht="12" customHeight="1"/>
    <row r="9950" ht="12" customHeight="1"/>
    <row r="9951" ht="12" customHeight="1"/>
    <row r="9952" ht="12" customHeight="1"/>
    <row r="9953" ht="12" customHeight="1"/>
    <row r="9954" ht="12" customHeight="1"/>
    <row r="9955" ht="12" customHeight="1"/>
    <row r="9956" ht="12" customHeight="1"/>
    <row r="9957" ht="12" customHeight="1"/>
    <row r="9958" ht="12" customHeight="1"/>
    <row r="9959" ht="12" customHeight="1"/>
    <row r="9960" ht="12" customHeight="1"/>
    <row r="9961" ht="12" customHeight="1"/>
    <row r="9962" ht="12" customHeight="1"/>
    <row r="9963" ht="12" customHeight="1"/>
    <row r="9964" ht="12" customHeight="1"/>
    <row r="9965" ht="12" customHeight="1"/>
    <row r="9966" ht="12" customHeight="1"/>
    <row r="9967" ht="12" customHeight="1"/>
    <row r="9968" ht="12" customHeight="1"/>
    <row r="9969" ht="12" customHeight="1"/>
    <row r="9970" ht="12" customHeight="1"/>
    <row r="9971" ht="12" customHeight="1"/>
    <row r="9972" ht="12" customHeight="1"/>
    <row r="9973" ht="12" customHeight="1"/>
    <row r="9974" ht="12" customHeight="1"/>
    <row r="9975" ht="12" customHeight="1"/>
    <row r="9976" ht="12" customHeight="1"/>
    <row r="9977" ht="12" customHeight="1"/>
    <row r="9978" ht="12" customHeight="1"/>
    <row r="9979" ht="12" customHeight="1"/>
    <row r="9980" ht="12" customHeight="1"/>
    <row r="9981" ht="12" customHeight="1"/>
    <row r="9982" ht="12" customHeight="1"/>
    <row r="9983" ht="12" customHeight="1"/>
    <row r="9984" ht="12" customHeight="1"/>
    <row r="9985" ht="12" customHeight="1"/>
    <row r="9986" ht="12" customHeight="1"/>
    <row r="9987" ht="12" customHeight="1"/>
    <row r="9988" ht="12" customHeight="1"/>
    <row r="9989" ht="12" customHeight="1"/>
    <row r="9990" ht="12" customHeight="1"/>
    <row r="9991" ht="12" customHeight="1"/>
    <row r="9992" ht="12" customHeight="1"/>
    <row r="9993" ht="12" customHeight="1"/>
    <row r="9994" ht="12" customHeight="1"/>
    <row r="9995" ht="12" customHeight="1"/>
    <row r="9996" ht="12" customHeight="1"/>
    <row r="9997" ht="12" customHeight="1"/>
    <row r="9998" ht="12" customHeight="1"/>
    <row r="9999" ht="12" customHeight="1"/>
    <row r="10000" ht="12" customHeight="1"/>
    <row r="10001" ht="12" customHeight="1"/>
    <row r="10002" ht="12" customHeight="1"/>
    <row r="10003" ht="12" customHeight="1"/>
    <row r="10004" ht="12" customHeight="1"/>
    <row r="10005" ht="12" customHeight="1"/>
    <row r="10006" ht="12" customHeight="1"/>
    <row r="10007" ht="12" customHeight="1"/>
    <row r="10008" ht="12" customHeight="1"/>
    <row r="10009" ht="12" customHeight="1"/>
    <row r="10010" ht="12" customHeight="1"/>
    <row r="10011" ht="12" customHeight="1"/>
    <row r="10012" ht="12" customHeight="1"/>
    <row r="10013" ht="12" customHeight="1"/>
    <row r="10014" ht="12" customHeight="1"/>
    <row r="10015" ht="12" customHeight="1"/>
    <row r="10016" ht="12" customHeight="1"/>
    <row r="10017" ht="12" customHeight="1"/>
    <row r="10018" ht="12" customHeight="1"/>
    <row r="10019" ht="12" customHeight="1"/>
    <row r="10020" ht="12" customHeight="1"/>
    <row r="10021" ht="12" customHeight="1"/>
    <row r="10022" ht="12" customHeight="1"/>
    <row r="10023" ht="12" customHeight="1"/>
    <row r="10024" ht="12" customHeight="1"/>
    <row r="10025" ht="12" customHeight="1"/>
    <row r="10026" ht="12" customHeight="1"/>
    <row r="10027" ht="12" customHeight="1"/>
    <row r="10028" ht="12" customHeight="1"/>
    <row r="10029" ht="12" customHeight="1"/>
    <row r="10030" ht="12" customHeight="1"/>
    <row r="10031" ht="12" customHeight="1"/>
    <row r="10032" ht="12" customHeight="1"/>
    <row r="10033" ht="12" customHeight="1"/>
    <row r="10034" ht="12" customHeight="1"/>
    <row r="10035" ht="12" customHeight="1"/>
    <row r="10036" ht="12" customHeight="1"/>
    <row r="10037" ht="12" customHeight="1"/>
    <row r="10038" ht="12" customHeight="1"/>
    <row r="10039" ht="12" customHeight="1"/>
    <row r="10040" ht="12" customHeight="1"/>
    <row r="10041" ht="12" customHeight="1"/>
    <row r="10042" ht="12" customHeight="1"/>
    <row r="10043" ht="12" customHeight="1"/>
    <row r="10044" ht="12" customHeight="1"/>
    <row r="10045" ht="12" customHeight="1"/>
    <row r="10046" ht="12" customHeight="1"/>
    <row r="10047" ht="12" customHeight="1"/>
    <row r="10048" ht="12" customHeight="1"/>
    <row r="10049" ht="12" customHeight="1"/>
    <row r="10050" ht="12" customHeight="1"/>
    <row r="10051" ht="12" customHeight="1"/>
    <row r="10052" ht="12" customHeight="1"/>
    <row r="10053" ht="12" customHeight="1"/>
    <row r="10054" ht="12" customHeight="1"/>
    <row r="10055" ht="12" customHeight="1"/>
    <row r="10056" ht="12" customHeight="1"/>
    <row r="10057" ht="12" customHeight="1"/>
    <row r="10058" ht="12" customHeight="1"/>
    <row r="10059" ht="12" customHeight="1"/>
    <row r="10060" ht="12" customHeight="1"/>
    <row r="10061" ht="12" customHeight="1"/>
    <row r="10062" ht="12" customHeight="1"/>
    <row r="10063" ht="12" customHeight="1"/>
    <row r="10064" ht="12" customHeight="1"/>
    <row r="10065" ht="12" customHeight="1"/>
    <row r="10066" ht="12" customHeight="1"/>
    <row r="10067" ht="12" customHeight="1"/>
    <row r="10068" ht="12" customHeight="1"/>
    <row r="10069" ht="12" customHeight="1"/>
    <row r="10070" ht="12" customHeight="1"/>
    <row r="10071" ht="12" customHeight="1"/>
    <row r="10072" ht="12" customHeight="1"/>
    <row r="10073" ht="12" customHeight="1"/>
    <row r="10074" ht="12" customHeight="1"/>
    <row r="10075" ht="12" customHeight="1"/>
    <row r="10076" ht="12" customHeight="1"/>
    <row r="10077" ht="12" customHeight="1"/>
    <row r="10078" ht="12" customHeight="1"/>
    <row r="10079" ht="12" customHeight="1"/>
    <row r="10080" ht="12" customHeight="1"/>
    <row r="10081" ht="12" customHeight="1"/>
    <row r="10082" ht="12" customHeight="1"/>
    <row r="10083" ht="12" customHeight="1"/>
    <row r="10084" ht="12" customHeight="1"/>
    <row r="10085" ht="12" customHeight="1"/>
    <row r="10086" ht="12" customHeight="1"/>
    <row r="10087" ht="12" customHeight="1"/>
    <row r="10088" ht="12" customHeight="1"/>
    <row r="10089" ht="12" customHeight="1"/>
    <row r="10090" ht="12" customHeight="1"/>
    <row r="10091" ht="12" customHeight="1"/>
    <row r="10092" ht="12" customHeight="1"/>
    <row r="10093" ht="12" customHeight="1"/>
    <row r="10094" ht="12" customHeight="1"/>
    <row r="10095" ht="12" customHeight="1"/>
    <row r="10096" ht="12" customHeight="1"/>
    <row r="10097" ht="12" customHeight="1"/>
    <row r="10098" ht="12" customHeight="1"/>
    <row r="10099" ht="12" customHeight="1"/>
    <row r="10100" ht="12" customHeight="1"/>
    <row r="10101" ht="12" customHeight="1"/>
    <row r="10102" ht="12" customHeight="1"/>
    <row r="10103" ht="12" customHeight="1"/>
    <row r="10104" ht="12" customHeight="1"/>
    <row r="10105" ht="12" customHeight="1"/>
    <row r="10106" ht="12" customHeight="1"/>
    <row r="10107" ht="12" customHeight="1"/>
    <row r="10108" ht="12" customHeight="1"/>
    <row r="10109" ht="12" customHeight="1"/>
    <row r="10110" ht="12" customHeight="1"/>
    <row r="10111" ht="12" customHeight="1"/>
    <row r="10112" ht="12" customHeight="1"/>
    <row r="10113" ht="12" customHeight="1"/>
    <row r="10114" ht="12" customHeight="1"/>
    <row r="10115" ht="12" customHeight="1"/>
    <row r="10116" ht="12" customHeight="1"/>
    <row r="10117" ht="12" customHeight="1"/>
    <row r="10118" ht="12" customHeight="1"/>
    <row r="10119" ht="12" customHeight="1"/>
    <row r="10120" ht="12" customHeight="1"/>
    <row r="10121" ht="12" customHeight="1"/>
    <row r="10122" ht="12" customHeight="1"/>
    <row r="10123" ht="12" customHeight="1"/>
    <row r="10124" ht="12" customHeight="1"/>
    <row r="10125" ht="12" customHeight="1"/>
    <row r="10126" ht="12" customHeight="1"/>
    <row r="10127" ht="12" customHeight="1"/>
    <row r="10128" ht="12" customHeight="1"/>
    <row r="10129" ht="12" customHeight="1"/>
    <row r="10130" ht="12" customHeight="1"/>
    <row r="10131" ht="12" customHeight="1"/>
    <row r="10132" ht="12" customHeight="1"/>
    <row r="10133" ht="12" customHeight="1"/>
    <row r="10134" ht="12" customHeight="1"/>
    <row r="10135" ht="12" customHeight="1"/>
    <row r="10136" ht="12" customHeight="1"/>
    <row r="10137" ht="12" customHeight="1"/>
    <row r="10138" ht="12" customHeight="1"/>
    <row r="10139" ht="12" customHeight="1"/>
    <row r="10140" ht="12" customHeight="1"/>
    <row r="10141" ht="12" customHeight="1"/>
    <row r="10142" ht="12" customHeight="1"/>
    <row r="10143" ht="12" customHeight="1"/>
    <row r="10144" ht="12" customHeight="1"/>
    <row r="10145" ht="12" customHeight="1"/>
    <row r="10146" ht="12" customHeight="1"/>
    <row r="10147" ht="12" customHeight="1"/>
    <row r="10148" ht="12" customHeight="1"/>
    <row r="10149" ht="12" customHeight="1"/>
    <row r="10150" ht="12" customHeight="1"/>
    <row r="10151" ht="12" customHeight="1"/>
    <row r="10152" ht="12" customHeight="1"/>
    <row r="10153" ht="12" customHeight="1"/>
    <row r="10154" ht="12" customHeight="1"/>
    <row r="10155" ht="12" customHeight="1"/>
    <row r="10156" ht="12" customHeight="1"/>
    <row r="10157" ht="12" customHeight="1"/>
    <row r="10158" ht="12" customHeight="1"/>
    <row r="10159" ht="12" customHeight="1"/>
    <row r="10160" ht="12" customHeight="1"/>
    <row r="10161" ht="12" customHeight="1"/>
    <row r="10162" ht="12" customHeight="1"/>
    <row r="10163" ht="12" customHeight="1"/>
    <row r="10164" ht="12" customHeight="1"/>
    <row r="10165" ht="12" customHeight="1"/>
    <row r="10166" ht="12" customHeight="1"/>
    <row r="10167" ht="12" customHeight="1"/>
    <row r="10168" ht="12" customHeight="1"/>
    <row r="10169" ht="12" customHeight="1"/>
    <row r="10170" ht="12" customHeight="1"/>
    <row r="10171" ht="12" customHeight="1"/>
    <row r="10172" ht="12" customHeight="1"/>
    <row r="10173" ht="12" customHeight="1"/>
    <row r="10174" ht="12" customHeight="1"/>
    <row r="10175" ht="12" customHeight="1"/>
    <row r="10176" ht="12" customHeight="1"/>
    <row r="10177" ht="12" customHeight="1"/>
    <row r="10178" ht="12" customHeight="1"/>
    <row r="10179" ht="12" customHeight="1"/>
    <row r="10180" ht="12" customHeight="1"/>
    <row r="10181" ht="12" customHeight="1"/>
    <row r="10182" ht="12" customHeight="1"/>
    <row r="10183" ht="12" customHeight="1"/>
    <row r="10184" ht="12" customHeight="1"/>
    <row r="10185" ht="12" customHeight="1"/>
    <row r="10186" ht="12" customHeight="1"/>
    <row r="10187" ht="12" customHeight="1"/>
    <row r="10188" ht="12" customHeight="1"/>
    <row r="10189" ht="12" customHeight="1"/>
    <row r="10190" ht="12" customHeight="1"/>
    <row r="10191" ht="12" customHeight="1"/>
    <row r="10192" ht="12" customHeight="1"/>
    <row r="10193" ht="12" customHeight="1"/>
    <row r="10194" ht="12" customHeight="1"/>
    <row r="10195" ht="12" customHeight="1"/>
    <row r="10196" ht="12" customHeight="1"/>
    <row r="10197" ht="12" customHeight="1"/>
    <row r="10198" ht="12" customHeight="1"/>
    <row r="10199" ht="12" customHeight="1"/>
    <row r="10200" ht="12" customHeight="1"/>
    <row r="10201" ht="12" customHeight="1"/>
    <row r="10202" ht="12" customHeight="1"/>
    <row r="10203" ht="12" customHeight="1"/>
    <row r="10204" ht="12" customHeight="1"/>
    <row r="10205" ht="12" customHeight="1"/>
    <row r="10206" ht="12" customHeight="1"/>
    <row r="10207" ht="12" customHeight="1"/>
    <row r="10208" ht="12" customHeight="1"/>
    <row r="10209" ht="12" customHeight="1"/>
    <row r="10210" ht="12" customHeight="1"/>
    <row r="10211" ht="12" customHeight="1"/>
    <row r="10212" ht="12" customHeight="1"/>
    <row r="10213" ht="12" customHeight="1"/>
    <row r="10214" ht="12" customHeight="1"/>
    <row r="10215" ht="12" customHeight="1"/>
    <row r="10216" ht="12" customHeight="1"/>
    <row r="10217" ht="12" customHeight="1"/>
    <row r="10218" ht="12" customHeight="1"/>
    <row r="10219" ht="12" customHeight="1"/>
    <row r="10220" ht="12" customHeight="1"/>
    <row r="10221" ht="12" customHeight="1"/>
    <row r="10222" ht="12" customHeight="1"/>
    <row r="10223" ht="12" customHeight="1"/>
    <row r="10224" ht="12" customHeight="1"/>
    <row r="10225" ht="12" customHeight="1"/>
    <row r="10226" ht="12" customHeight="1"/>
    <row r="10227" ht="12" customHeight="1"/>
    <row r="10228" ht="12" customHeight="1"/>
    <row r="10229" ht="12" customHeight="1"/>
    <row r="10230" ht="12" customHeight="1"/>
    <row r="10231" ht="12" customHeight="1"/>
    <row r="10232" ht="12" customHeight="1"/>
    <row r="10233" ht="12" customHeight="1"/>
    <row r="10234" ht="12" customHeight="1"/>
    <row r="10235" ht="12" customHeight="1"/>
    <row r="10236" ht="12" customHeight="1"/>
    <row r="10237" ht="12" customHeight="1"/>
    <row r="10238" ht="12" customHeight="1"/>
    <row r="10239" ht="12" customHeight="1"/>
    <row r="10240" ht="12" customHeight="1"/>
    <row r="10241" ht="12" customHeight="1"/>
    <row r="10242" ht="12" customHeight="1"/>
    <row r="10243" ht="12" customHeight="1"/>
    <row r="10244" ht="12" customHeight="1"/>
    <row r="10245" ht="12" customHeight="1"/>
    <row r="10246" ht="12" customHeight="1"/>
    <row r="10247" ht="12" customHeight="1"/>
    <row r="10248" ht="12" customHeight="1"/>
    <row r="10249" ht="12" customHeight="1"/>
    <row r="10250" ht="12" customHeight="1"/>
    <row r="10251" ht="12" customHeight="1"/>
    <row r="10252" ht="12" customHeight="1"/>
    <row r="10253" ht="12" customHeight="1"/>
    <row r="10254" ht="12" customHeight="1"/>
    <row r="10255" ht="12" customHeight="1"/>
    <row r="10256" ht="12" customHeight="1"/>
    <row r="10257" ht="12" customHeight="1"/>
    <row r="10258" ht="12" customHeight="1"/>
    <row r="10259" ht="12" customHeight="1"/>
    <row r="10260" ht="12" customHeight="1"/>
    <row r="10261" ht="12" customHeight="1"/>
    <row r="10262" ht="12" customHeight="1"/>
    <row r="10263" ht="12" customHeight="1"/>
    <row r="10264" ht="12" customHeight="1"/>
    <row r="10265" ht="12" customHeight="1"/>
    <row r="10266" ht="12" customHeight="1"/>
    <row r="10267" ht="12" customHeight="1"/>
    <row r="10268" ht="12" customHeight="1"/>
    <row r="10269" ht="12" customHeight="1"/>
    <row r="10270" ht="12" customHeight="1"/>
    <row r="10271" ht="12" customHeight="1"/>
    <row r="10272" ht="12" customHeight="1"/>
    <row r="10273" ht="12" customHeight="1"/>
    <row r="10274" ht="12" customHeight="1"/>
    <row r="10275" ht="12" customHeight="1"/>
    <row r="10276" ht="12" customHeight="1"/>
    <row r="10277" ht="12" customHeight="1"/>
    <row r="10278" ht="12" customHeight="1"/>
    <row r="10279" ht="12" customHeight="1"/>
    <row r="10280" ht="12" customHeight="1"/>
    <row r="10281" ht="12" customHeight="1"/>
    <row r="10282" ht="12" customHeight="1"/>
    <row r="10283" ht="12" customHeight="1"/>
    <row r="10284" ht="12" customHeight="1"/>
    <row r="10285" ht="12" customHeight="1"/>
    <row r="10286" ht="12" customHeight="1"/>
    <row r="10287" ht="12" customHeight="1"/>
    <row r="10288" ht="12" customHeight="1"/>
    <row r="10289" ht="12" customHeight="1"/>
    <row r="10290" ht="12" customHeight="1"/>
    <row r="10291" ht="12" customHeight="1"/>
    <row r="10292" ht="12" customHeight="1"/>
    <row r="10293" ht="12" customHeight="1"/>
    <row r="10294" ht="12" customHeight="1"/>
    <row r="10295" ht="12" customHeight="1"/>
    <row r="10296" ht="12" customHeight="1"/>
    <row r="10297" ht="12" customHeight="1"/>
    <row r="10298" ht="12" customHeight="1"/>
    <row r="10299" ht="12" customHeight="1"/>
    <row r="10300" ht="12" customHeight="1"/>
    <row r="10301" ht="12" customHeight="1"/>
    <row r="10302" ht="12" customHeight="1"/>
    <row r="10303" ht="12" customHeight="1"/>
    <row r="10304" ht="12" customHeight="1"/>
    <row r="10305" ht="12" customHeight="1"/>
    <row r="10306" ht="12" customHeight="1"/>
    <row r="10307" ht="12" customHeight="1"/>
    <row r="10308" ht="12" customHeight="1"/>
    <row r="10309" ht="12" customHeight="1"/>
    <row r="10310" ht="12" customHeight="1"/>
    <row r="10311" ht="12" customHeight="1"/>
    <row r="10312" ht="12" customHeight="1"/>
    <row r="10313" ht="12" customHeight="1"/>
    <row r="10314" ht="12" customHeight="1"/>
    <row r="10315" ht="12" customHeight="1"/>
    <row r="10316" ht="12" customHeight="1"/>
    <row r="10317" ht="12" customHeight="1"/>
    <row r="10318" ht="12" customHeight="1"/>
    <row r="10319" ht="12" customHeight="1"/>
    <row r="10320" ht="12" customHeight="1"/>
    <row r="10321" ht="12" customHeight="1"/>
    <row r="10322" ht="12" customHeight="1"/>
    <row r="10323" ht="12" customHeight="1"/>
    <row r="10324" ht="12" customHeight="1"/>
    <row r="10325" ht="12" customHeight="1"/>
    <row r="10326" ht="12" customHeight="1"/>
    <row r="10327" ht="12" customHeight="1"/>
    <row r="10328" ht="12" customHeight="1"/>
    <row r="10329" ht="12" customHeight="1"/>
    <row r="10330" ht="12" customHeight="1"/>
    <row r="10331" ht="12" customHeight="1"/>
    <row r="10332" ht="12" customHeight="1"/>
    <row r="10333" ht="12" customHeight="1"/>
    <row r="10334" ht="12" customHeight="1"/>
    <row r="10335" ht="12" customHeight="1"/>
    <row r="10336" ht="12" customHeight="1"/>
    <row r="10337" ht="12" customHeight="1"/>
    <row r="10338" ht="12" customHeight="1"/>
    <row r="10339" ht="12" customHeight="1"/>
    <row r="10340" ht="12" customHeight="1"/>
    <row r="10341" ht="12" customHeight="1"/>
    <row r="10342" ht="12" customHeight="1"/>
    <row r="10343" ht="12" customHeight="1"/>
    <row r="10344" ht="12" customHeight="1"/>
    <row r="10345" ht="12" customHeight="1"/>
    <row r="10346" ht="12" customHeight="1"/>
    <row r="10347" ht="12" customHeight="1"/>
    <row r="10348" ht="12" customHeight="1"/>
    <row r="10349" ht="12" customHeight="1"/>
    <row r="10350" ht="12" customHeight="1"/>
    <row r="10351" ht="12" customHeight="1"/>
    <row r="10352" ht="12" customHeight="1"/>
    <row r="10353" ht="12" customHeight="1"/>
    <row r="10354" ht="12" customHeight="1"/>
    <row r="10355" ht="12" customHeight="1"/>
    <row r="10356" ht="12" customHeight="1"/>
    <row r="10357" ht="12" customHeight="1"/>
    <row r="10358" ht="12" customHeight="1"/>
    <row r="10359" ht="12" customHeight="1"/>
    <row r="10360" ht="12" customHeight="1"/>
    <row r="10361" ht="12" customHeight="1"/>
    <row r="10362" ht="12" customHeight="1"/>
    <row r="10363" ht="12" customHeight="1"/>
    <row r="10364" ht="12" customHeight="1"/>
    <row r="10365" ht="12" customHeight="1"/>
    <row r="10366" ht="12" customHeight="1"/>
    <row r="10367" ht="12" customHeight="1"/>
    <row r="10368" ht="12" customHeight="1"/>
    <row r="10369" ht="12" customHeight="1"/>
    <row r="10370" ht="12" customHeight="1"/>
    <row r="10371" ht="12" customHeight="1"/>
    <row r="10372" ht="12" customHeight="1"/>
    <row r="10373" ht="12" customHeight="1"/>
    <row r="10374" ht="12" customHeight="1"/>
    <row r="10375" ht="12" customHeight="1"/>
    <row r="10376" ht="12" customHeight="1"/>
    <row r="10377" ht="12" customHeight="1"/>
    <row r="10378" ht="12" customHeight="1"/>
    <row r="10379" ht="12" customHeight="1"/>
    <row r="10380" ht="12" customHeight="1"/>
    <row r="10381" ht="12" customHeight="1"/>
    <row r="10382" ht="12" customHeight="1"/>
    <row r="10383" ht="12" customHeight="1"/>
    <row r="10384" ht="12" customHeight="1"/>
    <row r="10385" ht="12" customHeight="1"/>
    <row r="10386" ht="12" customHeight="1"/>
    <row r="10387" ht="12" customHeight="1"/>
    <row r="10388" ht="12" customHeight="1"/>
    <row r="10389" ht="12" customHeight="1"/>
    <row r="10390" ht="12" customHeight="1"/>
    <row r="10391" ht="12" customHeight="1"/>
    <row r="10392" ht="12" customHeight="1"/>
    <row r="10393" ht="12" customHeight="1"/>
    <row r="10394" ht="12" customHeight="1"/>
    <row r="10395" ht="12" customHeight="1"/>
    <row r="10396" ht="12" customHeight="1"/>
    <row r="10397" ht="12" customHeight="1"/>
    <row r="10398" ht="12" customHeight="1"/>
    <row r="10399" ht="12" customHeight="1"/>
    <row r="10400" ht="12" customHeight="1"/>
    <row r="10401" ht="12" customHeight="1"/>
    <row r="10402" ht="12" customHeight="1"/>
    <row r="10403" ht="12" customHeight="1"/>
    <row r="10404" ht="12" customHeight="1"/>
    <row r="10405" ht="12" customHeight="1"/>
    <row r="10406" ht="12" customHeight="1"/>
    <row r="10407" ht="12" customHeight="1"/>
    <row r="10408" ht="12" customHeight="1"/>
    <row r="10409" ht="12" customHeight="1"/>
    <row r="10410" ht="12" customHeight="1"/>
    <row r="10411" ht="12" customHeight="1"/>
    <row r="10412" ht="12" customHeight="1"/>
    <row r="10413" ht="12" customHeight="1"/>
    <row r="10414" ht="12" customHeight="1"/>
    <row r="10415" ht="12" customHeight="1"/>
    <row r="10416" ht="12" customHeight="1"/>
    <row r="10417" ht="12" customHeight="1"/>
    <row r="10418" ht="12" customHeight="1"/>
    <row r="10419" ht="12" customHeight="1"/>
    <row r="10420" ht="12" customHeight="1"/>
    <row r="10421" ht="12" customHeight="1"/>
    <row r="10422" ht="12" customHeight="1"/>
    <row r="10423" ht="12" customHeight="1"/>
    <row r="10424" ht="12" customHeight="1"/>
    <row r="10425" ht="12" customHeight="1"/>
    <row r="10426" ht="12" customHeight="1"/>
    <row r="10427" ht="12" customHeight="1"/>
    <row r="10428" ht="12" customHeight="1"/>
    <row r="10429" ht="12" customHeight="1"/>
    <row r="10430" ht="12" customHeight="1"/>
    <row r="10431" ht="12" customHeight="1"/>
    <row r="10432" ht="12" customHeight="1"/>
    <row r="10433" ht="12" customHeight="1"/>
    <row r="10434" ht="12" customHeight="1"/>
    <row r="10435" ht="12" customHeight="1"/>
    <row r="10436" ht="12" customHeight="1"/>
    <row r="10437" ht="12" customHeight="1"/>
    <row r="10438" ht="12" customHeight="1"/>
    <row r="10439" ht="12" customHeight="1"/>
    <row r="10440" ht="12" customHeight="1"/>
    <row r="10441" ht="12" customHeight="1"/>
    <row r="10442" ht="12" customHeight="1"/>
    <row r="10443" ht="12" customHeight="1"/>
    <row r="10444" ht="12" customHeight="1"/>
    <row r="10445" ht="12" customHeight="1"/>
    <row r="10446" ht="12" customHeight="1"/>
    <row r="10447" ht="12" customHeight="1"/>
    <row r="10448" ht="12" customHeight="1"/>
    <row r="10449" ht="12" customHeight="1"/>
    <row r="10450" ht="12" customHeight="1"/>
    <row r="10451" ht="12" customHeight="1"/>
    <row r="10452" ht="12" customHeight="1"/>
    <row r="10453" ht="12" customHeight="1"/>
    <row r="10454" ht="12" customHeight="1"/>
    <row r="10455" ht="12" customHeight="1"/>
    <row r="10456" ht="12" customHeight="1"/>
    <row r="10457" ht="12" customHeight="1"/>
    <row r="10458" ht="12" customHeight="1"/>
    <row r="10459" ht="12" customHeight="1"/>
    <row r="10460" ht="12" customHeight="1"/>
    <row r="10461" ht="12" customHeight="1"/>
    <row r="10462" ht="12" customHeight="1"/>
    <row r="10463" ht="12" customHeight="1"/>
    <row r="10464" ht="12" customHeight="1"/>
    <row r="10465" ht="12" customHeight="1"/>
    <row r="10466" ht="12" customHeight="1"/>
    <row r="10467" ht="12" customHeight="1"/>
    <row r="10468" ht="12" customHeight="1"/>
    <row r="10469" ht="12" customHeight="1"/>
    <row r="10470" ht="12" customHeight="1"/>
    <row r="10471" ht="12" customHeight="1"/>
    <row r="10472" ht="12" customHeight="1"/>
    <row r="10473" ht="12" customHeight="1"/>
    <row r="10474" ht="12" customHeight="1"/>
    <row r="10475" ht="12" customHeight="1"/>
    <row r="10476" ht="12" customHeight="1"/>
    <row r="10477" ht="12" customHeight="1"/>
    <row r="10478" ht="12" customHeight="1"/>
    <row r="10479" ht="12" customHeight="1"/>
    <row r="10480" ht="12" customHeight="1"/>
    <row r="10481" ht="12" customHeight="1"/>
    <row r="10482" ht="12" customHeight="1"/>
    <row r="10483" ht="12" customHeight="1"/>
    <row r="10484" ht="12" customHeight="1"/>
    <row r="10485" ht="12" customHeight="1"/>
    <row r="10486" ht="12" customHeight="1"/>
    <row r="10487" ht="12" customHeight="1"/>
    <row r="10488" ht="12" customHeight="1"/>
    <row r="10489" ht="12" customHeight="1"/>
    <row r="10490" ht="12" customHeight="1"/>
    <row r="10491" ht="12" customHeight="1"/>
    <row r="10492" ht="12" customHeight="1"/>
    <row r="10493" ht="12" customHeight="1"/>
    <row r="10494" ht="12" customHeight="1"/>
    <row r="10495" ht="12" customHeight="1"/>
    <row r="10496" ht="12" customHeight="1"/>
    <row r="10497" ht="12" customHeight="1"/>
    <row r="10498" ht="12" customHeight="1"/>
    <row r="10499" ht="12" customHeight="1"/>
    <row r="10500" ht="12" customHeight="1"/>
    <row r="10501" ht="12" customHeight="1"/>
    <row r="10502" ht="12" customHeight="1"/>
    <row r="10503" ht="12" customHeight="1"/>
    <row r="10504" ht="12" customHeight="1"/>
    <row r="10505" ht="12" customHeight="1"/>
    <row r="10506" ht="12" customHeight="1"/>
    <row r="10507" ht="12" customHeight="1"/>
    <row r="10508" ht="12" customHeight="1"/>
    <row r="10509" ht="12" customHeight="1"/>
    <row r="10510" ht="12" customHeight="1"/>
    <row r="10511" ht="12" customHeight="1"/>
    <row r="10512" ht="12" customHeight="1"/>
    <row r="10513" ht="12" customHeight="1"/>
    <row r="10514" ht="12" customHeight="1"/>
    <row r="10515" ht="12" customHeight="1"/>
    <row r="10516" ht="12" customHeight="1"/>
    <row r="10517" ht="12" customHeight="1"/>
    <row r="10518" ht="12" customHeight="1"/>
    <row r="10519" ht="12" customHeight="1"/>
    <row r="10520" ht="12" customHeight="1"/>
    <row r="10521" ht="12" customHeight="1"/>
    <row r="10522" ht="12" customHeight="1"/>
    <row r="10523" ht="12" customHeight="1"/>
    <row r="10524" ht="12" customHeight="1"/>
    <row r="10525" ht="12" customHeight="1"/>
    <row r="10526" ht="12" customHeight="1"/>
    <row r="10527" ht="12" customHeight="1"/>
    <row r="10528" ht="12" customHeight="1"/>
    <row r="10529" ht="12" customHeight="1"/>
    <row r="10530" ht="12" customHeight="1"/>
    <row r="10531" ht="12" customHeight="1"/>
    <row r="10532" ht="12" customHeight="1"/>
    <row r="10533" ht="12" customHeight="1"/>
    <row r="10534" ht="12" customHeight="1"/>
    <row r="10535" ht="12" customHeight="1"/>
    <row r="10536" ht="12" customHeight="1"/>
    <row r="10537" ht="12" customHeight="1"/>
    <row r="10538" ht="12" customHeight="1"/>
    <row r="10539" ht="12" customHeight="1"/>
    <row r="10540" ht="12" customHeight="1"/>
    <row r="10541" ht="12" customHeight="1"/>
    <row r="10542" ht="12" customHeight="1"/>
    <row r="10543" ht="12" customHeight="1"/>
    <row r="10544" ht="12" customHeight="1"/>
    <row r="10545" ht="12" customHeight="1"/>
    <row r="10546" ht="12" customHeight="1"/>
    <row r="10547" ht="12" customHeight="1"/>
    <row r="10548" ht="12" customHeight="1"/>
    <row r="10549" ht="12" customHeight="1"/>
    <row r="10550" ht="12" customHeight="1"/>
    <row r="10551" ht="12" customHeight="1"/>
    <row r="10552" ht="12" customHeight="1"/>
    <row r="10553" ht="12" customHeight="1"/>
    <row r="10554" ht="12" customHeight="1"/>
    <row r="10555" ht="12" customHeight="1"/>
    <row r="10556" ht="12" customHeight="1"/>
    <row r="10557" ht="12" customHeight="1"/>
    <row r="10558" ht="12" customHeight="1"/>
    <row r="10559" ht="12" customHeight="1"/>
    <row r="10560" ht="12" customHeight="1"/>
    <row r="10561" ht="12" customHeight="1"/>
    <row r="10562" ht="12" customHeight="1"/>
    <row r="10563" ht="12" customHeight="1"/>
    <row r="10564" ht="12" customHeight="1"/>
    <row r="10565" ht="12" customHeight="1"/>
    <row r="10566" ht="12" customHeight="1"/>
    <row r="10567" ht="12" customHeight="1"/>
    <row r="10568" ht="12" customHeight="1"/>
    <row r="10569" ht="12" customHeight="1"/>
    <row r="10570" ht="12" customHeight="1"/>
    <row r="10571" ht="12" customHeight="1"/>
    <row r="10572" ht="12" customHeight="1"/>
    <row r="10573" ht="12" customHeight="1"/>
    <row r="10574" ht="12" customHeight="1"/>
    <row r="10575" ht="12" customHeight="1"/>
    <row r="10576" ht="12" customHeight="1"/>
    <row r="10577" ht="12" customHeight="1"/>
    <row r="10578" ht="12" customHeight="1"/>
    <row r="10579" ht="12" customHeight="1"/>
    <row r="10580" ht="12" customHeight="1"/>
    <row r="10581" ht="12" customHeight="1"/>
    <row r="10582" ht="12" customHeight="1"/>
    <row r="10583" ht="12" customHeight="1"/>
    <row r="10584" ht="12" customHeight="1"/>
    <row r="10585" ht="12" customHeight="1"/>
    <row r="10586" ht="12" customHeight="1"/>
    <row r="10587" ht="12" customHeight="1"/>
    <row r="10588" ht="12" customHeight="1"/>
    <row r="10589" ht="12" customHeight="1"/>
    <row r="10590" ht="12" customHeight="1"/>
    <row r="10591" ht="12" customHeight="1"/>
    <row r="10592" ht="12" customHeight="1"/>
    <row r="10593" ht="12" customHeight="1"/>
    <row r="10594" ht="12" customHeight="1"/>
    <row r="10595" ht="12" customHeight="1"/>
    <row r="10596" ht="12" customHeight="1"/>
    <row r="10597" ht="12" customHeight="1"/>
    <row r="10598" ht="12" customHeight="1"/>
    <row r="10599" ht="12" customHeight="1"/>
    <row r="10600" ht="12" customHeight="1"/>
    <row r="10601" ht="12" customHeight="1"/>
    <row r="10602" ht="12" customHeight="1"/>
    <row r="10603" ht="12" customHeight="1"/>
    <row r="10604" ht="12" customHeight="1"/>
    <row r="10605" ht="12" customHeight="1"/>
    <row r="10606" ht="12" customHeight="1"/>
    <row r="10607" ht="12" customHeight="1"/>
    <row r="10608" ht="12" customHeight="1"/>
    <row r="10609" ht="12" customHeight="1"/>
    <row r="10610" ht="12" customHeight="1"/>
    <row r="10611" ht="12" customHeight="1"/>
    <row r="10612" ht="12" customHeight="1"/>
    <row r="10613" ht="12" customHeight="1"/>
    <row r="10614" ht="12" customHeight="1"/>
    <row r="10615" ht="12" customHeight="1"/>
    <row r="10616" ht="12" customHeight="1"/>
    <row r="10617" ht="12" customHeight="1"/>
    <row r="10618" ht="12" customHeight="1"/>
    <row r="10619" ht="12" customHeight="1"/>
    <row r="10620" ht="12" customHeight="1"/>
    <row r="10621" ht="12" customHeight="1"/>
    <row r="10622" ht="12" customHeight="1"/>
    <row r="10623" ht="12" customHeight="1"/>
    <row r="10624" ht="12" customHeight="1"/>
    <row r="10625" ht="12" customHeight="1"/>
    <row r="10626" ht="12" customHeight="1"/>
    <row r="10627" ht="12" customHeight="1"/>
    <row r="10628" ht="12" customHeight="1"/>
    <row r="10629" ht="12" customHeight="1"/>
    <row r="10630" ht="12" customHeight="1"/>
    <row r="10631" ht="12" customHeight="1"/>
    <row r="10632" ht="12" customHeight="1"/>
    <row r="10633" ht="12" customHeight="1"/>
    <row r="10634" ht="12" customHeight="1"/>
    <row r="10635" ht="12" customHeight="1"/>
    <row r="10636" ht="12" customHeight="1"/>
    <row r="10637" ht="12" customHeight="1"/>
    <row r="10638" ht="12" customHeight="1"/>
    <row r="10639" ht="12" customHeight="1"/>
    <row r="10640" ht="12" customHeight="1"/>
    <row r="10641" ht="12" customHeight="1"/>
    <row r="10642" ht="12" customHeight="1"/>
    <row r="10643" ht="12" customHeight="1"/>
    <row r="10644" ht="12" customHeight="1"/>
    <row r="10645" ht="12" customHeight="1"/>
    <row r="10646" ht="12" customHeight="1"/>
    <row r="10647" ht="12" customHeight="1"/>
    <row r="10648" ht="12" customHeight="1"/>
    <row r="10649" ht="12" customHeight="1"/>
    <row r="10650" ht="12" customHeight="1"/>
    <row r="10651" ht="12" customHeight="1"/>
    <row r="10652" ht="12" customHeight="1"/>
    <row r="10653" ht="12" customHeight="1"/>
    <row r="10654" ht="12" customHeight="1"/>
    <row r="10655" ht="12" customHeight="1"/>
    <row r="10656" ht="12" customHeight="1"/>
    <row r="10657" ht="12" customHeight="1"/>
    <row r="10658" ht="12" customHeight="1"/>
    <row r="10659" ht="12" customHeight="1"/>
    <row r="10660" ht="12" customHeight="1"/>
    <row r="10661" ht="12" customHeight="1"/>
    <row r="10662" ht="12" customHeight="1"/>
    <row r="10663" ht="12" customHeight="1"/>
    <row r="10664" ht="12" customHeight="1"/>
    <row r="10665" ht="12" customHeight="1"/>
    <row r="10666" ht="12" customHeight="1"/>
    <row r="10667" ht="12" customHeight="1"/>
    <row r="10668" ht="12" customHeight="1"/>
    <row r="10669" ht="12" customHeight="1"/>
    <row r="10670" ht="12" customHeight="1"/>
    <row r="10671" ht="12" customHeight="1"/>
    <row r="10672" ht="12" customHeight="1"/>
    <row r="10673" ht="12" customHeight="1"/>
    <row r="10674" ht="12" customHeight="1"/>
    <row r="10675" ht="12" customHeight="1"/>
    <row r="10676" ht="12" customHeight="1"/>
    <row r="10677" ht="12" customHeight="1"/>
    <row r="10678" ht="12" customHeight="1"/>
    <row r="10679" ht="12" customHeight="1"/>
    <row r="10680" ht="12" customHeight="1"/>
    <row r="10681" ht="12" customHeight="1"/>
    <row r="10682" ht="12" customHeight="1"/>
    <row r="10683" ht="12" customHeight="1"/>
    <row r="10684" ht="12" customHeight="1"/>
    <row r="10685" ht="12" customHeight="1"/>
    <row r="10686" ht="12" customHeight="1"/>
    <row r="10687" ht="12" customHeight="1"/>
    <row r="10688" ht="12" customHeight="1"/>
    <row r="10689" ht="12" customHeight="1"/>
    <row r="10690" ht="12" customHeight="1"/>
    <row r="10691" ht="12" customHeight="1"/>
    <row r="10692" ht="12" customHeight="1"/>
    <row r="10693" ht="12" customHeight="1"/>
    <row r="10694" ht="12" customHeight="1"/>
    <row r="10695" ht="12" customHeight="1"/>
    <row r="10696" ht="12" customHeight="1"/>
    <row r="10697" ht="12" customHeight="1"/>
    <row r="10698" ht="12" customHeight="1"/>
    <row r="10699" ht="12" customHeight="1"/>
    <row r="10700" ht="12" customHeight="1"/>
    <row r="10701" ht="12" customHeight="1"/>
    <row r="10702" ht="12" customHeight="1"/>
    <row r="10703" ht="12" customHeight="1"/>
    <row r="10704" ht="12" customHeight="1"/>
    <row r="10705" ht="12" customHeight="1"/>
    <row r="10706" ht="12" customHeight="1"/>
    <row r="10707" ht="12" customHeight="1"/>
    <row r="10708" ht="12" customHeight="1"/>
    <row r="10709" ht="12" customHeight="1"/>
    <row r="10710" ht="12" customHeight="1"/>
    <row r="10711" ht="12" customHeight="1"/>
    <row r="10712" ht="12" customHeight="1"/>
    <row r="10713" ht="12" customHeight="1"/>
    <row r="10714" ht="12" customHeight="1"/>
    <row r="10715" ht="12" customHeight="1"/>
    <row r="10716" ht="12" customHeight="1"/>
    <row r="10717" ht="12" customHeight="1"/>
    <row r="10718" ht="12" customHeight="1"/>
    <row r="10719" ht="12" customHeight="1"/>
    <row r="10720" ht="12" customHeight="1"/>
    <row r="10721" ht="12" customHeight="1"/>
    <row r="10722" ht="12" customHeight="1"/>
    <row r="10723" ht="12" customHeight="1"/>
    <row r="10724" ht="12" customHeight="1"/>
    <row r="10725" ht="12" customHeight="1"/>
    <row r="10726" ht="12" customHeight="1"/>
    <row r="10727" ht="12" customHeight="1"/>
    <row r="10728" ht="12" customHeight="1"/>
    <row r="10729" ht="12" customHeight="1"/>
    <row r="10730" ht="12" customHeight="1"/>
    <row r="10731" ht="12" customHeight="1"/>
    <row r="10732" ht="12" customHeight="1"/>
    <row r="10733" ht="12" customHeight="1"/>
    <row r="10734" ht="12" customHeight="1"/>
    <row r="10735" ht="12" customHeight="1"/>
    <row r="10736" ht="12" customHeight="1"/>
    <row r="10737" ht="12" customHeight="1"/>
    <row r="10738" ht="12" customHeight="1"/>
    <row r="10739" ht="12" customHeight="1"/>
    <row r="10740" ht="12" customHeight="1"/>
    <row r="10741" ht="12" customHeight="1"/>
    <row r="10742" ht="12" customHeight="1"/>
    <row r="10743" ht="12" customHeight="1"/>
    <row r="10744" ht="12" customHeight="1"/>
    <row r="10745" ht="12" customHeight="1"/>
    <row r="10746" ht="12" customHeight="1"/>
    <row r="10747" ht="12" customHeight="1"/>
    <row r="10748" ht="12" customHeight="1"/>
    <row r="10749" ht="12" customHeight="1"/>
    <row r="10750" ht="12" customHeight="1"/>
    <row r="10751" ht="12" customHeight="1"/>
    <row r="10752" ht="12" customHeight="1"/>
    <row r="10753" ht="12" customHeight="1"/>
    <row r="10754" ht="12" customHeight="1"/>
    <row r="10755" ht="12" customHeight="1"/>
    <row r="10756" ht="12" customHeight="1"/>
    <row r="10757" ht="12" customHeight="1"/>
    <row r="10758" ht="12" customHeight="1"/>
    <row r="10759" ht="12" customHeight="1"/>
    <row r="10760" ht="12" customHeight="1"/>
    <row r="10761" ht="12" customHeight="1"/>
    <row r="10762" ht="12" customHeight="1"/>
    <row r="10763" ht="12" customHeight="1"/>
    <row r="10764" ht="12" customHeight="1"/>
    <row r="10765" ht="12" customHeight="1"/>
    <row r="10766" ht="12" customHeight="1"/>
    <row r="10767" ht="12" customHeight="1"/>
    <row r="10768" ht="12" customHeight="1"/>
    <row r="10769" ht="12" customHeight="1"/>
    <row r="10770" ht="12" customHeight="1"/>
    <row r="10771" ht="12" customHeight="1"/>
    <row r="10772" ht="12" customHeight="1"/>
    <row r="10773" ht="12" customHeight="1"/>
    <row r="10774" ht="12" customHeight="1"/>
    <row r="10775" ht="12" customHeight="1"/>
    <row r="10776" ht="12" customHeight="1"/>
    <row r="10777" ht="12" customHeight="1"/>
    <row r="10778" ht="12" customHeight="1"/>
    <row r="10779" ht="12" customHeight="1"/>
    <row r="10780" ht="12" customHeight="1"/>
    <row r="10781" ht="12" customHeight="1"/>
    <row r="10782" ht="12" customHeight="1"/>
    <row r="10783" ht="12" customHeight="1"/>
    <row r="10784" ht="12" customHeight="1"/>
    <row r="10785" ht="12" customHeight="1"/>
    <row r="10786" ht="12" customHeight="1"/>
    <row r="10787" ht="12" customHeight="1"/>
    <row r="10788" ht="12" customHeight="1"/>
    <row r="10789" ht="12" customHeight="1"/>
    <row r="10790" ht="12" customHeight="1"/>
    <row r="10791" ht="12" customHeight="1"/>
    <row r="10792" ht="12" customHeight="1"/>
    <row r="10793" ht="12" customHeight="1"/>
    <row r="10794" ht="12" customHeight="1"/>
    <row r="10795" ht="12" customHeight="1"/>
    <row r="10796" ht="12" customHeight="1"/>
    <row r="10797" ht="12" customHeight="1"/>
    <row r="10798" ht="12" customHeight="1"/>
    <row r="10799" ht="12" customHeight="1"/>
    <row r="10800" ht="12" customHeight="1"/>
    <row r="10801" ht="12" customHeight="1"/>
    <row r="10802" ht="12" customHeight="1"/>
    <row r="10803" ht="12" customHeight="1"/>
    <row r="10804" ht="12" customHeight="1"/>
    <row r="10805" ht="12" customHeight="1"/>
    <row r="10806" ht="12" customHeight="1"/>
    <row r="10807" ht="12" customHeight="1"/>
    <row r="10808" ht="12" customHeight="1"/>
    <row r="10809" ht="12" customHeight="1"/>
    <row r="10810" ht="12" customHeight="1"/>
    <row r="10811" ht="12" customHeight="1"/>
    <row r="10812" ht="12" customHeight="1"/>
    <row r="10813" ht="12" customHeight="1"/>
    <row r="10814" ht="12" customHeight="1"/>
    <row r="10815" ht="12" customHeight="1"/>
    <row r="10816" ht="12" customHeight="1"/>
    <row r="10817" ht="12" customHeight="1"/>
    <row r="10818" ht="12" customHeight="1"/>
    <row r="10819" ht="12" customHeight="1"/>
    <row r="10820" ht="12" customHeight="1"/>
    <row r="10821" ht="12" customHeight="1"/>
    <row r="10822" ht="12" customHeight="1"/>
    <row r="10823" ht="12" customHeight="1"/>
    <row r="10824" ht="12" customHeight="1"/>
    <row r="10825" ht="12" customHeight="1"/>
    <row r="10826" ht="12" customHeight="1"/>
    <row r="10827" ht="12" customHeight="1"/>
    <row r="10828" ht="12" customHeight="1"/>
    <row r="10829" ht="12" customHeight="1"/>
    <row r="10830" ht="12" customHeight="1"/>
    <row r="10831" ht="12" customHeight="1"/>
    <row r="10832" ht="12" customHeight="1"/>
    <row r="10833" ht="12" customHeight="1"/>
    <row r="10834" ht="12" customHeight="1"/>
    <row r="10835" ht="12" customHeight="1"/>
    <row r="10836" ht="12" customHeight="1"/>
    <row r="10837" ht="12" customHeight="1"/>
    <row r="10838" ht="12" customHeight="1"/>
    <row r="10839" ht="12" customHeight="1"/>
    <row r="10840" ht="12" customHeight="1"/>
    <row r="10841" ht="12" customHeight="1"/>
    <row r="10842" ht="12" customHeight="1"/>
    <row r="10843" ht="12" customHeight="1"/>
    <row r="10844" ht="12" customHeight="1"/>
    <row r="10845" ht="12" customHeight="1"/>
    <row r="10846" ht="12" customHeight="1"/>
    <row r="10847" ht="12" customHeight="1"/>
    <row r="10848" ht="12" customHeight="1"/>
    <row r="10849" ht="12" customHeight="1"/>
    <row r="10850" ht="12" customHeight="1"/>
    <row r="10851" ht="12" customHeight="1"/>
    <row r="10852" ht="12" customHeight="1"/>
    <row r="10853" ht="12" customHeight="1"/>
    <row r="10854" ht="12" customHeight="1"/>
    <row r="10855" ht="12" customHeight="1"/>
    <row r="10856" ht="12" customHeight="1"/>
    <row r="10857" ht="12" customHeight="1"/>
    <row r="10858" ht="12" customHeight="1"/>
    <row r="10859" ht="12" customHeight="1"/>
    <row r="10860" ht="12" customHeight="1"/>
    <row r="10861" ht="12" customHeight="1"/>
    <row r="10862" ht="12" customHeight="1"/>
    <row r="10863" ht="12" customHeight="1"/>
    <row r="10864" ht="12" customHeight="1"/>
    <row r="10865" ht="12" customHeight="1"/>
    <row r="10866" ht="12" customHeight="1"/>
    <row r="10867" ht="12" customHeight="1"/>
    <row r="10868" ht="12" customHeight="1"/>
    <row r="10869" ht="12" customHeight="1"/>
    <row r="10870" ht="12" customHeight="1"/>
    <row r="10871" ht="12" customHeight="1"/>
    <row r="10872" ht="12" customHeight="1"/>
    <row r="10873" ht="12" customHeight="1"/>
    <row r="10874" ht="12" customHeight="1"/>
    <row r="10875" ht="12" customHeight="1"/>
    <row r="10876" ht="12" customHeight="1"/>
    <row r="10877" ht="12" customHeight="1"/>
    <row r="10878" ht="12" customHeight="1"/>
    <row r="10879" ht="12" customHeight="1"/>
    <row r="10880" ht="12" customHeight="1"/>
    <row r="10881" ht="12" customHeight="1"/>
    <row r="10882" ht="12" customHeight="1"/>
    <row r="10883" ht="12" customHeight="1"/>
    <row r="10884" ht="12" customHeight="1"/>
    <row r="10885" ht="12" customHeight="1"/>
    <row r="10886" ht="12" customHeight="1"/>
    <row r="10887" ht="12" customHeight="1"/>
    <row r="10888" ht="12" customHeight="1"/>
    <row r="10889" ht="12" customHeight="1"/>
    <row r="10890" ht="12" customHeight="1"/>
    <row r="10891" ht="12" customHeight="1"/>
    <row r="10892" ht="12" customHeight="1"/>
    <row r="10893" ht="12" customHeight="1"/>
    <row r="10894" ht="12" customHeight="1"/>
    <row r="10895" ht="12" customHeight="1"/>
    <row r="10896" ht="12" customHeight="1"/>
    <row r="10897" ht="12" customHeight="1"/>
    <row r="10898" ht="12" customHeight="1"/>
    <row r="10899" ht="12" customHeight="1"/>
    <row r="10900" ht="12" customHeight="1"/>
    <row r="10901" ht="12" customHeight="1"/>
    <row r="10902" ht="12" customHeight="1"/>
    <row r="10903" ht="12" customHeight="1"/>
    <row r="10904" ht="12" customHeight="1"/>
    <row r="10905" ht="12" customHeight="1"/>
    <row r="10906" ht="12" customHeight="1"/>
    <row r="10907" ht="12" customHeight="1"/>
    <row r="10908" ht="12" customHeight="1"/>
    <row r="10909" ht="12" customHeight="1"/>
    <row r="10910" ht="12" customHeight="1"/>
    <row r="10911" ht="12" customHeight="1"/>
    <row r="10912" ht="12" customHeight="1"/>
    <row r="10913" ht="12" customHeight="1"/>
    <row r="10914" ht="12" customHeight="1"/>
    <row r="10915" ht="12" customHeight="1"/>
    <row r="10916" ht="12" customHeight="1"/>
    <row r="10917" ht="12" customHeight="1"/>
    <row r="10918" ht="12" customHeight="1"/>
    <row r="10919" ht="12" customHeight="1"/>
    <row r="10920" ht="12" customHeight="1"/>
    <row r="10921" ht="12" customHeight="1"/>
    <row r="10922" ht="12" customHeight="1"/>
    <row r="10923" ht="12" customHeight="1"/>
    <row r="10924" ht="12" customHeight="1"/>
    <row r="10925" ht="12" customHeight="1"/>
    <row r="10926" ht="12" customHeight="1"/>
    <row r="10927" ht="12" customHeight="1"/>
    <row r="10928" ht="12" customHeight="1"/>
    <row r="10929" ht="12" customHeight="1"/>
    <row r="10930" ht="12" customHeight="1"/>
    <row r="10931" ht="12" customHeight="1"/>
    <row r="10932" ht="12" customHeight="1"/>
    <row r="10933" ht="12" customHeight="1"/>
    <row r="10934" ht="12" customHeight="1"/>
    <row r="10935" ht="12" customHeight="1"/>
    <row r="10936" ht="12" customHeight="1"/>
    <row r="10937" ht="12" customHeight="1"/>
    <row r="10938" ht="12" customHeight="1"/>
    <row r="10939" ht="12" customHeight="1"/>
    <row r="10940" ht="12" customHeight="1"/>
    <row r="10941" ht="12" customHeight="1"/>
    <row r="10942" ht="12" customHeight="1"/>
    <row r="10943" ht="12" customHeight="1"/>
    <row r="10944" ht="12" customHeight="1"/>
    <row r="10945" ht="12" customHeight="1"/>
    <row r="10946" ht="12" customHeight="1"/>
    <row r="10947" ht="12" customHeight="1"/>
    <row r="10948" ht="12" customHeight="1"/>
    <row r="10949" ht="12" customHeight="1"/>
    <row r="10950" ht="12" customHeight="1"/>
    <row r="10951" ht="12" customHeight="1"/>
    <row r="10952" ht="12" customHeight="1"/>
    <row r="10953" ht="12" customHeight="1"/>
    <row r="10954" ht="12" customHeight="1"/>
    <row r="10955" ht="12" customHeight="1"/>
    <row r="10956" ht="12" customHeight="1"/>
    <row r="10957" ht="12" customHeight="1"/>
    <row r="10958" ht="12" customHeight="1"/>
    <row r="10959" ht="12" customHeight="1"/>
    <row r="10960" ht="12" customHeight="1"/>
    <row r="10961" ht="12" customHeight="1"/>
    <row r="10962" ht="12" customHeight="1"/>
    <row r="10963" ht="12" customHeight="1"/>
    <row r="10964" ht="12" customHeight="1"/>
    <row r="10965" ht="12" customHeight="1"/>
    <row r="10966" ht="12" customHeight="1"/>
    <row r="10967" ht="12" customHeight="1"/>
    <row r="10968" ht="12" customHeight="1"/>
    <row r="10969" ht="12" customHeight="1"/>
    <row r="10970" ht="12" customHeight="1"/>
    <row r="10971" ht="12" customHeight="1"/>
    <row r="10972" ht="12" customHeight="1"/>
    <row r="10973" ht="12" customHeight="1"/>
    <row r="10974" ht="12" customHeight="1"/>
    <row r="10975" ht="12" customHeight="1"/>
    <row r="10976" ht="12" customHeight="1"/>
    <row r="10977" ht="12" customHeight="1"/>
    <row r="10978" ht="12" customHeight="1"/>
    <row r="10979" ht="12" customHeight="1"/>
    <row r="10980" ht="12" customHeight="1"/>
    <row r="10981" ht="12" customHeight="1"/>
    <row r="10982" ht="12" customHeight="1"/>
    <row r="10983" ht="12" customHeight="1"/>
    <row r="10984" ht="12" customHeight="1"/>
    <row r="10985" ht="12" customHeight="1"/>
    <row r="10986" ht="12" customHeight="1"/>
    <row r="10987" ht="12" customHeight="1"/>
    <row r="10988" ht="12" customHeight="1"/>
    <row r="10989" ht="12" customHeight="1"/>
    <row r="10990" ht="12" customHeight="1"/>
    <row r="10991" ht="12" customHeight="1"/>
    <row r="10992" ht="12" customHeight="1"/>
    <row r="10993" ht="12" customHeight="1"/>
    <row r="10994" ht="12" customHeight="1"/>
    <row r="10995" ht="12" customHeight="1"/>
    <row r="10996" ht="12" customHeight="1"/>
    <row r="10997" ht="12" customHeight="1"/>
    <row r="10998" ht="12" customHeight="1"/>
    <row r="10999" ht="12" customHeight="1"/>
    <row r="11000" ht="12" customHeight="1"/>
    <row r="11001" ht="12" customHeight="1"/>
    <row r="11002" ht="12" customHeight="1"/>
    <row r="11003" ht="12" customHeight="1"/>
    <row r="11004" ht="12" customHeight="1"/>
    <row r="11005" ht="12" customHeight="1"/>
    <row r="11006" ht="12" customHeight="1"/>
    <row r="11007" ht="12" customHeight="1"/>
    <row r="11008" ht="12" customHeight="1"/>
    <row r="11009" ht="12" customHeight="1"/>
    <row r="11010" ht="12" customHeight="1"/>
    <row r="11011" ht="12" customHeight="1"/>
    <row r="11012" ht="12" customHeight="1"/>
    <row r="11013" ht="12" customHeight="1"/>
    <row r="11014" ht="12" customHeight="1"/>
    <row r="11015" ht="12" customHeight="1"/>
    <row r="11016" ht="12" customHeight="1"/>
    <row r="11017" ht="12" customHeight="1"/>
    <row r="11018" ht="12" customHeight="1"/>
    <row r="11019" ht="12" customHeight="1"/>
    <row r="11020" ht="12" customHeight="1"/>
    <row r="11021" ht="12" customHeight="1"/>
    <row r="11022" ht="12" customHeight="1"/>
    <row r="11023" ht="12" customHeight="1"/>
    <row r="11024" ht="12" customHeight="1"/>
    <row r="11025" ht="12" customHeight="1"/>
    <row r="11026" ht="12" customHeight="1"/>
    <row r="11027" ht="12" customHeight="1"/>
    <row r="11028" ht="12" customHeight="1"/>
    <row r="11029" ht="12" customHeight="1"/>
    <row r="11030" ht="12" customHeight="1"/>
    <row r="11031" ht="12" customHeight="1"/>
    <row r="11032" ht="12" customHeight="1"/>
    <row r="11033" ht="12" customHeight="1"/>
    <row r="11034" ht="12" customHeight="1"/>
    <row r="11035" ht="12" customHeight="1"/>
    <row r="11036" ht="12" customHeight="1"/>
    <row r="11037" ht="12" customHeight="1"/>
    <row r="11038" ht="12" customHeight="1"/>
    <row r="11039" ht="12" customHeight="1"/>
    <row r="11040" ht="12" customHeight="1"/>
    <row r="11041" ht="12" customHeight="1"/>
    <row r="11042" ht="12" customHeight="1"/>
    <row r="11043" ht="12" customHeight="1"/>
    <row r="11044" ht="12" customHeight="1"/>
    <row r="11045" ht="12" customHeight="1"/>
    <row r="11046" ht="12" customHeight="1"/>
    <row r="11047" ht="12" customHeight="1"/>
    <row r="11048" ht="12" customHeight="1"/>
    <row r="11049" ht="12" customHeight="1"/>
    <row r="11050" ht="12" customHeight="1"/>
    <row r="11051" ht="12" customHeight="1"/>
    <row r="11052" ht="12" customHeight="1"/>
    <row r="11053" ht="12" customHeight="1"/>
    <row r="11054" ht="12" customHeight="1"/>
    <row r="11055" ht="12" customHeight="1"/>
    <row r="11056" ht="12" customHeight="1"/>
    <row r="11057" ht="12" customHeight="1"/>
    <row r="11058" ht="12" customHeight="1"/>
    <row r="11059" ht="12" customHeight="1"/>
    <row r="11060" ht="12" customHeight="1"/>
    <row r="11061" ht="12" customHeight="1"/>
    <row r="11062" ht="12" customHeight="1"/>
    <row r="11063" ht="12" customHeight="1"/>
    <row r="11064" ht="12" customHeight="1"/>
    <row r="11065" ht="12" customHeight="1"/>
    <row r="11066" ht="12" customHeight="1"/>
    <row r="11067" ht="12" customHeight="1"/>
    <row r="11068" ht="12" customHeight="1"/>
    <row r="11069" ht="12" customHeight="1"/>
    <row r="11070" ht="12" customHeight="1"/>
    <row r="11071" ht="12" customHeight="1"/>
    <row r="11072" ht="12" customHeight="1"/>
    <row r="11073" ht="12" customHeight="1"/>
    <row r="11074" ht="12" customHeight="1"/>
    <row r="11075" ht="12" customHeight="1"/>
    <row r="11076" ht="12" customHeight="1"/>
    <row r="11077" ht="12" customHeight="1"/>
    <row r="11078" ht="12" customHeight="1"/>
    <row r="11079" ht="12" customHeight="1"/>
    <row r="11080" ht="12" customHeight="1"/>
    <row r="11081" ht="12" customHeight="1"/>
    <row r="11082" ht="12" customHeight="1"/>
    <row r="11083" ht="12" customHeight="1"/>
    <row r="11084" ht="12" customHeight="1"/>
    <row r="11085" ht="12" customHeight="1"/>
    <row r="11086" ht="12" customHeight="1"/>
    <row r="11087" ht="12" customHeight="1"/>
    <row r="11088" ht="12" customHeight="1"/>
    <row r="11089" ht="12" customHeight="1"/>
    <row r="11090" ht="12" customHeight="1"/>
    <row r="11091" ht="12" customHeight="1"/>
    <row r="11092" ht="12" customHeight="1"/>
    <row r="11093" ht="12" customHeight="1"/>
    <row r="11094" ht="12" customHeight="1"/>
    <row r="11095" ht="12" customHeight="1"/>
    <row r="11096" ht="12" customHeight="1"/>
    <row r="11097" ht="12" customHeight="1"/>
    <row r="11098" ht="12" customHeight="1"/>
    <row r="11099" ht="12" customHeight="1"/>
    <row r="11100" ht="12" customHeight="1"/>
    <row r="11101" ht="12" customHeight="1"/>
    <row r="11102" ht="12" customHeight="1"/>
    <row r="11103" ht="12" customHeight="1"/>
    <row r="11104" ht="12" customHeight="1"/>
    <row r="11105" ht="12" customHeight="1"/>
    <row r="11106" ht="12" customHeight="1"/>
    <row r="11107" ht="12" customHeight="1"/>
    <row r="11108" ht="12" customHeight="1"/>
    <row r="11109" ht="12" customHeight="1"/>
    <row r="11110" ht="12" customHeight="1"/>
    <row r="11111" ht="12" customHeight="1"/>
    <row r="11112" ht="12" customHeight="1"/>
    <row r="11113" ht="12" customHeight="1"/>
    <row r="11114" ht="12" customHeight="1"/>
    <row r="11115" ht="12" customHeight="1"/>
    <row r="11116" ht="12" customHeight="1"/>
    <row r="11117" ht="12" customHeight="1"/>
    <row r="11118" ht="12" customHeight="1"/>
    <row r="11119" ht="12" customHeight="1"/>
    <row r="11120" ht="12" customHeight="1"/>
    <row r="11121" ht="12" customHeight="1"/>
    <row r="11122" ht="12" customHeight="1"/>
    <row r="11123" ht="12" customHeight="1"/>
    <row r="11124" ht="12" customHeight="1"/>
    <row r="11125" ht="12" customHeight="1"/>
    <row r="11126" ht="12" customHeight="1"/>
    <row r="11127" ht="12" customHeight="1"/>
    <row r="11128" ht="12" customHeight="1"/>
    <row r="11129" ht="12" customHeight="1"/>
    <row r="11130" ht="12" customHeight="1"/>
    <row r="11131" ht="12" customHeight="1"/>
    <row r="11132" ht="12" customHeight="1"/>
    <row r="11133" ht="12" customHeight="1"/>
    <row r="11134" ht="12" customHeight="1"/>
    <row r="11135" ht="12" customHeight="1"/>
    <row r="11136" ht="12" customHeight="1"/>
    <row r="11137" ht="12" customHeight="1"/>
    <row r="11138" ht="12" customHeight="1"/>
    <row r="11139" ht="12" customHeight="1"/>
    <row r="11140" ht="12" customHeight="1"/>
    <row r="11141" ht="12" customHeight="1"/>
    <row r="11142" ht="12" customHeight="1"/>
    <row r="11143" ht="12" customHeight="1"/>
    <row r="11144" ht="12" customHeight="1"/>
    <row r="11145" ht="12" customHeight="1"/>
    <row r="11146" ht="12" customHeight="1"/>
    <row r="11147" ht="12" customHeight="1"/>
    <row r="11148" ht="12" customHeight="1"/>
    <row r="11149" ht="12" customHeight="1"/>
    <row r="11150" ht="12" customHeight="1"/>
    <row r="11151" ht="12" customHeight="1"/>
    <row r="11152" ht="12" customHeight="1"/>
    <row r="11153" ht="12" customHeight="1"/>
    <row r="11154" ht="12" customHeight="1"/>
    <row r="11155" ht="12" customHeight="1"/>
    <row r="11156" ht="12" customHeight="1"/>
    <row r="11157" ht="12" customHeight="1"/>
    <row r="11158" ht="12" customHeight="1"/>
    <row r="11159" ht="12" customHeight="1"/>
    <row r="11160" ht="12" customHeight="1"/>
    <row r="11161" ht="12" customHeight="1"/>
    <row r="11162" ht="12" customHeight="1"/>
    <row r="11163" ht="12" customHeight="1"/>
    <row r="11164" ht="12" customHeight="1"/>
    <row r="11165" ht="12" customHeight="1"/>
    <row r="11166" ht="12" customHeight="1"/>
    <row r="11167" ht="12" customHeight="1"/>
    <row r="11168" ht="12" customHeight="1"/>
    <row r="11169" ht="12" customHeight="1"/>
    <row r="11170" ht="12" customHeight="1"/>
    <row r="11171" ht="12" customHeight="1"/>
    <row r="11172" ht="12" customHeight="1"/>
    <row r="11173" ht="12" customHeight="1"/>
    <row r="11174" ht="12" customHeight="1"/>
    <row r="11175" ht="12" customHeight="1"/>
    <row r="11176" ht="12" customHeight="1"/>
    <row r="11177" ht="12" customHeight="1"/>
    <row r="11178" ht="12" customHeight="1"/>
    <row r="11179" ht="12" customHeight="1"/>
    <row r="11180" ht="12" customHeight="1"/>
    <row r="11181" ht="12" customHeight="1"/>
    <row r="11182" ht="12" customHeight="1"/>
    <row r="11183" ht="12" customHeight="1"/>
    <row r="11184" ht="12" customHeight="1"/>
    <row r="11185" ht="12" customHeight="1"/>
    <row r="11186" ht="12" customHeight="1"/>
    <row r="11187" ht="12" customHeight="1"/>
    <row r="11188" ht="12" customHeight="1"/>
    <row r="11189" ht="12" customHeight="1"/>
    <row r="11190" ht="12" customHeight="1"/>
    <row r="11191" ht="12" customHeight="1"/>
    <row r="11192" ht="12" customHeight="1"/>
    <row r="11193" ht="12" customHeight="1"/>
    <row r="11194" ht="12" customHeight="1"/>
    <row r="11195" ht="12" customHeight="1"/>
    <row r="11196" ht="12" customHeight="1"/>
    <row r="11197" ht="12" customHeight="1"/>
    <row r="11198" ht="12" customHeight="1"/>
    <row r="11199" ht="12" customHeight="1"/>
    <row r="11200" ht="12" customHeight="1"/>
    <row r="11201" ht="12" customHeight="1"/>
    <row r="11202" ht="12" customHeight="1"/>
    <row r="11203" ht="12" customHeight="1"/>
    <row r="11204" ht="12" customHeight="1"/>
    <row r="11205" ht="12" customHeight="1"/>
    <row r="11206" ht="12" customHeight="1"/>
    <row r="11207" ht="12" customHeight="1"/>
    <row r="11208" ht="12" customHeight="1"/>
    <row r="11209" ht="12" customHeight="1"/>
    <row r="11210" ht="12" customHeight="1"/>
    <row r="11211" ht="12" customHeight="1"/>
    <row r="11212" ht="12" customHeight="1"/>
    <row r="11213" ht="12" customHeight="1"/>
    <row r="11214" ht="12" customHeight="1"/>
    <row r="11215" ht="12" customHeight="1"/>
    <row r="11216" ht="12" customHeight="1"/>
    <row r="11217" ht="12" customHeight="1"/>
    <row r="11218" ht="12" customHeight="1"/>
    <row r="11219" ht="12" customHeight="1"/>
    <row r="11220" ht="12" customHeight="1"/>
    <row r="11221" ht="12" customHeight="1"/>
    <row r="11222" ht="12" customHeight="1"/>
    <row r="11223" ht="12" customHeight="1"/>
    <row r="11224" ht="12" customHeight="1"/>
    <row r="11225" ht="12" customHeight="1"/>
    <row r="11226" ht="12" customHeight="1"/>
    <row r="11227" ht="12" customHeight="1"/>
    <row r="11228" ht="12" customHeight="1"/>
    <row r="11229" ht="12" customHeight="1"/>
    <row r="11230" ht="12" customHeight="1"/>
    <row r="11231" ht="12" customHeight="1"/>
    <row r="11232" ht="12" customHeight="1"/>
    <row r="11233" ht="12" customHeight="1"/>
    <row r="11234" ht="12" customHeight="1"/>
    <row r="11235" ht="12" customHeight="1"/>
    <row r="11236" ht="12" customHeight="1"/>
    <row r="11237" ht="12" customHeight="1"/>
    <row r="11238" ht="12" customHeight="1"/>
    <row r="11239" ht="12" customHeight="1"/>
    <row r="11240" ht="12" customHeight="1"/>
    <row r="11241" ht="12" customHeight="1"/>
    <row r="11242" ht="12" customHeight="1"/>
    <row r="11243" ht="12" customHeight="1"/>
    <row r="11244" ht="12" customHeight="1"/>
    <row r="11245" ht="12" customHeight="1"/>
    <row r="11246" ht="12" customHeight="1"/>
    <row r="11247" ht="12" customHeight="1"/>
    <row r="11248" ht="12" customHeight="1"/>
    <row r="11249" ht="12" customHeight="1"/>
    <row r="11250" ht="12" customHeight="1"/>
    <row r="11251" ht="12" customHeight="1"/>
    <row r="11252" ht="12" customHeight="1"/>
    <row r="11253" ht="12" customHeight="1"/>
    <row r="11254" ht="12" customHeight="1"/>
    <row r="11255" ht="12" customHeight="1"/>
    <row r="11256" ht="12" customHeight="1"/>
    <row r="11257" ht="12" customHeight="1"/>
    <row r="11258" ht="12" customHeight="1"/>
    <row r="11259" ht="12" customHeight="1"/>
    <row r="11260" ht="12" customHeight="1"/>
    <row r="11261" ht="12" customHeight="1"/>
    <row r="11262" ht="12" customHeight="1"/>
    <row r="11263" ht="12" customHeight="1"/>
    <row r="11264" ht="12" customHeight="1"/>
    <row r="11265" ht="12" customHeight="1"/>
    <row r="11266" ht="12" customHeight="1"/>
    <row r="11267" ht="12" customHeight="1"/>
    <row r="11268" ht="12" customHeight="1"/>
    <row r="11269" ht="12" customHeight="1"/>
    <row r="11270" ht="12" customHeight="1"/>
    <row r="11271" ht="12" customHeight="1"/>
    <row r="11272" ht="12" customHeight="1"/>
    <row r="11273" ht="12" customHeight="1"/>
    <row r="11274" ht="12" customHeight="1"/>
    <row r="11275" ht="12" customHeight="1"/>
    <row r="11276" ht="12" customHeight="1"/>
    <row r="11277" ht="12" customHeight="1"/>
    <row r="11278" ht="12" customHeight="1"/>
    <row r="11279" ht="12" customHeight="1"/>
    <row r="11280" ht="12" customHeight="1"/>
    <row r="11281" ht="12" customHeight="1"/>
    <row r="11282" ht="12" customHeight="1"/>
    <row r="11283" ht="12" customHeight="1"/>
    <row r="11284" ht="12" customHeight="1"/>
    <row r="11285" ht="12" customHeight="1"/>
    <row r="11286" ht="12" customHeight="1"/>
    <row r="11287" ht="12" customHeight="1"/>
    <row r="11288" ht="12" customHeight="1"/>
    <row r="11289" ht="12" customHeight="1"/>
    <row r="11290" ht="12" customHeight="1"/>
    <row r="11291" ht="12" customHeight="1"/>
    <row r="11292" ht="12" customHeight="1"/>
    <row r="11293" ht="12" customHeight="1"/>
    <row r="11294" ht="12" customHeight="1"/>
    <row r="11295" ht="12" customHeight="1"/>
    <row r="11296" ht="12" customHeight="1"/>
    <row r="11297" ht="12" customHeight="1"/>
    <row r="11298" ht="12" customHeight="1"/>
    <row r="11299" ht="12" customHeight="1"/>
    <row r="11300" ht="12" customHeight="1"/>
    <row r="11301" ht="12" customHeight="1"/>
    <row r="11302" ht="12" customHeight="1"/>
    <row r="11303" ht="12" customHeight="1"/>
    <row r="11304" ht="12" customHeight="1"/>
    <row r="11305" ht="12" customHeight="1"/>
    <row r="11306" ht="12" customHeight="1"/>
    <row r="11307" ht="12" customHeight="1"/>
    <row r="11308" ht="12" customHeight="1"/>
    <row r="11309" ht="12" customHeight="1"/>
    <row r="11310" ht="12" customHeight="1"/>
    <row r="11311" ht="12" customHeight="1"/>
    <row r="11312" ht="12" customHeight="1"/>
    <row r="11313" ht="12" customHeight="1"/>
    <row r="11314" ht="12" customHeight="1"/>
    <row r="11315" ht="12" customHeight="1"/>
    <row r="11316" ht="12" customHeight="1"/>
    <row r="11317" ht="12" customHeight="1"/>
    <row r="11318" ht="12" customHeight="1"/>
    <row r="11319" ht="12" customHeight="1"/>
    <row r="11320" ht="12" customHeight="1"/>
    <row r="11321" ht="12" customHeight="1"/>
    <row r="11322" ht="12" customHeight="1"/>
    <row r="11323" ht="12" customHeight="1"/>
    <row r="11324" ht="12" customHeight="1"/>
    <row r="11325" ht="12" customHeight="1"/>
    <row r="11326" ht="12" customHeight="1"/>
    <row r="11327" ht="12" customHeight="1"/>
    <row r="11328" ht="12" customHeight="1"/>
    <row r="11329" ht="12" customHeight="1"/>
    <row r="11330" ht="12" customHeight="1"/>
    <row r="11331" ht="12" customHeight="1"/>
    <row r="11332" ht="12" customHeight="1"/>
    <row r="11333" ht="12" customHeight="1"/>
    <row r="11334" ht="12" customHeight="1"/>
    <row r="11335" ht="12" customHeight="1"/>
    <row r="11336" ht="12" customHeight="1"/>
    <row r="11337" ht="12" customHeight="1"/>
    <row r="11338" ht="12" customHeight="1"/>
    <row r="11339" ht="12" customHeight="1"/>
    <row r="11340" ht="12" customHeight="1"/>
    <row r="11341" ht="12" customHeight="1"/>
    <row r="11342" ht="12" customHeight="1"/>
    <row r="11343" ht="12" customHeight="1"/>
    <row r="11344" ht="12" customHeight="1"/>
    <row r="11345" ht="12" customHeight="1"/>
    <row r="11346" ht="12" customHeight="1"/>
    <row r="11347" ht="12" customHeight="1"/>
    <row r="11348" ht="12" customHeight="1"/>
    <row r="11349" ht="12" customHeight="1"/>
    <row r="11350" ht="12" customHeight="1"/>
    <row r="11351" ht="12" customHeight="1"/>
    <row r="11352" ht="12" customHeight="1"/>
    <row r="11353" ht="12" customHeight="1"/>
    <row r="11354" ht="12" customHeight="1"/>
    <row r="11355" ht="12" customHeight="1"/>
    <row r="11356" ht="12" customHeight="1"/>
    <row r="11357" ht="12" customHeight="1"/>
    <row r="11358" ht="12" customHeight="1"/>
    <row r="11359" ht="12" customHeight="1"/>
    <row r="11360" ht="12" customHeight="1"/>
    <row r="11361" ht="12" customHeight="1"/>
    <row r="11362" ht="12" customHeight="1"/>
    <row r="11363" ht="12" customHeight="1"/>
    <row r="11364" ht="12" customHeight="1"/>
    <row r="11365" ht="12" customHeight="1"/>
    <row r="11366" ht="12" customHeight="1"/>
    <row r="11367" ht="12" customHeight="1"/>
    <row r="11368" ht="12" customHeight="1"/>
    <row r="11369" ht="12" customHeight="1"/>
    <row r="11370" ht="12" customHeight="1"/>
    <row r="11371" ht="12" customHeight="1"/>
    <row r="11372" ht="12" customHeight="1"/>
    <row r="11373" ht="12" customHeight="1"/>
    <row r="11374" ht="12" customHeight="1"/>
    <row r="11375" ht="12" customHeight="1"/>
    <row r="11376" ht="12" customHeight="1"/>
    <row r="11377" ht="12" customHeight="1"/>
    <row r="11378" ht="12" customHeight="1"/>
    <row r="11379" ht="12" customHeight="1"/>
    <row r="11380" ht="12" customHeight="1"/>
    <row r="11381" ht="12" customHeight="1"/>
    <row r="11382" ht="12" customHeight="1"/>
    <row r="11383" ht="12" customHeight="1"/>
    <row r="11384" ht="12" customHeight="1"/>
    <row r="11385" ht="12" customHeight="1"/>
    <row r="11386" ht="12" customHeight="1"/>
    <row r="11387" ht="12" customHeight="1"/>
    <row r="11388" ht="12" customHeight="1"/>
    <row r="11389" ht="12" customHeight="1"/>
    <row r="11390" ht="12" customHeight="1"/>
    <row r="11391" ht="12" customHeight="1"/>
    <row r="11392" ht="12" customHeight="1"/>
    <row r="11393" ht="12" customHeight="1"/>
    <row r="11394" ht="12" customHeight="1"/>
    <row r="11395" ht="12" customHeight="1"/>
    <row r="11396" ht="12" customHeight="1"/>
    <row r="11397" ht="12" customHeight="1"/>
    <row r="11398" ht="12" customHeight="1"/>
    <row r="11399" ht="12" customHeight="1"/>
    <row r="11400" ht="12" customHeight="1"/>
    <row r="11401" ht="12" customHeight="1"/>
    <row r="11402" ht="12" customHeight="1"/>
    <row r="11403" ht="12" customHeight="1"/>
    <row r="11404" ht="12" customHeight="1"/>
    <row r="11405" ht="12" customHeight="1"/>
    <row r="11406" ht="12" customHeight="1"/>
    <row r="11407" ht="12" customHeight="1"/>
    <row r="11408" ht="12" customHeight="1"/>
    <row r="11409" ht="12" customHeight="1"/>
    <row r="11410" ht="12" customHeight="1"/>
    <row r="11411" ht="12" customHeight="1"/>
    <row r="11412" ht="12" customHeight="1"/>
    <row r="11413" ht="12" customHeight="1"/>
    <row r="11414" ht="12" customHeight="1"/>
    <row r="11415" ht="12" customHeight="1"/>
    <row r="11416" ht="12" customHeight="1"/>
    <row r="11417" ht="12" customHeight="1"/>
    <row r="11418" ht="12" customHeight="1"/>
    <row r="11419" ht="12" customHeight="1"/>
    <row r="11420" ht="12" customHeight="1"/>
    <row r="11421" ht="12" customHeight="1"/>
    <row r="11422" ht="12" customHeight="1"/>
    <row r="11423" ht="12" customHeight="1"/>
    <row r="11424" ht="12" customHeight="1"/>
    <row r="11425" ht="12" customHeight="1"/>
    <row r="11426" ht="12" customHeight="1"/>
    <row r="11427" ht="12" customHeight="1"/>
    <row r="11428" ht="12" customHeight="1"/>
    <row r="11429" ht="12" customHeight="1"/>
    <row r="11430" ht="12" customHeight="1"/>
    <row r="11431" ht="12" customHeight="1"/>
    <row r="11432" ht="12" customHeight="1"/>
    <row r="11433" ht="12" customHeight="1"/>
    <row r="11434" ht="12" customHeight="1"/>
    <row r="11435" ht="12" customHeight="1"/>
    <row r="11436" ht="12" customHeight="1"/>
    <row r="11437" ht="12" customHeight="1"/>
    <row r="11438" ht="12" customHeight="1"/>
    <row r="11439" ht="12" customHeight="1"/>
    <row r="11440" ht="12" customHeight="1"/>
    <row r="11441" ht="12" customHeight="1"/>
    <row r="11442" ht="12" customHeight="1"/>
    <row r="11443" ht="12" customHeight="1"/>
    <row r="11444" ht="12" customHeight="1"/>
    <row r="11445" ht="12" customHeight="1"/>
    <row r="11446" ht="12" customHeight="1"/>
    <row r="11447" ht="12" customHeight="1"/>
    <row r="11448" ht="12" customHeight="1"/>
    <row r="11449" ht="12" customHeight="1"/>
    <row r="11450" ht="12" customHeight="1"/>
    <row r="11451" ht="12" customHeight="1"/>
    <row r="11452" ht="12" customHeight="1"/>
    <row r="11453" ht="12" customHeight="1"/>
    <row r="11454" ht="12" customHeight="1"/>
    <row r="11455" ht="12" customHeight="1"/>
    <row r="11456" ht="12" customHeight="1"/>
    <row r="11457" ht="12" customHeight="1"/>
    <row r="11458" ht="12" customHeight="1"/>
    <row r="11459" ht="12" customHeight="1"/>
    <row r="11460" ht="12" customHeight="1"/>
    <row r="11461" ht="12" customHeight="1"/>
    <row r="11462" ht="12" customHeight="1"/>
    <row r="11463" ht="12" customHeight="1"/>
    <row r="11464" ht="12" customHeight="1"/>
    <row r="11465" ht="12" customHeight="1"/>
    <row r="11466" ht="12" customHeight="1"/>
    <row r="11467" ht="12" customHeight="1"/>
    <row r="11468" ht="12" customHeight="1"/>
    <row r="11469" ht="12" customHeight="1"/>
    <row r="11470" ht="12" customHeight="1"/>
    <row r="11471" ht="12" customHeight="1"/>
    <row r="11472" ht="12" customHeight="1"/>
    <row r="11473" ht="12" customHeight="1"/>
    <row r="11474" ht="12" customHeight="1"/>
    <row r="11475" ht="12" customHeight="1"/>
    <row r="11476" ht="12" customHeight="1"/>
    <row r="11477" ht="12" customHeight="1"/>
    <row r="11478" ht="12" customHeight="1"/>
    <row r="11479" ht="12" customHeight="1"/>
    <row r="11480" ht="12" customHeight="1"/>
    <row r="11481" ht="12" customHeight="1"/>
    <row r="11482" ht="12" customHeight="1"/>
    <row r="11483" ht="12" customHeight="1"/>
    <row r="11484" ht="12" customHeight="1"/>
    <row r="11485" ht="12" customHeight="1"/>
    <row r="11486" ht="12" customHeight="1"/>
    <row r="11487" ht="12" customHeight="1"/>
    <row r="11488" ht="12" customHeight="1"/>
    <row r="11489" ht="12" customHeight="1"/>
    <row r="11490" ht="12" customHeight="1"/>
    <row r="11491" ht="12" customHeight="1"/>
    <row r="11492" ht="12" customHeight="1"/>
    <row r="11493" ht="12" customHeight="1"/>
    <row r="11494" ht="12" customHeight="1"/>
    <row r="11495" ht="12" customHeight="1"/>
    <row r="11496" ht="12" customHeight="1"/>
    <row r="11497" ht="12" customHeight="1"/>
    <row r="11498" ht="12" customHeight="1"/>
    <row r="11499" ht="12" customHeight="1"/>
    <row r="11500" ht="12" customHeight="1"/>
    <row r="11501" ht="12" customHeight="1"/>
    <row r="11502" ht="12" customHeight="1"/>
    <row r="11503" ht="12" customHeight="1"/>
    <row r="11504" ht="12" customHeight="1"/>
    <row r="11505" ht="12" customHeight="1"/>
    <row r="11506" ht="12" customHeight="1"/>
    <row r="11507" ht="12" customHeight="1"/>
    <row r="11508" ht="12" customHeight="1"/>
    <row r="11509" ht="12" customHeight="1"/>
    <row r="11510" ht="12" customHeight="1"/>
    <row r="11511" ht="12" customHeight="1"/>
    <row r="11512" ht="12" customHeight="1"/>
    <row r="11513" ht="12" customHeight="1"/>
    <row r="11514" ht="12" customHeight="1"/>
    <row r="11515" ht="12" customHeight="1"/>
    <row r="11516" ht="12" customHeight="1"/>
    <row r="11517" ht="12" customHeight="1"/>
    <row r="11518" ht="12" customHeight="1"/>
    <row r="11519" ht="12" customHeight="1"/>
    <row r="11520" ht="12" customHeight="1"/>
    <row r="11521" ht="12" customHeight="1"/>
    <row r="11522" ht="12" customHeight="1"/>
    <row r="11523" ht="12" customHeight="1"/>
    <row r="11524" ht="12" customHeight="1"/>
    <row r="11525" ht="12" customHeight="1"/>
    <row r="11526" ht="12" customHeight="1"/>
    <row r="11527" ht="12" customHeight="1"/>
    <row r="11528" ht="12" customHeight="1"/>
    <row r="11529" ht="12" customHeight="1"/>
    <row r="11530" ht="12" customHeight="1"/>
    <row r="11531" ht="12" customHeight="1"/>
    <row r="11532" ht="12" customHeight="1"/>
    <row r="11533" ht="12" customHeight="1"/>
    <row r="11534" ht="12" customHeight="1"/>
    <row r="11535" ht="12" customHeight="1"/>
    <row r="11536" ht="12" customHeight="1"/>
    <row r="11537" ht="12" customHeight="1"/>
    <row r="11538" ht="12" customHeight="1"/>
    <row r="11539" ht="12" customHeight="1"/>
    <row r="11540" ht="12" customHeight="1"/>
    <row r="11541" ht="12" customHeight="1"/>
    <row r="11542" ht="12" customHeight="1"/>
    <row r="11543" ht="12" customHeight="1"/>
    <row r="11544" ht="12" customHeight="1"/>
    <row r="11545" ht="12" customHeight="1"/>
    <row r="11546" ht="12" customHeight="1"/>
    <row r="11547" ht="12" customHeight="1"/>
    <row r="11548" ht="12" customHeight="1"/>
    <row r="11549" ht="12" customHeight="1"/>
    <row r="11550" ht="12" customHeight="1"/>
    <row r="11551" ht="12" customHeight="1"/>
    <row r="11552" ht="12" customHeight="1"/>
    <row r="11553" ht="12" customHeight="1"/>
    <row r="11554" ht="12" customHeight="1"/>
    <row r="11555" ht="12" customHeight="1"/>
    <row r="11556" ht="12" customHeight="1"/>
    <row r="11557" ht="12" customHeight="1"/>
    <row r="11558" ht="12" customHeight="1"/>
    <row r="11559" ht="12" customHeight="1"/>
    <row r="11560" ht="12" customHeight="1"/>
    <row r="11561" ht="12" customHeight="1"/>
    <row r="11562" ht="12" customHeight="1"/>
    <row r="11563" ht="12" customHeight="1"/>
    <row r="11564" ht="12" customHeight="1"/>
    <row r="11565" ht="12" customHeight="1"/>
    <row r="11566" ht="12" customHeight="1"/>
    <row r="11567" ht="12" customHeight="1"/>
    <row r="11568" ht="12" customHeight="1"/>
    <row r="11569" ht="12" customHeight="1"/>
    <row r="11570" ht="12" customHeight="1"/>
    <row r="11571" ht="12" customHeight="1"/>
    <row r="11572" ht="12" customHeight="1"/>
    <row r="11573" ht="12" customHeight="1"/>
    <row r="11574" ht="12" customHeight="1"/>
    <row r="11575" ht="12" customHeight="1"/>
    <row r="11576" ht="12" customHeight="1"/>
    <row r="11577" ht="12" customHeight="1"/>
    <row r="11578" ht="12" customHeight="1"/>
    <row r="11579" ht="12" customHeight="1"/>
    <row r="11580" ht="12" customHeight="1"/>
    <row r="11581" ht="12" customHeight="1"/>
    <row r="11582" ht="12" customHeight="1"/>
    <row r="11583" ht="12" customHeight="1"/>
    <row r="11584" ht="12" customHeight="1"/>
    <row r="11585" ht="12" customHeight="1"/>
    <row r="11586" ht="12" customHeight="1"/>
    <row r="11587" ht="12" customHeight="1"/>
    <row r="11588" ht="12" customHeight="1"/>
    <row r="11589" ht="12" customHeight="1"/>
    <row r="11590" ht="12" customHeight="1"/>
    <row r="11591" ht="12" customHeight="1"/>
    <row r="11592" ht="12" customHeight="1"/>
    <row r="11593" ht="12" customHeight="1"/>
    <row r="11594" ht="12" customHeight="1"/>
    <row r="11595" ht="12" customHeight="1"/>
    <row r="11596" ht="12" customHeight="1"/>
    <row r="11597" ht="12" customHeight="1"/>
    <row r="11598" ht="12" customHeight="1"/>
    <row r="11599" ht="12" customHeight="1"/>
    <row r="11600" ht="12" customHeight="1"/>
    <row r="11601" ht="12" customHeight="1"/>
    <row r="11602" ht="12" customHeight="1"/>
    <row r="11603" ht="12" customHeight="1"/>
    <row r="11604" ht="12" customHeight="1"/>
    <row r="11605" ht="12" customHeight="1"/>
    <row r="11606" ht="12" customHeight="1"/>
    <row r="11607" ht="12" customHeight="1"/>
    <row r="11608" ht="12" customHeight="1"/>
    <row r="11609" ht="12" customHeight="1"/>
    <row r="11610" ht="12" customHeight="1"/>
    <row r="11611" ht="12" customHeight="1"/>
    <row r="11612" ht="12" customHeight="1"/>
    <row r="11613" ht="12" customHeight="1"/>
    <row r="11614" ht="12" customHeight="1"/>
    <row r="11615" ht="12" customHeight="1"/>
    <row r="11616" ht="12" customHeight="1"/>
    <row r="11617" ht="12" customHeight="1"/>
    <row r="11618" ht="12" customHeight="1"/>
    <row r="11619" ht="12" customHeight="1"/>
    <row r="11620" ht="12" customHeight="1"/>
    <row r="11621" ht="12" customHeight="1"/>
    <row r="11622" ht="12" customHeight="1"/>
    <row r="11623" ht="12" customHeight="1"/>
    <row r="11624" ht="12" customHeight="1"/>
    <row r="11625" ht="12" customHeight="1"/>
    <row r="11626" ht="12" customHeight="1"/>
    <row r="11627" ht="12" customHeight="1"/>
    <row r="11628" ht="12" customHeight="1"/>
    <row r="11629" ht="12" customHeight="1"/>
    <row r="11630" ht="12" customHeight="1"/>
    <row r="11631" ht="12" customHeight="1"/>
    <row r="11632" ht="12" customHeight="1"/>
    <row r="11633" ht="12" customHeight="1"/>
    <row r="11634" ht="12" customHeight="1"/>
    <row r="11635" ht="12" customHeight="1"/>
    <row r="11636" ht="12" customHeight="1"/>
    <row r="11637" ht="12" customHeight="1"/>
    <row r="11638" ht="12" customHeight="1"/>
    <row r="11639" ht="12" customHeight="1"/>
    <row r="11640" ht="12" customHeight="1"/>
    <row r="11641" ht="12" customHeight="1"/>
    <row r="11642" ht="12" customHeight="1"/>
    <row r="11643" ht="12" customHeight="1"/>
    <row r="11644" ht="12" customHeight="1"/>
    <row r="11645" ht="12" customHeight="1"/>
    <row r="11646" ht="12" customHeight="1"/>
    <row r="11647" ht="12" customHeight="1"/>
    <row r="11648" ht="12" customHeight="1"/>
    <row r="11649" ht="12" customHeight="1"/>
    <row r="11650" ht="12" customHeight="1"/>
    <row r="11651" ht="12" customHeight="1"/>
    <row r="11652" ht="12" customHeight="1"/>
    <row r="11653" ht="12" customHeight="1"/>
    <row r="11654" ht="12" customHeight="1"/>
    <row r="11655" ht="12" customHeight="1"/>
    <row r="11656" ht="12" customHeight="1"/>
    <row r="11657" ht="12" customHeight="1"/>
    <row r="11658" ht="12" customHeight="1"/>
    <row r="11659" ht="12" customHeight="1"/>
    <row r="11660" ht="12" customHeight="1"/>
    <row r="11661" ht="12" customHeight="1"/>
    <row r="11662" ht="12" customHeight="1"/>
    <row r="11663" ht="12" customHeight="1"/>
    <row r="11664" ht="12" customHeight="1"/>
    <row r="11665" ht="12" customHeight="1"/>
    <row r="11666" ht="12" customHeight="1"/>
    <row r="11667" ht="12" customHeight="1"/>
    <row r="11668" ht="12" customHeight="1"/>
    <row r="11669" ht="12" customHeight="1"/>
    <row r="11670" ht="12" customHeight="1"/>
    <row r="11671" ht="12" customHeight="1"/>
    <row r="11672" ht="12" customHeight="1"/>
    <row r="11673" ht="12" customHeight="1"/>
    <row r="11674" ht="12" customHeight="1"/>
    <row r="11675" ht="12" customHeight="1"/>
    <row r="11676" ht="12" customHeight="1"/>
    <row r="11677" ht="12" customHeight="1"/>
    <row r="11678" ht="12" customHeight="1"/>
    <row r="11679" ht="12" customHeight="1"/>
    <row r="11680" ht="12" customHeight="1"/>
    <row r="11681" ht="12" customHeight="1"/>
    <row r="11682" ht="12" customHeight="1"/>
    <row r="11683" ht="12" customHeight="1"/>
    <row r="11684" ht="12" customHeight="1"/>
    <row r="11685" ht="12" customHeight="1"/>
    <row r="11686" ht="12" customHeight="1"/>
    <row r="11687" ht="12" customHeight="1"/>
    <row r="11688" ht="12" customHeight="1"/>
    <row r="11689" ht="12" customHeight="1"/>
    <row r="11690" ht="12" customHeight="1"/>
    <row r="11691" ht="12" customHeight="1"/>
    <row r="11692" ht="12" customHeight="1"/>
    <row r="11693" ht="12" customHeight="1"/>
    <row r="11694" ht="12" customHeight="1"/>
    <row r="11695" ht="12" customHeight="1"/>
    <row r="11696" ht="12" customHeight="1"/>
    <row r="11697" ht="12" customHeight="1"/>
    <row r="11698" ht="12" customHeight="1"/>
    <row r="11699" ht="12" customHeight="1"/>
    <row r="11700" ht="12" customHeight="1"/>
    <row r="11701" ht="12" customHeight="1"/>
    <row r="11702" ht="12" customHeight="1"/>
    <row r="11703" ht="12" customHeight="1"/>
    <row r="11704" ht="12" customHeight="1"/>
    <row r="11705" ht="12" customHeight="1"/>
    <row r="11706" ht="12" customHeight="1"/>
    <row r="11707" ht="12" customHeight="1"/>
    <row r="11708" ht="12" customHeight="1"/>
    <row r="11709" ht="12" customHeight="1"/>
    <row r="11710" ht="12" customHeight="1"/>
    <row r="11711" ht="12" customHeight="1"/>
    <row r="11712" ht="12" customHeight="1"/>
    <row r="11713" ht="12" customHeight="1"/>
    <row r="11714" ht="12" customHeight="1"/>
    <row r="11715" ht="12" customHeight="1"/>
    <row r="11716" ht="12" customHeight="1"/>
    <row r="11717" ht="12" customHeight="1"/>
    <row r="11718" ht="12" customHeight="1"/>
    <row r="11719" ht="12" customHeight="1"/>
    <row r="11720" ht="12" customHeight="1"/>
    <row r="11721" ht="12" customHeight="1"/>
    <row r="11722" ht="12" customHeight="1"/>
    <row r="11723" ht="12" customHeight="1"/>
    <row r="11724" ht="12" customHeight="1"/>
    <row r="11725" ht="12" customHeight="1"/>
    <row r="11726" ht="12" customHeight="1"/>
    <row r="11727" ht="12" customHeight="1"/>
    <row r="11728" ht="12" customHeight="1"/>
    <row r="11729" ht="12" customHeight="1"/>
    <row r="11730" ht="12" customHeight="1"/>
    <row r="11731" ht="12" customHeight="1"/>
    <row r="11732" ht="12" customHeight="1"/>
    <row r="11733" ht="12" customHeight="1"/>
    <row r="11734" ht="12" customHeight="1"/>
    <row r="11735" ht="12" customHeight="1"/>
    <row r="11736" ht="12" customHeight="1"/>
    <row r="11737" ht="12" customHeight="1"/>
    <row r="11738" ht="12" customHeight="1"/>
    <row r="11739" ht="12" customHeight="1"/>
    <row r="11740" ht="12" customHeight="1"/>
    <row r="11741" ht="12" customHeight="1"/>
    <row r="11742" ht="12" customHeight="1"/>
    <row r="11743" ht="12" customHeight="1"/>
    <row r="11744" ht="12" customHeight="1"/>
    <row r="11745" ht="12" customHeight="1"/>
    <row r="11746" ht="12" customHeight="1"/>
    <row r="11747" ht="12" customHeight="1"/>
    <row r="11748" ht="12" customHeight="1"/>
    <row r="11749" ht="12" customHeight="1"/>
    <row r="11750" ht="12" customHeight="1"/>
    <row r="11751" ht="12" customHeight="1"/>
    <row r="11752" ht="12" customHeight="1"/>
    <row r="11753" ht="12" customHeight="1"/>
    <row r="11754" ht="12" customHeight="1"/>
    <row r="11755" ht="12" customHeight="1"/>
    <row r="11756" ht="12" customHeight="1"/>
    <row r="11757" ht="12" customHeight="1"/>
    <row r="11758" ht="12" customHeight="1"/>
    <row r="11759" ht="12" customHeight="1"/>
    <row r="11760" ht="12" customHeight="1"/>
    <row r="11761" ht="12" customHeight="1"/>
    <row r="11762" ht="12" customHeight="1"/>
    <row r="11763" ht="12" customHeight="1"/>
    <row r="11764" ht="12" customHeight="1"/>
    <row r="11765" ht="12" customHeight="1"/>
    <row r="11766" ht="12" customHeight="1"/>
    <row r="11767" ht="12" customHeight="1"/>
    <row r="11768" ht="12" customHeight="1"/>
    <row r="11769" ht="12" customHeight="1"/>
    <row r="11770" ht="12" customHeight="1"/>
    <row r="11771" ht="12" customHeight="1"/>
    <row r="11772" ht="12" customHeight="1"/>
    <row r="11773" ht="12" customHeight="1"/>
    <row r="11774" ht="12" customHeight="1"/>
    <row r="11775" ht="12" customHeight="1"/>
    <row r="11776" ht="12" customHeight="1"/>
    <row r="11777" ht="12" customHeight="1"/>
    <row r="11778" ht="12" customHeight="1"/>
    <row r="11779" ht="12" customHeight="1"/>
    <row r="11780" ht="12" customHeight="1"/>
    <row r="11781" ht="12" customHeight="1"/>
    <row r="11782" ht="12" customHeight="1"/>
    <row r="11783" ht="12" customHeight="1"/>
    <row r="11784" ht="12" customHeight="1"/>
    <row r="11785" ht="12" customHeight="1"/>
    <row r="11786" ht="12" customHeight="1"/>
    <row r="11787" ht="12" customHeight="1"/>
    <row r="11788" ht="12" customHeight="1"/>
    <row r="11789" ht="12" customHeight="1"/>
    <row r="11790" ht="12" customHeight="1"/>
    <row r="11791" ht="12" customHeight="1"/>
    <row r="11792" ht="12" customHeight="1"/>
    <row r="11793" ht="12" customHeight="1"/>
    <row r="11794" ht="12" customHeight="1"/>
    <row r="11795" ht="12" customHeight="1"/>
    <row r="11796" ht="12" customHeight="1"/>
    <row r="11797" ht="12" customHeight="1"/>
    <row r="11798" ht="12" customHeight="1"/>
    <row r="11799" ht="12" customHeight="1"/>
    <row r="11800" ht="12" customHeight="1"/>
    <row r="11801" ht="12" customHeight="1"/>
    <row r="11802" ht="12" customHeight="1"/>
    <row r="11803" ht="12" customHeight="1"/>
    <row r="11804" ht="12" customHeight="1"/>
    <row r="11805" ht="12" customHeight="1"/>
    <row r="11806" ht="12" customHeight="1"/>
    <row r="11807" ht="12" customHeight="1"/>
    <row r="11808" ht="12" customHeight="1"/>
    <row r="11809" ht="12" customHeight="1"/>
    <row r="11810" ht="12" customHeight="1"/>
    <row r="11811" ht="12" customHeight="1"/>
    <row r="11812" ht="12" customHeight="1"/>
    <row r="11813" ht="12" customHeight="1"/>
    <row r="11814" ht="12" customHeight="1"/>
    <row r="11815" ht="12" customHeight="1"/>
    <row r="11816" ht="12" customHeight="1"/>
    <row r="11817" ht="12" customHeight="1"/>
    <row r="11818" ht="12" customHeight="1"/>
    <row r="11819" ht="12" customHeight="1"/>
    <row r="11820" ht="12" customHeight="1"/>
    <row r="11821" ht="12" customHeight="1"/>
    <row r="11822" ht="12" customHeight="1"/>
    <row r="11823" ht="12" customHeight="1"/>
    <row r="11824" ht="12" customHeight="1"/>
    <row r="11825" ht="12" customHeight="1"/>
    <row r="11826" ht="12" customHeight="1"/>
    <row r="11827" ht="12" customHeight="1"/>
    <row r="11828" ht="12" customHeight="1"/>
    <row r="11829" ht="12" customHeight="1"/>
    <row r="11830" ht="12" customHeight="1"/>
    <row r="11831" ht="12" customHeight="1"/>
    <row r="11832" ht="12" customHeight="1"/>
    <row r="11833" ht="12" customHeight="1"/>
    <row r="11834" ht="12" customHeight="1"/>
    <row r="11835" ht="12" customHeight="1"/>
    <row r="11836" ht="12" customHeight="1"/>
    <row r="11837" ht="12" customHeight="1"/>
    <row r="11838" ht="12" customHeight="1"/>
    <row r="11839" ht="12" customHeight="1"/>
    <row r="11840" ht="12" customHeight="1"/>
    <row r="11841" ht="12" customHeight="1"/>
    <row r="11842" ht="12" customHeight="1"/>
    <row r="11843" ht="12" customHeight="1"/>
    <row r="11844" ht="12" customHeight="1"/>
    <row r="11845" ht="12" customHeight="1"/>
    <row r="11846" ht="12" customHeight="1"/>
    <row r="11847" ht="12" customHeight="1"/>
    <row r="11848" ht="12" customHeight="1"/>
    <row r="11849" ht="12" customHeight="1"/>
    <row r="11850" ht="12" customHeight="1"/>
    <row r="11851" ht="12" customHeight="1"/>
    <row r="11852" ht="12" customHeight="1"/>
    <row r="11853" ht="12" customHeight="1"/>
    <row r="11854" ht="12" customHeight="1"/>
    <row r="11855" ht="12" customHeight="1"/>
    <row r="11856" ht="12" customHeight="1"/>
    <row r="11857" ht="12" customHeight="1"/>
    <row r="11858" ht="12" customHeight="1"/>
    <row r="11859" ht="12" customHeight="1"/>
    <row r="11860" ht="12" customHeight="1"/>
    <row r="11861" ht="12" customHeight="1"/>
    <row r="11862" ht="12" customHeight="1"/>
    <row r="11863" ht="12" customHeight="1"/>
    <row r="11864" ht="12" customHeight="1"/>
    <row r="11865" ht="12" customHeight="1"/>
    <row r="11866" ht="12" customHeight="1"/>
    <row r="11867" ht="12" customHeight="1"/>
    <row r="11868" ht="12" customHeight="1"/>
    <row r="11869" ht="12" customHeight="1"/>
    <row r="11870" ht="12" customHeight="1"/>
    <row r="11871" ht="12" customHeight="1"/>
    <row r="11872" ht="12" customHeight="1"/>
    <row r="11873" ht="12" customHeight="1"/>
    <row r="11874" ht="12" customHeight="1"/>
    <row r="11875" ht="12" customHeight="1"/>
    <row r="11876" ht="12" customHeight="1"/>
    <row r="11877" ht="12" customHeight="1"/>
    <row r="11878" ht="12" customHeight="1"/>
    <row r="11879" ht="12" customHeight="1"/>
    <row r="11880" ht="12" customHeight="1"/>
    <row r="11881" ht="12" customHeight="1"/>
    <row r="11882" ht="12" customHeight="1"/>
    <row r="11883" ht="12" customHeight="1"/>
    <row r="11884" ht="12" customHeight="1"/>
    <row r="11885" ht="12" customHeight="1"/>
    <row r="11886" ht="12" customHeight="1"/>
    <row r="11887" ht="12" customHeight="1"/>
    <row r="11888" ht="12" customHeight="1"/>
    <row r="11889" ht="12" customHeight="1"/>
    <row r="11890" ht="12" customHeight="1"/>
    <row r="11891" ht="12" customHeight="1"/>
    <row r="11892" ht="12" customHeight="1"/>
    <row r="11893" ht="12" customHeight="1"/>
    <row r="11894" ht="12" customHeight="1"/>
    <row r="11895" ht="12" customHeight="1"/>
    <row r="11896" ht="12" customHeight="1"/>
    <row r="11897" ht="12" customHeight="1"/>
    <row r="11898" ht="12" customHeight="1"/>
    <row r="11899" ht="12" customHeight="1"/>
    <row r="11900" ht="12" customHeight="1"/>
    <row r="11901" ht="12" customHeight="1"/>
    <row r="11902" ht="12" customHeight="1"/>
    <row r="11903" ht="12" customHeight="1"/>
    <row r="11904" ht="12" customHeight="1"/>
    <row r="11905" ht="12" customHeight="1"/>
    <row r="11906" ht="12" customHeight="1"/>
    <row r="11907" ht="12" customHeight="1"/>
    <row r="11908" ht="12" customHeight="1"/>
    <row r="11909" ht="12" customHeight="1"/>
    <row r="11910" ht="12" customHeight="1"/>
    <row r="11911" ht="12" customHeight="1"/>
    <row r="11912" ht="12" customHeight="1"/>
    <row r="11913" ht="12" customHeight="1"/>
    <row r="11914" ht="12" customHeight="1"/>
    <row r="11915" ht="12" customHeight="1"/>
    <row r="11916" ht="12" customHeight="1"/>
    <row r="11917" ht="12" customHeight="1"/>
    <row r="11918" ht="12" customHeight="1"/>
    <row r="11919" ht="12" customHeight="1"/>
    <row r="11920" ht="12" customHeight="1"/>
    <row r="11921" ht="12" customHeight="1"/>
    <row r="11922" ht="12" customHeight="1"/>
    <row r="11923" ht="12" customHeight="1"/>
    <row r="11924" ht="12" customHeight="1"/>
    <row r="11925" ht="12" customHeight="1"/>
    <row r="11926" ht="12" customHeight="1"/>
    <row r="11927" ht="12" customHeight="1"/>
    <row r="11928" ht="12" customHeight="1"/>
    <row r="11929" ht="12" customHeight="1"/>
    <row r="11930" ht="12" customHeight="1"/>
    <row r="11931" ht="12" customHeight="1"/>
    <row r="11932" ht="12" customHeight="1"/>
    <row r="11933" ht="12" customHeight="1"/>
    <row r="11934" ht="12" customHeight="1"/>
    <row r="11935" ht="12" customHeight="1"/>
    <row r="11936" ht="12" customHeight="1"/>
    <row r="11937" ht="12" customHeight="1"/>
    <row r="11938" ht="12" customHeight="1"/>
    <row r="11939" ht="12" customHeight="1"/>
    <row r="11940" ht="12" customHeight="1"/>
    <row r="11941" ht="12" customHeight="1"/>
    <row r="11942" ht="12" customHeight="1"/>
    <row r="11943" ht="12" customHeight="1"/>
    <row r="11944" ht="12" customHeight="1"/>
    <row r="11945" ht="12" customHeight="1"/>
    <row r="11946" ht="12" customHeight="1"/>
    <row r="11947" ht="12" customHeight="1"/>
    <row r="11948" ht="12" customHeight="1"/>
    <row r="11949" ht="12" customHeight="1"/>
    <row r="11950" ht="12" customHeight="1"/>
    <row r="11951" ht="12" customHeight="1"/>
    <row r="11952" ht="12" customHeight="1"/>
    <row r="11953" ht="12" customHeight="1"/>
    <row r="11954" ht="12" customHeight="1"/>
    <row r="11955" ht="12" customHeight="1"/>
    <row r="11956" ht="12" customHeight="1"/>
    <row r="11957" ht="12" customHeight="1"/>
    <row r="11958" ht="12" customHeight="1"/>
    <row r="11959" ht="12" customHeight="1"/>
    <row r="11960" ht="12" customHeight="1"/>
    <row r="11961" ht="12" customHeight="1"/>
    <row r="11962" ht="12" customHeight="1"/>
    <row r="11963" ht="12" customHeight="1"/>
    <row r="11964" ht="12" customHeight="1"/>
    <row r="11965" ht="12" customHeight="1"/>
    <row r="11966" ht="12" customHeight="1"/>
    <row r="11967" ht="12" customHeight="1"/>
    <row r="11968" ht="12" customHeight="1"/>
    <row r="11969" ht="12" customHeight="1"/>
    <row r="11970" ht="12" customHeight="1"/>
    <row r="11971" ht="12" customHeight="1"/>
    <row r="11972" ht="12" customHeight="1"/>
    <row r="11973" ht="12" customHeight="1"/>
    <row r="11974" ht="12" customHeight="1"/>
    <row r="11975" ht="12" customHeight="1"/>
    <row r="11976" ht="12" customHeight="1"/>
    <row r="11977" ht="12" customHeight="1"/>
    <row r="11978" ht="12" customHeight="1"/>
    <row r="11979" ht="12" customHeight="1"/>
    <row r="11980" ht="12" customHeight="1"/>
    <row r="11981" ht="12" customHeight="1"/>
    <row r="11982" ht="12" customHeight="1"/>
    <row r="11983" ht="12" customHeight="1"/>
    <row r="11984" ht="12" customHeight="1"/>
    <row r="11985" ht="12" customHeight="1"/>
    <row r="11986" ht="12" customHeight="1"/>
    <row r="11987" ht="12" customHeight="1"/>
    <row r="11988" ht="12" customHeight="1"/>
    <row r="11989" ht="12" customHeight="1"/>
    <row r="11990" ht="12" customHeight="1"/>
    <row r="11991" ht="12" customHeight="1"/>
    <row r="11992" ht="12" customHeight="1"/>
    <row r="11993" ht="12" customHeight="1"/>
    <row r="11994" ht="12" customHeight="1"/>
    <row r="11995" ht="12" customHeight="1"/>
    <row r="11996" ht="12" customHeight="1"/>
    <row r="11997" ht="12" customHeight="1"/>
    <row r="11998" ht="12" customHeight="1"/>
    <row r="11999" ht="12" customHeight="1"/>
    <row r="12000" ht="12" customHeight="1"/>
    <row r="12001" ht="12" customHeight="1"/>
    <row r="12002" ht="12" customHeight="1"/>
    <row r="12003" ht="12" customHeight="1"/>
    <row r="12004" ht="12" customHeight="1"/>
    <row r="12005" ht="12" customHeight="1"/>
    <row r="12006" ht="12" customHeight="1"/>
    <row r="12007" ht="12" customHeight="1"/>
    <row r="12008" ht="12" customHeight="1"/>
    <row r="12009" ht="12" customHeight="1"/>
    <row r="12010" ht="12" customHeight="1"/>
    <row r="12011" ht="12" customHeight="1"/>
    <row r="12012" ht="12" customHeight="1"/>
    <row r="12013" ht="12" customHeight="1"/>
    <row r="12014" ht="12" customHeight="1"/>
    <row r="12015" ht="12" customHeight="1"/>
    <row r="12016" ht="12" customHeight="1"/>
    <row r="12017" ht="12" customHeight="1"/>
    <row r="12018" ht="12" customHeight="1"/>
    <row r="12019" ht="12" customHeight="1"/>
    <row r="12020" ht="12" customHeight="1"/>
    <row r="12021" ht="12" customHeight="1"/>
    <row r="12022" ht="12" customHeight="1"/>
    <row r="12023" ht="12" customHeight="1"/>
    <row r="12024" ht="12" customHeight="1"/>
    <row r="12025" ht="12" customHeight="1"/>
    <row r="12026" ht="12" customHeight="1"/>
    <row r="12027" ht="12" customHeight="1"/>
    <row r="12028" ht="12" customHeight="1"/>
    <row r="12029" ht="12" customHeight="1"/>
    <row r="12030" ht="12" customHeight="1"/>
    <row r="12031" ht="12" customHeight="1"/>
    <row r="12032" ht="12" customHeight="1"/>
    <row r="12033" ht="12" customHeight="1"/>
    <row r="12034" ht="12" customHeight="1"/>
    <row r="12035" ht="12" customHeight="1"/>
    <row r="12036" ht="12" customHeight="1"/>
    <row r="12037" ht="12" customHeight="1"/>
    <row r="12038" ht="12" customHeight="1"/>
    <row r="12039" ht="12" customHeight="1"/>
    <row r="12040" ht="12" customHeight="1"/>
    <row r="12041" ht="12" customHeight="1"/>
    <row r="12042" ht="12" customHeight="1"/>
    <row r="12043" ht="12" customHeight="1"/>
    <row r="12044" ht="12" customHeight="1"/>
    <row r="12045" ht="12" customHeight="1"/>
    <row r="12046" ht="12" customHeight="1"/>
    <row r="12047" ht="12" customHeight="1"/>
    <row r="12048" ht="12" customHeight="1"/>
    <row r="12049" ht="12" customHeight="1"/>
    <row r="12050" ht="12" customHeight="1"/>
    <row r="12051" ht="12" customHeight="1"/>
    <row r="12052" ht="12" customHeight="1"/>
    <row r="12053" ht="12" customHeight="1"/>
    <row r="12054" ht="12" customHeight="1"/>
    <row r="12055" ht="12" customHeight="1"/>
    <row r="12056" ht="12" customHeight="1"/>
    <row r="12057" ht="12" customHeight="1"/>
    <row r="12058" ht="12" customHeight="1"/>
    <row r="12059" ht="12" customHeight="1"/>
    <row r="12060" ht="12" customHeight="1"/>
    <row r="12061" ht="12" customHeight="1"/>
    <row r="12062" ht="12" customHeight="1"/>
    <row r="12063" ht="12" customHeight="1"/>
    <row r="12064" ht="12" customHeight="1"/>
    <row r="12065" ht="12" customHeight="1"/>
    <row r="12066" ht="12" customHeight="1"/>
    <row r="12067" ht="12" customHeight="1"/>
    <row r="12068" ht="12" customHeight="1"/>
    <row r="12069" ht="12" customHeight="1"/>
    <row r="12070" ht="12" customHeight="1"/>
    <row r="12071" ht="12" customHeight="1"/>
    <row r="12072" ht="12" customHeight="1"/>
    <row r="12073" ht="12" customHeight="1"/>
    <row r="12074" ht="12" customHeight="1"/>
    <row r="12075" ht="12" customHeight="1"/>
    <row r="12076" ht="12" customHeight="1"/>
    <row r="12077" ht="12" customHeight="1"/>
    <row r="12078" ht="12" customHeight="1"/>
    <row r="12079" ht="12" customHeight="1"/>
    <row r="12080" ht="12" customHeight="1"/>
    <row r="12081" ht="12" customHeight="1"/>
    <row r="12082" ht="12" customHeight="1"/>
    <row r="12083" ht="12" customHeight="1"/>
    <row r="12084" ht="12" customHeight="1"/>
    <row r="12085" ht="12" customHeight="1"/>
    <row r="12086" ht="12" customHeight="1"/>
    <row r="12087" ht="12" customHeight="1"/>
    <row r="12088" ht="12" customHeight="1"/>
    <row r="12089" ht="12" customHeight="1"/>
    <row r="12090" ht="12" customHeight="1"/>
    <row r="12091" ht="12" customHeight="1"/>
    <row r="12092" ht="12" customHeight="1"/>
    <row r="12093" ht="12" customHeight="1"/>
    <row r="12094" ht="12" customHeight="1"/>
    <row r="12095" ht="12" customHeight="1"/>
    <row r="12096" ht="12" customHeight="1"/>
    <row r="12097" ht="12" customHeight="1"/>
    <row r="12098" ht="12" customHeight="1"/>
    <row r="12099" ht="12" customHeight="1"/>
    <row r="12100" ht="12" customHeight="1"/>
    <row r="12101" ht="12" customHeight="1"/>
    <row r="12102" ht="12" customHeight="1"/>
    <row r="12103" ht="12" customHeight="1"/>
    <row r="12104" ht="12" customHeight="1"/>
    <row r="12105" ht="12" customHeight="1"/>
    <row r="12106" ht="12" customHeight="1"/>
    <row r="12107" ht="12" customHeight="1"/>
    <row r="12108" ht="12" customHeight="1"/>
    <row r="12109" ht="12" customHeight="1"/>
    <row r="12110" ht="12" customHeight="1"/>
    <row r="12111" ht="12" customHeight="1"/>
    <row r="12112" ht="12" customHeight="1"/>
    <row r="12113" ht="12" customHeight="1"/>
    <row r="12114" ht="12" customHeight="1"/>
    <row r="12115" ht="12" customHeight="1"/>
    <row r="12116" ht="12" customHeight="1"/>
    <row r="12117" ht="12" customHeight="1"/>
    <row r="12118" ht="12" customHeight="1"/>
    <row r="12119" ht="12" customHeight="1"/>
    <row r="12120" ht="12" customHeight="1"/>
    <row r="12121" ht="12" customHeight="1"/>
    <row r="12122" ht="12" customHeight="1"/>
    <row r="12123" ht="12" customHeight="1"/>
    <row r="12124" ht="12" customHeight="1"/>
    <row r="12125" ht="12" customHeight="1"/>
    <row r="12126" ht="12" customHeight="1"/>
    <row r="12127" ht="12" customHeight="1"/>
    <row r="12128" ht="12" customHeight="1"/>
    <row r="12129" ht="12" customHeight="1"/>
    <row r="12130" ht="12" customHeight="1"/>
    <row r="12131" ht="12" customHeight="1"/>
    <row r="12132" ht="12" customHeight="1"/>
    <row r="12133" ht="12" customHeight="1"/>
    <row r="12134" ht="12" customHeight="1"/>
    <row r="12135" ht="12" customHeight="1"/>
    <row r="12136" ht="12" customHeight="1"/>
    <row r="12137" ht="12" customHeight="1"/>
    <row r="12138" ht="12" customHeight="1"/>
    <row r="12139" ht="12" customHeight="1"/>
    <row r="12140" ht="12" customHeight="1"/>
    <row r="12141" ht="12" customHeight="1"/>
    <row r="12142" ht="12" customHeight="1"/>
    <row r="12143" ht="12" customHeight="1"/>
    <row r="12144" ht="12" customHeight="1"/>
    <row r="12145" ht="12" customHeight="1"/>
    <row r="12146" ht="12" customHeight="1"/>
    <row r="12147" ht="12" customHeight="1"/>
    <row r="12148" ht="12" customHeight="1"/>
    <row r="12149" ht="12" customHeight="1"/>
    <row r="12150" ht="12" customHeight="1"/>
    <row r="12151" ht="12" customHeight="1"/>
    <row r="12152" ht="12" customHeight="1"/>
    <row r="12153" ht="12" customHeight="1"/>
    <row r="12154" ht="12" customHeight="1"/>
    <row r="12155" ht="12" customHeight="1"/>
    <row r="12156" ht="12" customHeight="1"/>
    <row r="12157" ht="12" customHeight="1"/>
    <row r="12158" ht="12" customHeight="1"/>
    <row r="12159" ht="12" customHeight="1"/>
    <row r="12160" ht="12" customHeight="1"/>
    <row r="12161" ht="12" customHeight="1"/>
    <row r="12162" ht="12" customHeight="1"/>
    <row r="12163" ht="12" customHeight="1"/>
    <row r="12164" ht="12" customHeight="1"/>
    <row r="12165" ht="12" customHeight="1"/>
    <row r="12166" ht="12" customHeight="1"/>
    <row r="12167" ht="12" customHeight="1"/>
    <row r="12168" ht="12" customHeight="1"/>
    <row r="12169" ht="12" customHeight="1"/>
    <row r="12170" ht="12" customHeight="1"/>
    <row r="12171" ht="12" customHeight="1"/>
    <row r="12172" ht="12" customHeight="1"/>
    <row r="12173" ht="12" customHeight="1"/>
    <row r="12174" ht="12" customHeight="1"/>
    <row r="12175" ht="12" customHeight="1"/>
    <row r="12176" ht="12" customHeight="1"/>
    <row r="12177" ht="12" customHeight="1"/>
    <row r="12178" ht="12" customHeight="1"/>
    <row r="12179" ht="12" customHeight="1"/>
    <row r="12180" ht="12" customHeight="1"/>
    <row r="12181" ht="12" customHeight="1"/>
    <row r="12182" ht="12" customHeight="1"/>
    <row r="12183" ht="12" customHeight="1"/>
    <row r="12184" ht="12" customHeight="1"/>
    <row r="12185" ht="12" customHeight="1"/>
    <row r="12186" ht="12" customHeight="1"/>
    <row r="12187" ht="12" customHeight="1"/>
    <row r="12188" ht="12" customHeight="1"/>
    <row r="12189" ht="12" customHeight="1"/>
    <row r="12190" ht="12" customHeight="1"/>
    <row r="12191" ht="12" customHeight="1"/>
    <row r="12192" ht="12" customHeight="1"/>
    <row r="12193" ht="12" customHeight="1"/>
    <row r="12194" ht="12" customHeight="1"/>
    <row r="12195" ht="12" customHeight="1"/>
    <row r="12196" ht="12" customHeight="1"/>
    <row r="12197" ht="12" customHeight="1"/>
    <row r="12198" ht="12" customHeight="1"/>
    <row r="12199" ht="12" customHeight="1"/>
    <row r="12200" ht="12" customHeight="1"/>
    <row r="12201" ht="12" customHeight="1"/>
    <row r="12202" ht="12" customHeight="1"/>
    <row r="12203" ht="12" customHeight="1"/>
    <row r="12204" ht="12" customHeight="1"/>
    <row r="12205" ht="12" customHeight="1"/>
    <row r="12206" ht="12" customHeight="1"/>
    <row r="12207" ht="12" customHeight="1"/>
    <row r="12208" ht="12" customHeight="1"/>
    <row r="12209" ht="12" customHeight="1"/>
    <row r="12210" ht="12" customHeight="1"/>
    <row r="12211" ht="12" customHeight="1"/>
    <row r="12212" ht="12" customHeight="1"/>
    <row r="12213" ht="12" customHeight="1"/>
    <row r="12214" ht="12" customHeight="1"/>
    <row r="12215" ht="12" customHeight="1"/>
    <row r="12216" ht="12" customHeight="1"/>
    <row r="12217" ht="12" customHeight="1"/>
    <row r="12218" ht="12" customHeight="1"/>
    <row r="12219" ht="12" customHeight="1"/>
    <row r="12220" ht="12" customHeight="1"/>
    <row r="12221" ht="12" customHeight="1"/>
    <row r="12222" ht="12" customHeight="1"/>
    <row r="12223" ht="12" customHeight="1"/>
    <row r="12224" ht="12" customHeight="1"/>
    <row r="12225" ht="12" customHeight="1"/>
    <row r="12226" ht="12" customHeight="1"/>
    <row r="12227" ht="12" customHeight="1"/>
    <row r="12228" ht="12" customHeight="1"/>
    <row r="12229" ht="12" customHeight="1"/>
    <row r="12230" ht="12" customHeight="1"/>
    <row r="12231" ht="12" customHeight="1"/>
    <row r="12232" ht="12" customHeight="1"/>
    <row r="12233" ht="12" customHeight="1"/>
    <row r="12234" ht="12" customHeight="1"/>
    <row r="12235" ht="12" customHeight="1"/>
    <row r="12236" ht="12" customHeight="1"/>
    <row r="12237" ht="12" customHeight="1"/>
    <row r="12238" ht="12" customHeight="1"/>
    <row r="12239" ht="12" customHeight="1"/>
    <row r="12240" ht="12" customHeight="1"/>
    <row r="12241" ht="12" customHeight="1"/>
    <row r="12242" ht="12" customHeight="1"/>
    <row r="12243" ht="12" customHeight="1"/>
    <row r="12244" ht="12" customHeight="1"/>
    <row r="12245" ht="12" customHeight="1"/>
    <row r="12246" ht="12" customHeight="1"/>
    <row r="12247" ht="12" customHeight="1"/>
    <row r="12248" ht="12" customHeight="1"/>
    <row r="12249" ht="12" customHeight="1"/>
    <row r="12250" ht="12" customHeight="1"/>
    <row r="12251" ht="12" customHeight="1"/>
    <row r="12252" ht="12" customHeight="1"/>
    <row r="12253" ht="12" customHeight="1"/>
    <row r="12254" ht="12" customHeight="1"/>
    <row r="12255" ht="12" customHeight="1"/>
    <row r="12256" ht="12" customHeight="1"/>
    <row r="12257" ht="12" customHeight="1"/>
    <row r="12258" ht="12" customHeight="1"/>
    <row r="12259" ht="12" customHeight="1"/>
    <row r="12260" ht="12" customHeight="1"/>
    <row r="12261" ht="12" customHeight="1"/>
    <row r="12262" ht="12" customHeight="1"/>
    <row r="12263" ht="12" customHeight="1"/>
    <row r="12264" ht="12" customHeight="1"/>
    <row r="12265" ht="12" customHeight="1"/>
    <row r="12266" ht="12" customHeight="1"/>
    <row r="12267" ht="12" customHeight="1"/>
    <row r="12268" ht="12" customHeight="1"/>
    <row r="12269" ht="12" customHeight="1"/>
    <row r="12270" ht="12" customHeight="1"/>
    <row r="12271" ht="12" customHeight="1"/>
    <row r="12272" ht="12" customHeight="1"/>
    <row r="12273" ht="12" customHeight="1"/>
    <row r="12274" ht="12" customHeight="1"/>
    <row r="12275" ht="12" customHeight="1"/>
    <row r="12276" ht="12" customHeight="1"/>
    <row r="12277" ht="12" customHeight="1"/>
    <row r="12278" ht="12" customHeight="1"/>
    <row r="12279" ht="12" customHeight="1"/>
    <row r="12280" ht="12" customHeight="1"/>
    <row r="12281" ht="12" customHeight="1"/>
    <row r="12282" ht="12" customHeight="1"/>
    <row r="12283" ht="12" customHeight="1"/>
    <row r="12284" ht="12" customHeight="1"/>
    <row r="12285" ht="12" customHeight="1"/>
    <row r="12286" ht="12" customHeight="1"/>
    <row r="12287" ht="12" customHeight="1"/>
    <row r="12288" ht="12" customHeight="1"/>
    <row r="12289" ht="12" customHeight="1"/>
    <row r="12290" ht="12" customHeight="1"/>
    <row r="12291" ht="12" customHeight="1"/>
    <row r="12292" ht="12" customHeight="1"/>
    <row r="12293" ht="12" customHeight="1"/>
    <row r="12294" ht="12" customHeight="1"/>
    <row r="12295" ht="12" customHeight="1"/>
    <row r="12296" ht="12" customHeight="1"/>
    <row r="12297" ht="12" customHeight="1"/>
    <row r="12298" ht="12" customHeight="1"/>
    <row r="12299" ht="12" customHeight="1"/>
    <row r="12300" ht="12" customHeight="1"/>
    <row r="12301" ht="12" customHeight="1"/>
    <row r="12302" ht="12" customHeight="1"/>
    <row r="12303" ht="12" customHeight="1"/>
    <row r="12304" ht="12" customHeight="1"/>
    <row r="12305" ht="12" customHeight="1"/>
    <row r="12306" ht="12" customHeight="1"/>
    <row r="12307" ht="12" customHeight="1"/>
    <row r="12308" ht="12" customHeight="1"/>
    <row r="12309" ht="12" customHeight="1"/>
    <row r="12310" ht="12" customHeight="1"/>
    <row r="12311" ht="12" customHeight="1"/>
    <row r="12312" ht="12" customHeight="1"/>
    <row r="12313" ht="12" customHeight="1"/>
    <row r="12314" ht="12" customHeight="1"/>
    <row r="12315" ht="12" customHeight="1"/>
    <row r="12316" ht="12" customHeight="1"/>
    <row r="12317" ht="12" customHeight="1"/>
    <row r="12318" ht="12" customHeight="1"/>
    <row r="12319" ht="12" customHeight="1"/>
    <row r="12320" ht="12" customHeight="1"/>
    <row r="12321" ht="12" customHeight="1"/>
    <row r="12322" ht="12" customHeight="1"/>
    <row r="12323" ht="12" customHeight="1"/>
    <row r="12324" ht="12" customHeight="1"/>
    <row r="12325" ht="12" customHeight="1"/>
    <row r="12326" ht="12" customHeight="1"/>
    <row r="12327" ht="12" customHeight="1"/>
    <row r="12328" ht="12" customHeight="1"/>
    <row r="12329" ht="12" customHeight="1"/>
    <row r="12330" ht="12" customHeight="1"/>
    <row r="12331" ht="12" customHeight="1"/>
    <row r="12332" ht="12" customHeight="1"/>
    <row r="12333" ht="12" customHeight="1"/>
    <row r="12334" ht="12" customHeight="1"/>
    <row r="12335" ht="12" customHeight="1"/>
    <row r="12336" ht="12" customHeight="1"/>
    <row r="12337" ht="12" customHeight="1"/>
    <row r="12338" ht="12" customHeight="1"/>
    <row r="12339" ht="12" customHeight="1"/>
    <row r="12340" ht="12" customHeight="1"/>
    <row r="12341" ht="12" customHeight="1"/>
    <row r="12342" ht="12" customHeight="1"/>
    <row r="12343" ht="12" customHeight="1"/>
    <row r="12344" ht="12" customHeight="1"/>
    <row r="12345" ht="12" customHeight="1"/>
    <row r="12346" ht="12" customHeight="1"/>
    <row r="12347" ht="12" customHeight="1"/>
    <row r="12348" ht="12" customHeight="1"/>
    <row r="12349" ht="12" customHeight="1"/>
    <row r="12350" ht="12" customHeight="1"/>
    <row r="12351" ht="12" customHeight="1"/>
    <row r="12352" ht="12" customHeight="1"/>
    <row r="12353" ht="12" customHeight="1"/>
    <row r="12354" ht="12" customHeight="1"/>
    <row r="12355" ht="12" customHeight="1"/>
    <row r="12356" ht="12" customHeight="1"/>
    <row r="12357" ht="12" customHeight="1"/>
    <row r="12358" ht="12" customHeight="1"/>
    <row r="12359" ht="12" customHeight="1"/>
    <row r="12360" ht="12" customHeight="1"/>
    <row r="12361" ht="12" customHeight="1"/>
    <row r="12362" ht="12" customHeight="1"/>
    <row r="12363" ht="12" customHeight="1"/>
    <row r="12364" ht="12" customHeight="1"/>
    <row r="12365" ht="12" customHeight="1"/>
    <row r="12366" ht="12" customHeight="1"/>
    <row r="12367" ht="12" customHeight="1"/>
    <row r="12368" ht="12" customHeight="1"/>
    <row r="12369" ht="12" customHeight="1"/>
    <row r="12370" ht="12" customHeight="1"/>
    <row r="12371" ht="12" customHeight="1"/>
    <row r="12372" ht="12" customHeight="1"/>
    <row r="12373" ht="12" customHeight="1"/>
    <row r="12374" ht="12" customHeight="1"/>
    <row r="12375" ht="12" customHeight="1"/>
    <row r="12376" ht="12" customHeight="1"/>
    <row r="12377" ht="12" customHeight="1"/>
    <row r="12378" ht="12" customHeight="1"/>
    <row r="12379" ht="12" customHeight="1"/>
    <row r="12380" ht="12" customHeight="1"/>
    <row r="12381" ht="12" customHeight="1"/>
    <row r="12382" ht="12" customHeight="1"/>
    <row r="12383" ht="12" customHeight="1"/>
    <row r="12384" ht="12" customHeight="1"/>
    <row r="12385" ht="12" customHeight="1"/>
    <row r="12386" ht="12" customHeight="1"/>
    <row r="12387" ht="12" customHeight="1"/>
    <row r="12388" ht="12" customHeight="1"/>
    <row r="12389" ht="12" customHeight="1"/>
    <row r="12390" ht="12" customHeight="1"/>
    <row r="12391" ht="12" customHeight="1"/>
    <row r="12392" ht="12" customHeight="1"/>
    <row r="12393" ht="12" customHeight="1"/>
    <row r="12394" ht="12" customHeight="1"/>
    <row r="12395" ht="12" customHeight="1"/>
    <row r="12396" ht="12" customHeight="1"/>
    <row r="12397" ht="12" customHeight="1"/>
    <row r="12398" ht="12" customHeight="1"/>
    <row r="12399" ht="12" customHeight="1"/>
    <row r="12400" ht="12" customHeight="1"/>
    <row r="12401" ht="12" customHeight="1"/>
    <row r="12402" ht="12" customHeight="1"/>
    <row r="12403" ht="12" customHeight="1"/>
    <row r="12404" ht="12" customHeight="1"/>
    <row r="12405" ht="12" customHeight="1"/>
    <row r="12406" ht="12" customHeight="1"/>
    <row r="12407" ht="12" customHeight="1"/>
    <row r="12408" ht="12" customHeight="1"/>
    <row r="12409" ht="12" customHeight="1"/>
    <row r="12410" ht="12" customHeight="1"/>
    <row r="12411" ht="12" customHeight="1"/>
    <row r="12412" ht="12" customHeight="1"/>
    <row r="12413" ht="12" customHeight="1"/>
    <row r="12414" ht="12" customHeight="1"/>
    <row r="12415" ht="12" customHeight="1"/>
    <row r="12416" ht="12" customHeight="1"/>
    <row r="12417" ht="12" customHeight="1"/>
    <row r="12418" ht="12" customHeight="1"/>
    <row r="12419" ht="12" customHeight="1"/>
    <row r="12420" ht="12" customHeight="1"/>
    <row r="12421" ht="12" customHeight="1"/>
    <row r="12422" ht="12" customHeight="1"/>
    <row r="12423" ht="12" customHeight="1"/>
    <row r="12424" ht="12" customHeight="1"/>
    <row r="12425" ht="12" customHeight="1"/>
    <row r="12426" ht="12" customHeight="1"/>
    <row r="12427" ht="12" customHeight="1"/>
    <row r="12428" ht="12" customHeight="1"/>
    <row r="12429" ht="12" customHeight="1"/>
    <row r="12430" ht="12" customHeight="1"/>
    <row r="12431" ht="12" customHeight="1"/>
    <row r="12432" ht="12" customHeight="1"/>
    <row r="12433" ht="12" customHeight="1"/>
    <row r="12434" ht="12" customHeight="1"/>
    <row r="12435" ht="12" customHeight="1"/>
    <row r="12436" ht="12" customHeight="1"/>
    <row r="12437" ht="12" customHeight="1"/>
    <row r="12438" ht="12" customHeight="1"/>
    <row r="12439" ht="12" customHeight="1"/>
    <row r="12440" ht="12" customHeight="1"/>
    <row r="12441" ht="12" customHeight="1"/>
    <row r="12442" ht="12" customHeight="1"/>
    <row r="12443" ht="12" customHeight="1"/>
    <row r="12444" ht="12" customHeight="1"/>
    <row r="12445" ht="12" customHeight="1"/>
    <row r="12446" ht="12" customHeight="1"/>
    <row r="12447" ht="12" customHeight="1"/>
    <row r="12448" ht="12" customHeight="1"/>
    <row r="12449" ht="12" customHeight="1"/>
    <row r="12450" ht="12" customHeight="1"/>
    <row r="12451" ht="12" customHeight="1"/>
    <row r="12452" ht="12" customHeight="1"/>
    <row r="12453" ht="12" customHeight="1"/>
    <row r="12454" ht="12" customHeight="1"/>
    <row r="12455" ht="12" customHeight="1"/>
    <row r="12456" ht="12" customHeight="1"/>
    <row r="12457" ht="12" customHeight="1"/>
    <row r="12458" ht="12" customHeight="1"/>
    <row r="12459" ht="12" customHeight="1"/>
    <row r="12460" ht="12" customHeight="1"/>
    <row r="12461" ht="12" customHeight="1"/>
    <row r="12462" ht="12" customHeight="1"/>
    <row r="12463" ht="12" customHeight="1"/>
    <row r="12464" ht="12" customHeight="1"/>
    <row r="12465" ht="12" customHeight="1"/>
    <row r="12466" ht="12" customHeight="1"/>
    <row r="12467" ht="12" customHeight="1"/>
    <row r="12468" ht="12" customHeight="1"/>
    <row r="12469" ht="12" customHeight="1"/>
    <row r="12470" ht="12" customHeight="1"/>
    <row r="12471" ht="12" customHeight="1"/>
    <row r="12472" ht="12" customHeight="1"/>
    <row r="12473" ht="12" customHeight="1"/>
    <row r="12474" ht="12" customHeight="1"/>
    <row r="12475" ht="12" customHeight="1"/>
    <row r="12476" ht="12" customHeight="1"/>
    <row r="12477" ht="12" customHeight="1"/>
    <row r="12478" ht="12" customHeight="1"/>
    <row r="12479" ht="12" customHeight="1"/>
    <row r="12480" ht="12" customHeight="1"/>
    <row r="12481" ht="12" customHeight="1"/>
    <row r="12482" ht="12" customHeight="1"/>
    <row r="12483" ht="12" customHeight="1"/>
    <row r="12484" ht="12" customHeight="1"/>
    <row r="12485" ht="12" customHeight="1"/>
    <row r="12486" ht="12" customHeight="1"/>
    <row r="12487" ht="12" customHeight="1"/>
    <row r="12488" ht="12" customHeight="1"/>
    <row r="12489" ht="12" customHeight="1"/>
    <row r="12490" ht="12" customHeight="1"/>
    <row r="12491" ht="12" customHeight="1"/>
    <row r="12492" ht="12" customHeight="1"/>
    <row r="12493" ht="12" customHeight="1"/>
    <row r="12494" ht="12" customHeight="1"/>
    <row r="12495" ht="12" customHeight="1"/>
    <row r="12496" ht="12" customHeight="1"/>
    <row r="12497" ht="12" customHeight="1"/>
    <row r="12498" ht="12" customHeight="1"/>
    <row r="12499" ht="12" customHeight="1"/>
    <row r="12500" ht="12" customHeight="1"/>
    <row r="12501" ht="12" customHeight="1"/>
    <row r="12502" ht="12" customHeight="1"/>
    <row r="12503" ht="12" customHeight="1"/>
    <row r="12504" ht="12" customHeight="1"/>
    <row r="12505" ht="12" customHeight="1"/>
    <row r="12506" ht="12" customHeight="1"/>
    <row r="12507" ht="12" customHeight="1"/>
    <row r="12508" ht="12" customHeight="1"/>
    <row r="12509" ht="12" customHeight="1"/>
    <row r="12510" ht="12" customHeight="1"/>
    <row r="12511" ht="12" customHeight="1"/>
    <row r="12512" ht="12" customHeight="1"/>
    <row r="12513" ht="12" customHeight="1"/>
    <row r="12514" ht="12" customHeight="1"/>
    <row r="12515" ht="12" customHeight="1"/>
    <row r="12516" ht="12" customHeight="1"/>
    <row r="12517" ht="12" customHeight="1"/>
    <row r="12518" ht="12" customHeight="1"/>
    <row r="12519" ht="12" customHeight="1"/>
    <row r="12520" ht="12" customHeight="1"/>
    <row r="12521" ht="12" customHeight="1"/>
    <row r="12522" ht="12" customHeight="1"/>
    <row r="12523" ht="12" customHeight="1"/>
    <row r="12524" ht="12" customHeight="1"/>
    <row r="12525" ht="12" customHeight="1"/>
    <row r="12526" ht="12" customHeight="1"/>
    <row r="12527" ht="12" customHeight="1"/>
    <row r="12528" ht="12" customHeight="1"/>
    <row r="12529" ht="12" customHeight="1"/>
    <row r="12530" ht="12" customHeight="1"/>
    <row r="12531" ht="12" customHeight="1"/>
    <row r="12532" ht="12" customHeight="1"/>
    <row r="12533" ht="12" customHeight="1"/>
    <row r="12534" ht="12" customHeight="1"/>
    <row r="12535" ht="12" customHeight="1"/>
    <row r="12536" ht="12" customHeight="1"/>
    <row r="12537" ht="12" customHeight="1"/>
    <row r="12538" ht="12" customHeight="1"/>
    <row r="12539" ht="12" customHeight="1"/>
    <row r="12540" ht="12" customHeight="1"/>
    <row r="12541" ht="12" customHeight="1"/>
    <row r="12542" ht="12" customHeight="1"/>
    <row r="12543" ht="12" customHeight="1"/>
    <row r="12544" ht="12" customHeight="1"/>
    <row r="12545" ht="12" customHeight="1"/>
    <row r="12546" ht="12" customHeight="1"/>
    <row r="12547" ht="12" customHeight="1"/>
    <row r="12548" ht="12" customHeight="1"/>
    <row r="12549" ht="12" customHeight="1"/>
    <row r="12550" ht="12" customHeight="1"/>
    <row r="12551" ht="12" customHeight="1"/>
    <row r="12552" ht="12" customHeight="1"/>
    <row r="12553" ht="12" customHeight="1"/>
    <row r="12554" ht="12" customHeight="1"/>
    <row r="12555" ht="12" customHeight="1"/>
    <row r="12556" ht="12" customHeight="1"/>
    <row r="12557" ht="12" customHeight="1"/>
    <row r="12558" ht="12" customHeight="1"/>
    <row r="12559" ht="12" customHeight="1"/>
    <row r="12560" ht="12" customHeight="1"/>
    <row r="12561" ht="12" customHeight="1"/>
    <row r="12562" ht="12" customHeight="1"/>
    <row r="12563" ht="12" customHeight="1"/>
    <row r="12564" ht="12" customHeight="1"/>
    <row r="12565" ht="12" customHeight="1"/>
    <row r="12566" ht="12" customHeight="1"/>
    <row r="12567" ht="12" customHeight="1"/>
    <row r="12568" ht="12" customHeight="1"/>
    <row r="12569" ht="12" customHeight="1"/>
    <row r="12570" ht="12" customHeight="1"/>
    <row r="12571" ht="12" customHeight="1"/>
    <row r="12572" ht="12" customHeight="1"/>
    <row r="12573" ht="12" customHeight="1"/>
    <row r="12574" ht="12" customHeight="1"/>
    <row r="12575" ht="12" customHeight="1"/>
    <row r="12576" ht="12" customHeight="1"/>
    <row r="12577" ht="12" customHeight="1"/>
    <row r="12578" ht="12" customHeight="1"/>
    <row r="12579" ht="12" customHeight="1"/>
    <row r="12580" ht="12" customHeight="1"/>
    <row r="12581" ht="12" customHeight="1"/>
    <row r="12582" ht="12" customHeight="1"/>
    <row r="12583" ht="12" customHeight="1"/>
    <row r="12584" ht="12" customHeight="1"/>
    <row r="12585" ht="12" customHeight="1"/>
    <row r="12586" ht="12" customHeight="1"/>
    <row r="12587" ht="12" customHeight="1"/>
    <row r="12588" ht="12" customHeight="1"/>
    <row r="12589" ht="12" customHeight="1"/>
    <row r="12590" ht="12" customHeight="1"/>
    <row r="12591" ht="12" customHeight="1"/>
    <row r="12592" ht="12" customHeight="1"/>
    <row r="12593" ht="12" customHeight="1"/>
    <row r="12594" ht="12" customHeight="1"/>
    <row r="12595" ht="12" customHeight="1"/>
    <row r="12596" ht="12" customHeight="1"/>
    <row r="12597" ht="12" customHeight="1"/>
    <row r="12598" ht="12" customHeight="1"/>
    <row r="12599" ht="12" customHeight="1"/>
    <row r="12600" ht="12" customHeight="1"/>
    <row r="12601" ht="12" customHeight="1"/>
    <row r="12602" ht="12" customHeight="1"/>
    <row r="12603" ht="12" customHeight="1"/>
    <row r="12604" ht="12" customHeight="1"/>
    <row r="12605" ht="12" customHeight="1"/>
    <row r="12606" ht="12" customHeight="1"/>
    <row r="12607" ht="12" customHeight="1"/>
    <row r="12608" ht="12" customHeight="1"/>
    <row r="12609" ht="12" customHeight="1"/>
    <row r="12610" ht="12" customHeight="1"/>
    <row r="12611" ht="12" customHeight="1"/>
    <row r="12612" ht="12" customHeight="1"/>
    <row r="12613" ht="12" customHeight="1"/>
    <row r="12614" ht="12" customHeight="1"/>
    <row r="12615" ht="12" customHeight="1"/>
    <row r="12616" ht="12" customHeight="1"/>
    <row r="12617" ht="12" customHeight="1"/>
    <row r="12618" ht="12" customHeight="1"/>
    <row r="12619" ht="12" customHeight="1"/>
    <row r="12620" ht="12" customHeight="1"/>
    <row r="12621" ht="12" customHeight="1"/>
    <row r="12622" ht="12" customHeight="1"/>
    <row r="12623" ht="12" customHeight="1"/>
    <row r="12624" ht="12" customHeight="1"/>
    <row r="12625" ht="12" customHeight="1"/>
    <row r="12626" ht="12" customHeight="1"/>
    <row r="12627" ht="12" customHeight="1"/>
    <row r="12628" ht="12" customHeight="1"/>
    <row r="12629" ht="12" customHeight="1"/>
    <row r="12630" ht="12" customHeight="1"/>
    <row r="12631" ht="12" customHeight="1"/>
    <row r="12632" ht="12" customHeight="1"/>
    <row r="12633" ht="12" customHeight="1"/>
    <row r="12634" ht="12" customHeight="1"/>
    <row r="12635" ht="12" customHeight="1"/>
    <row r="12636" ht="12" customHeight="1"/>
    <row r="12637" ht="12" customHeight="1"/>
    <row r="12638" ht="12" customHeight="1"/>
    <row r="12639" ht="12" customHeight="1"/>
    <row r="12640" ht="12" customHeight="1"/>
    <row r="12641" ht="12" customHeight="1"/>
    <row r="12642" ht="12" customHeight="1"/>
    <row r="12643" ht="12" customHeight="1"/>
    <row r="12644" ht="12" customHeight="1"/>
    <row r="12645" ht="12" customHeight="1"/>
    <row r="12646" ht="12" customHeight="1"/>
    <row r="12647" ht="12" customHeight="1"/>
    <row r="12648" ht="12" customHeight="1"/>
    <row r="12649" ht="12" customHeight="1"/>
    <row r="12650" ht="12" customHeight="1"/>
    <row r="12651" ht="12" customHeight="1"/>
    <row r="12652" ht="12" customHeight="1"/>
    <row r="12653" ht="12" customHeight="1"/>
    <row r="12654" ht="12" customHeight="1"/>
    <row r="12655" ht="12" customHeight="1"/>
    <row r="12656" ht="12" customHeight="1"/>
    <row r="12657" ht="12" customHeight="1"/>
    <row r="12658" ht="12" customHeight="1"/>
    <row r="12659" ht="12" customHeight="1"/>
    <row r="12660" ht="12" customHeight="1"/>
    <row r="12661" ht="12" customHeight="1"/>
    <row r="12662" ht="12" customHeight="1"/>
    <row r="12663" ht="12" customHeight="1"/>
    <row r="12664" ht="12" customHeight="1"/>
    <row r="12665" ht="12" customHeight="1"/>
    <row r="12666" ht="12" customHeight="1"/>
    <row r="12667" ht="12" customHeight="1"/>
    <row r="12668" ht="12" customHeight="1"/>
    <row r="12669" ht="12" customHeight="1"/>
    <row r="12670" ht="12" customHeight="1"/>
    <row r="12671" ht="12" customHeight="1"/>
    <row r="12672" ht="12" customHeight="1"/>
    <row r="12673" ht="12" customHeight="1"/>
    <row r="12674" ht="12" customHeight="1"/>
    <row r="12675" ht="12" customHeight="1"/>
    <row r="12676" ht="12" customHeight="1"/>
    <row r="12677" ht="12" customHeight="1"/>
    <row r="12678" ht="12" customHeight="1"/>
    <row r="12679" ht="12" customHeight="1"/>
    <row r="12680" ht="12" customHeight="1"/>
    <row r="12681" ht="12" customHeight="1"/>
    <row r="12682" ht="12" customHeight="1"/>
    <row r="12683" ht="12" customHeight="1"/>
    <row r="12684" ht="12" customHeight="1"/>
    <row r="12685" ht="12" customHeight="1"/>
    <row r="12686" ht="12" customHeight="1"/>
    <row r="12687" ht="12" customHeight="1"/>
    <row r="12688" ht="12" customHeight="1"/>
    <row r="12689" ht="12" customHeight="1"/>
    <row r="12690" ht="12" customHeight="1"/>
    <row r="12691" ht="12" customHeight="1"/>
    <row r="12692" ht="12" customHeight="1"/>
    <row r="12693" ht="12" customHeight="1"/>
    <row r="12694" ht="12" customHeight="1"/>
    <row r="12695" ht="12" customHeight="1"/>
    <row r="12696" ht="12" customHeight="1"/>
    <row r="12697" ht="12" customHeight="1"/>
    <row r="12698" ht="12" customHeight="1"/>
    <row r="12699" ht="12" customHeight="1"/>
    <row r="12700" ht="12" customHeight="1"/>
    <row r="12701" ht="12" customHeight="1"/>
    <row r="12702" ht="12" customHeight="1"/>
    <row r="12703" ht="12" customHeight="1"/>
    <row r="12704" ht="12" customHeight="1"/>
    <row r="12705" ht="12" customHeight="1"/>
    <row r="12706" ht="12" customHeight="1"/>
    <row r="12707" ht="12" customHeight="1"/>
    <row r="12708" ht="12" customHeight="1"/>
    <row r="12709" ht="12" customHeight="1"/>
    <row r="12710" ht="12" customHeight="1"/>
    <row r="12711" ht="12" customHeight="1"/>
    <row r="12712" ht="12" customHeight="1"/>
    <row r="12713" ht="12" customHeight="1"/>
    <row r="12714" ht="12" customHeight="1"/>
    <row r="12715" ht="12" customHeight="1"/>
    <row r="12716" ht="12" customHeight="1"/>
    <row r="12717" ht="12" customHeight="1"/>
    <row r="12718" ht="12" customHeight="1"/>
    <row r="12719" ht="12" customHeight="1"/>
    <row r="12720" ht="12" customHeight="1"/>
    <row r="12721" ht="12" customHeight="1"/>
    <row r="12722" ht="12" customHeight="1"/>
    <row r="12723" ht="12" customHeight="1"/>
    <row r="12724" ht="12" customHeight="1"/>
    <row r="12725" ht="12" customHeight="1"/>
    <row r="12726" ht="12" customHeight="1"/>
    <row r="12727" ht="12" customHeight="1"/>
    <row r="12728" ht="12" customHeight="1"/>
    <row r="12729" ht="12" customHeight="1"/>
    <row r="12730" ht="12" customHeight="1"/>
    <row r="12731" ht="12" customHeight="1"/>
    <row r="12732" ht="12" customHeight="1"/>
    <row r="12733" ht="12" customHeight="1"/>
    <row r="12734" ht="12" customHeight="1"/>
    <row r="12735" ht="12" customHeight="1"/>
    <row r="12736" ht="12" customHeight="1"/>
    <row r="12737" ht="12" customHeight="1"/>
    <row r="12738" ht="12" customHeight="1"/>
    <row r="12739" ht="12" customHeight="1"/>
    <row r="12740" ht="12" customHeight="1"/>
    <row r="12741" ht="12" customHeight="1"/>
    <row r="12742" ht="12" customHeight="1"/>
    <row r="12743" ht="12" customHeight="1"/>
    <row r="12744" ht="12" customHeight="1"/>
    <row r="12745" ht="12" customHeight="1"/>
    <row r="12746" ht="12" customHeight="1"/>
    <row r="12747" ht="12" customHeight="1"/>
    <row r="12748" ht="12" customHeight="1"/>
    <row r="12749" ht="12" customHeight="1"/>
    <row r="12750" ht="12" customHeight="1"/>
    <row r="12751" ht="12" customHeight="1"/>
    <row r="12752" ht="12" customHeight="1"/>
    <row r="12753" ht="12" customHeight="1"/>
    <row r="12754" ht="12" customHeight="1"/>
    <row r="12755" ht="12" customHeight="1"/>
    <row r="12756" ht="12" customHeight="1"/>
    <row r="12757" ht="12" customHeight="1"/>
    <row r="12758" ht="12" customHeight="1"/>
    <row r="12759" ht="12" customHeight="1"/>
    <row r="12760" ht="12" customHeight="1"/>
    <row r="12761" ht="12" customHeight="1"/>
    <row r="12762" ht="12" customHeight="1"/>
    <row r="12763" ht="12" customHeight="1"/>
    <row r="12764" ht="12" customHeight="1"/>
    <row r="12765" ht="12" customHeight="1"/>
    <row r="12766" ht="12" customHeight="1"/>
    <row r="12767" ht="12" customHeight="1"/>
    <row r="12768" ht="12" customHeight="1"/>
    <row r="12769" ht="12" customHeight="1"/>
    <row r="12770" ht="12" customHeight="1"/>
    <row r="12771" ht="12" customHeight="1"/>
    <row r="12772" ht="12" customHeight="1"/>
    <row r="12773" ht="12" customHeight="1"/>
    <row r="12774" ht="12" customHeight="1"/>
    <row r="12775" ht="12" customHeight="1"/>
    <row r="12776" ht="12" customHeight="1"/>
    <row r="12777" ht="12" customHeight="1"/>
    <row r="12778" ht="12" customHeight="1"/>
    <row r="12779" ht="12" customHeight="1"/>
    <row r="12780" ht="12" customHeight="1"/>
    <row r="12781" ht="12" customHeight="1"/>
    <row r="12782" ht="12" customHeight="1"/>
    <row r="12783" ht="12" customHeight="1"/>
    <row r="12784" ht="12" customHeight="1"/>
    <row r="12785" ht="12" customHeight="1"/>
    <row r="12786" ht="12" customHeight="1"/>
    <row r="12787" ht="12" customHeight="1"/>
    <row r="12788" ht="12" customHeight="1"/>
    <row r="12789" ht="12" customHeight="1"/>
    <row r="12790" ht="12" customHeight="1"/>
    <row r="12791" ht="12" customHeight="1"/>
    <row r="12792" ht="12" customHeight="1"/>
    <row r="12793" ht="12" customHeight="1"/>
    <row r="12794" ht="12" customHeight="1"/>
    <row r="12795" ht="12" customHeight="1"/>
    <row r="12796" ht="12" customHeight="1"/>
    <row r="12797" ht="12" customHeight="1"/>
    <row r="12798" ht="12" customHeight="1"/>
    <row r="12799" ht="12" customHeight="1"/>
    <row r="12800" ht="12" customHeight="1"/>
    <row r="12801" ht="12" customHeight="1"/>
    <row r="12802" ht="12" customHeight="1"/>
    <row r="12803" ht="12" customHeight="1"/>
    <row r="12804" ht="12" customHeight="1"/>
    <row r="12805" ht="12" customHeight="1"/>
    <row r="12806" ht="12" customHeight="1"/>
    <row r="12807" ht="12" customHeight="1"/>
    <row r="12808" ht="12" customHeight="1"/>
    <row r="12809" ht="12" customHeight="1"/>
    <row r="12810" ht="12" customHeight="1"/>
    <row r="12811" ht="12" customHeight="1"/>
    <row r="12812" ht="12" customHeight="1"/>
    <row r="12813" ht="12" customHeight="1"/>
    <row r="12814" ht="12" customHeight="1"/>
    <row r="12815" ht="12" customHeight="1"/>
    <row r="12816" ht="12" customHeight="1"/>
    <row r="12817" ht="12" customHeight="1"/>
    <row r="12818" ht="12" customHeight="1"/>
    <row r="12819" ht="12" customHeight="1"/>
    <row r="12820" ht="12" customHeight="1"/>
    <row r="12821" ht="12" customHeight="1"/>
    <row r="12822" ht="12" customHeight="1"/>
    <row r="12823" ht="12" customHeight="1"/>
    <row r="12824" ht="12" customHeight="1"/>
    <row r="12825" ht="12" customHeight="1"/>
    <row r="12826" ht="12" customHeight="1"/>
    <row r="12827" ht="12" customHeight="1"/>
    <row r="12828" ht="12" customHeight="1"/>
    <row r="12829" ht="12" customHeight="1"/>
    <row r="12830" ht="12" customHeight="1"/>
    <row r="12831" ht="12" customHeight="1"/>
    <row r="12832" ht="12" customHeight="1"/>
    <row r="12833" ht="12" customHeight="1"/>
    <row r="12834" ht="12" customHeight="1"/>
    <row r="12835" ht="12" customHeight="1"/>
    <row r="12836" ht="12" customHeight="1"/>
    <row r="12837" ht="12" customHeight="1"/>
    <row r="12838" ht="12" customHeight="1"/>
    <row r="12839" ht="12" customHeight="1"/>
    <row r="12840" ht="12" customHeight="1"/>
    <row r="12841" ht="12" customHeight="1"/>
    <row r="12842" ht="12" customHeight="1"/>
    <row r="12843" ht="12" customHeight="1"/>
    <row r="12844" ht="12" customHeight="1"/>
    <row r="12845" ht="12" customHeight="1"/>
    <row r="12846" ht="12" customHeight="1"/>
    <row r="12847" ht="12" customHeight="1"/>
    <row r="12848" ht="12" customHeight="1"/>
    <row r="12849" ht="12" customHeight="1"/>
    <row r="12850" ht="12" customHeight="1"/>
    <row r="12851" ht="12" customHeight="1"/>
    <row r="12852" ht="12" customHeight="1"/>
    <row r="12853" ht="12" customHeight="1"/>
    <row r="12854" ht="12" customHeight="1"/>
    <row r="12855" ht="12" customHeight="1"/>
    <row r="12856" ht="12" customHeight="1"/>
    <row r="12857" ht="12" customHeight="1"/>
    <row r="12858" ht="12" customHeight="1"/>
    <row r="12859" ht="12" customHeight="1"/>
    <row r="12860" ht="12" customHeight="1"/>
    <row r="12861" ht="12" customHeight="1"/>
    <row r="12862" ht="12" customHeight="1"/>
    <row r="12863" ht="12" customHeight="1"/>
    <row r="12864" ht="12" customHeight="1"/>
    <row r="12865" ht="12" customHeight="1"/>
    <row r="12866" ht="12" customHeight="1"/>
    <row r="12867" ht="12" customHeight="1"/>
    <row r="12868" ht="12" customHeight="1"/>
    <row r="12869" ht="12" customHeight="1"/>
    <row r="12870" ht="12" customHeight="1"/>
    <row r="12871" ht="12" customHeight="1"/>
    <row r="12872" ht="12" customHeight="1"/>
    <row r="12873" ht="12" customHeight="1"/>
    <row r="12874" ht="12" customHeight="1"/>
    <row r="12875" ht="12" customHeight="1"/>
    <row r="12876" ht="12" customHeight="1"/>
    <row r="12877" ht="12" customHeight="1"/>
    <row r="12878" ht="12" customHeight="1"/>
    <row r="12879" ht="12" customHeight="1"/>
    <row r="12880" ht="12" customHeight="1"/>
    <row r="12881" ht="12" customHeight="1"/>
    <row r="12882" ht="12" customHeight="1"/>
    <row r="12883" ht="12" customHeight="1"/>
    <row r="12884" ht="12" customHeight="1"/>
    <row r="12885" ht="12" customHeight="1"/>
    <row r="12886" ht="12" customHeight="1"/>
    <row r="12887" ht="12" customHeight="1"/>
    <row r="12888" ht="12" customHeight="1"/>
    <row r="12889" ht="12" customHeight="1"/>
    <row r="12890" ht="12" customHeight="1"/>
    <row r="12891" ht="12" customHeight="1"/>
    <row r="12892" ht="12" customHeight="1"/>
    <row r="12893" ht="12" customHeight="1"/>
    <row r="12894" ht="12" customHeight="1"/>
    <row r="12895" ht="12" customHeight="1"/>
    <row r="12896" ht="12" customHeight="1"/>
    <row r="12897" ht="12" customHeight="1"/>
    <row r="12898" ht="12" customHeight="1"/>
    <row r="12899" ht="12" customHeight="1"/>
    <row r="12900" ht="12" customHeight="1"/>
    <row r="12901" ht="12" customHeight="1"/>
    <row r="12902" ht="12" customHeight="1"/>
    <row r="12903" ht="12" customHeight="1"/>
    <row r="12904" ht="12" customHeight="1"/>
    <row r="12905" ht="12" customHeight="1"/>
    <row r="12906" ht="12" customHeight="1"/>
    <row r="12907" ht="12" customHeight="1"/>
    <row r="12908" ht="12" customHeight="1"/>
    <row r="12909" ht="12" customHeight="1"/>
    <row r="12910" ht="12" customHeight="1"/>
    <row r="12911" ht="12" customHeight="1"/>
    <row r="12912" ht="12" customHeight="1"/>
    <row r="12913" ht="12" customHeight="1"/>
    <row r="12914" ht="12" customHeight="1"/>
    <row r="12915" ht="12" customHeight="1"/>
    <row r="12916" ht="12" customHeight="1"/>
    <row r="12917" ht="12" customHeight="1"/>
    <row r="12918" ht="12" customHeight="1"/>
    <row r="12919" ht="12" customHeight="1"/>
    <row r="12920" ht="12" customHeight="1"/>
    <row r="12921" ht="12" customHeight="1"/>
    <row r="12922" ht="12" customHeight="1"/>
    <row r="12923" ht="12" customHeight="1"/>
    <row r="12924" ht="12" customHeight="1"/>
    <row r="12925" ht="12" customHeight="1"/>
    <row r="12926" ht="12" customHeight="1"/>
    <row r="12927" ht="12" customHeight="1"/>
    <row r="12928" ht="12" customHeight="1"/>
    <row r="12929" ht="12" customHeight="1"/>
    <row r="12930" ht="12" customHeight="1"/>
    <row r="12931" ht="12" customHeight="1"/>
    <row r="12932" ht="12" customHeight="1"/>
    <row r="12933" ht="12" customHeight="1"/>
    <row r="12934" ht="12" customHeight="1"/>
    <row r="12935" ht="12" customHeight="1"/>
    <row r="12936" ht="12" customHeight="1"/>
    <row r="12937" ht="12" customHeight="1"/>
    <row r="12938" ht="12" customHeight="1"/>
    <row r="12939" ht="12" customHeight="1"/>
    <row r="12940" ht="12" customHeight="1"/>
    <row r="12941" ht="12" customHeight="1"/>
    <row r="12942" ht="12" customHeight="1"/>
    <row r="12943" ht="12" customHeight="1"/>
    <row r="12944" ht="12" customHeight="1"/>
    <row r="12945" ht="12" customHeight="1"/>
    <row r="12946" ht="12" customHeight="1"/>
    <row r="12947" ht="12" customHeight="1"/>
    <row r="12948" ht="12" customHeight="1"/>
    <row r="12949" ht="12" customHeight="1"/>
    <row r="12950" ht="12" customHeight="1"/>
    <row r="12951" ht="12" customHeight="1"/>
    <row r="12952" ht="12" customHeight="1"/>
    <row r="12953" ht="12" customHeight="1"/>
    <row r="12954" ht="12" customHeight="1"/>
    <row r="12955" ht="12" customHeight="1"/>
    <row r="12956" ht="12" customHeight="1"/>
    <row r="12957" ht="12" customHeight="1"/>
    <row r="12958" ht="12" customHeight="1"/>
    <row r="12959" ht="12" customHeight="1"/>
    <row r="12960" ht="12" customHeight="1"/>
    <row r="12961" ht="12" customHeight="1"/>
    <row r="12962" ht="12" customHeight="1"/>
    <row r="12963" ht="12" customHeight="1"/>
    <row r="12964" ht="12" customHeight="1"/>
    <row r="12965" ht="12" customHeight="1"/>
    <row r="12966" ht="12" customHeight="1"/>
    <row r="12967" ht="12" customHeight="1"/>
    <row r="12968" ht="12" customHeight="1"/>
    <row r="12969" ht="12" customHeight="1"/>
    <row r="12970" ht="12" customHeight="1"/>
    <row r="12971" ht="12" customHeight="1"/>
    <row r="12972" ht="12" customHeight="1"/>
    <row r="12973" ht="12" customHeight="1"/>
    <row r="12974" ht="12" customHeight="1"/>
    <row r="12975" ht="12" customHeight="1"/>
    <row r="12976" ht="12" customHeight="1"/>
    <row r="12977" ht="12" customHeight="1"/>
    <row r="12978" ht="12" customHeight="1"/>
    <row r="12979" ht="12" customHeight="1"/>
    <row r="12980" ht="12" customHeight="1"/>
    <row r="12981" ht="12" customHeight="1"/>
    <row r="12982" ht="12" customHeight="1"/>
    <row r="12983" ht="12" customHeight="1"/>
    <row r="12984" ht="12" customHeight="1"/>
    <row r="12985" ht="12" customHeight="1"/>
    <row r="12986" ht="12" customHeight="1"/>
    <row r="12987" ht="12" customHeight="1"/>
    <row r="12988" ht="12" customHeight="1"/>
    <row r="12989" ht="12" customHeight="1"/>
    <row r="12990" ht="12" customHeight="1"/>
    <row r="12991" ht="12" customHeight="1"/>
    <row r="12992" ht="12" customHeight="1"/>
    <row r="12993" ht="12" customHeight="1"/>
    <row r="12994" ht="12" customHeight="1"/>
    <row r="12995" ht="12" customHeight="1"/>
    <row r="12996" ht="12" customHeight="1"/>
    <row r="12997" ht="12" customHeight="1"/>
    <row r="12998" ht="12" customHeight="1"/>
    <row r="12999" ht="12" customHeight="1"/>
    <row r="13000" ht="12" customHeight="1"/>
    <row r="13001" ht="12" customHeight="1"/>
    <row r="13002" ht="12" customHeight="1"/>
    <row r="13003" ht="12" customHeight="1"/>
    <row r="13004" ht="12" customHeight="1"/>
    <row r="13005" ht="12" customHeight="1"/>
    <row r="13006" ht="12" customHeight="1"/>
    <row r="13007" ht="12" customHeight="1"/>
    <row r="13008" ht="12" customHeight="1"/>
    <row r="13009" ht="12" customHeight="1"/>
    <row r="13010" ht="12" customHeight="1"/>
    <row r="13011" ht="12" customHeight="1"/>
    <row r="13012" ht="12" customHeight="1"/>
    <row r="13013" ht="12" customHeight="1"/>
    <row r="13014" ht="12" customHeight="1"/>
    <row r="13015" ht="12" customHeight="1"/>
    <row r="13016" ht="12" customHeight="1"/>
    <row r="13017" ht="12" customHeight="1"/>
    <row r="13018" ht="12" customHeight="1"/>
    <row r="13019" ht="12" customHeight="1"/>
    <row r="13020" ht="12" customHeight="1"/>
    <row r="13021" ht="12" customHeight="1"/>
    <row r="13022" ht="12" customHeight="1"/>
    <row r="13023" ht="12" customHeight="1"/>
    <row r="13024" ht="12" customHeight="1"/>
    <row r="13025" ht="12" customHeight="1"/>
    <row r="13026" ht="12" customHeight="1"/>
    <row r="13027" ht="12" customHeight="1"/>
    <row r="13028" ht="12" customHeight="1"/>
    <row r="13029" ht="12" customHeight="1"/>
    <row r="13030" ht="12" customHeight="1"/>
    <row r="13031" ht="12" customHeight="1"/>
    <row r="13032" ht="12" customHeight="1"/>
    <row r="13033" ht="12" customHeight="1"/>
    <row r="13034" ht="12" customHeight="1"/>
    <row r="13035" ht="12" customHeight="1"/>
    <row r="13036" ht="12" customHeight="1"/>
    <row r="13037" ht="12" customHeight="1"/>
    <row r="13038" ht="12" customHeight="1"/>
    <row r="13039" ht="12" customHeight="1"/>
    <row r="13040" ht="12" customHeight="1"/>
    <row r="13041" ht="12" customHeight="1"/>
    <row r="13042" ht="12" customHeight="1"/>
    <row r="13043" ht="12" customHeight="1"/>
    <row r="13044" ht="12" customHeight="1"/>
    <row r="13045" ht="12" customHeight="1"/>
    <row r="13046" ht="12" customHeight="1"/>
    <row r="13047" ht="12" customHeight="1"/>
    <row r="13048" ht="12" customHeight="1"/>
    <row r="13049" ht="12" customHeight="1"/>
    <row r="13050" ht="12" customHeight="1"/>
    <row r="13051" ht="12" customHeight="1"/>
    <row r="13052" ht="12" customHeight="1"/>
    <row r="13053" ht="12" customHeight="1"/>
    <row r="13054" ht="12" customHeight="1"/>
    <row r="13055" ht="12" customHeight="1"/>
    <row r="13056" ht="12" customHeight="1"/>
    <row r="13057" ht="12" customHeight="1"/>
    <row r="13058" ht="12" customHeight="1"/>
    <row r="13059" ht="12" customHeight="1"/>
    <row r="13060" ht="12" customHeight="1"/>
    <row r="13061" ht="12" customHeight="1"/>
    <row r="13062" ht="12" customHeight="1"/>
    <row r="13063" ht="12" customHeight="1"/>
    <row r="13064" ht="12" customHeight="1"/>
    <row r="13065" ht="12" customHeight="1"/>
    <row r="13066" ht="12" customHeight="1"/>
    <row r="13067" ht="12" customHeight="1"/>
    <row r="13068" ht="12" customHeight="1"/>
    <row r="13069" ht="12" customHeight="1"/>
    <row r="13070" ht="12" customHeight="1"/>
    <row r="13071" ht="12" customHeight="1"/>
    <row r="13072" ht="12" customHeight="1"/>
    <row r="13073" ht="12" customHeight="1"/>
    <row r="13074" ht="12" customHeight="1"/>
    <row r="13075" ht="12" customHeight="1"/>
    <row r="13076" ht="12" customHeight="1"/>
    <row r="13077" ht="12" customHeight="1"/>
    <row r="13078" ht="12" customHeight="1"/>
    <row r="13079" ht="12" customHeight="1"/>
    <row r="13080" ht="12" customHeight="1"/>
    <row r="13081" ht="12" customHeight="1"/>
    <row r="13082" ht="12" customHeight="1"/>
    <row r="13083" ht="12" customHeight="1"/>
    <row r="13084" ht="12" customHeight="1"/>
    <row r="13085" ht="12" customHeight="1"/>
    <row r="13086" ht="12" customHeight="1"/>
    <row r="13087" ht="12" customHeight="1"/>
    <row r="13088" ht="12" customHeight="1"/>
    <row r="13089" ht="12" customHeight="1"/>
    <row r="13090" ht="12" customHeight="1"/>
    <row r="13091" ht="12" customHeight="1"/>
    <row r="13092" ht="12" customHeight="1"/>
    <row r="13093" ht="12" customHeight="1"/>
    <row r="13094" ht="12" customHeight="1"/>
    <row r="13095" ht="12" customHeight="1"/>
    <row r="13096" ht="12" customHeight="1"/>
    <row r="13097" ht="12" customHeight="1"/>
    <row r="13098" ht="12" customHeight="1"/>
    <row r="13099" ht="12" customHeight="1"/>
    <row r="13100" ht="12" customHeight="1"/>
    <row r="13101" ht="12" customHeight="1"/>
    <row r="13102" ht="12" customHeight="1"/>
    <row r="13103" ht="12" customHeight="1"/>
    <row r="13104" ht="12" customHeight="1"/>
    <row r="13105" ht="12" customHeight="1"/>
    <row r="13106" ht="12" customHeight="1"/>
    <row r="13107" ht="12" customHeight="1"/>
    <row r="13108" ht="12" customHeight="1"/>
    <row r="13109" ht="12" customHeight="1"/>
    <row r="13110" ht="12" customHeight="1"/>
    <row r="13111" ht="12" customHeight="1"/>
    <row r="13112" ht="12" customHeight="1"/>
    <row r="13113" ht="12" customHeight="1"/>
    <row r="13114" ht="12" customHeight="1"/>
    <row r="13115" ht="12" customHeight="1"/>
    <row r="13116" ht="12" customHeight="1"/>
    <row r="13117" ht="12" customHeight="1"/>
    <row r="13118" ht="12" customHeight="1"/>
    <row r="13119" ht="12" customHeight="1"/>
    <row r="13120" ht="12" customHeight="1"/>
    <row r="13121" ht="12" customHeight="1"/>
    <row r="13122" ht="12" customHeight="1"/>
    <row r="13123" ht="12" customHeight="1"/>
    <row r="13124" ht="12" customHeight="1"/>
    <row r="13125" ht="12" customHeight="1"/>
    <row r="13126" ht="12" customHeight="1"/>
    <row r="13127" ht="12" customHeight="1"/>
    <row r="13128" ht="12" customHeight="1"/>
    <row r="13129" ht="12" customHeight="1"/>
    <row r="13130" ht="12" customHeight="1"/>
    <row r="13131" ht="12" customHeight="1"/>
    <row r="13132" ht="12" customHeight="1"/>
    <row r="13133" ht="12" customHeight="1"/>
    <row r="13134" ht="12" customHeight="1"/>
    <row r="13135" ht="12" customHeight="1"/>
    <row r="13136" ht="12" customHeight="1"/>
    <row r="13137" ht="12" customHeight="1"/>
    <row r="13138" ht="12" customHeight="1"/>
    <row r="13139" ht="12" customHeight="1"/>
    <row r="13140" ht="12" customHeight="1"/>
    <row r="13141" ht="12" customHeight="1"/>
    <row r="13142" ht="12" customHeight="1"/>
    <row r="13143" ht="12" customHeight="1"/>
    <row r="13144" ht="12" customHeight="1"/>
    <row r="13145" ht="12" customHeight="1"/>
    <row r="13146" ht="12" customHeight="1"/>
    <row r="13147" ht="12" customHeight="1"/>
    <row r="13148" ht="12" customHeight="1"/>
    <row r="13149" ht="12" customHeight="1"/>
    <row r="13150" ht="12" customHeight="1"/>
    <row r="13151" ht="12" customHeight="1"/>
    <row r="13152" ht="12" customHeight="1"/>
    <row r="13153" ht="12" customHeight="1"/>
    <row r="13154" ht="12" customHeight="1"/>
    <row r="13155" ht="12" customHeight="1"/>
    <row r="13156" ht="12" customHeight="1"/>
    <row r="13157" ht="12" customHeight="1"/>
    <row r="13158" ht="12" customHeight="1"/>
    <row r="13159" ht="12" customHeight="1"/>
    <row r="13160" ht="12" customHeight="1"/>
    <row r="13161" ht="12" customHeight="1"/>
    <row r="13162" ht="12" customHeight="1"/>
    <row r="13163" ht="12" customHeight="1"/>
    <row r="13164" ht="12" customHeight="1"/>
    <row r="13165" ht="12" customHeight="1"/>
    <row r="13166" ht="12" customHeight="1"/>
    <row r="13167" ht="12" customHeight="1"/>
    <row r="13168" ht="12" customHeight="1"/>
    <row r="13169" ht="12" customHeight="1"/>
    <row r="13170" ht="12" customHeight="1"/>
    <row r="13171" ht="12" customHeight="1"/>
    <row r="13172" ht="12" customHeight="1"/>
    <row r="13173" ht="12" customHeight="1"/>
    <row r="13174" ht="12" customHeight="1"/>
    <row r="13175" ht="12" customHeight="1"/>
    <row r="13176" ht="12" customHeight="1"/>
    <row r="13177" ht="12" customHeight="1"/>
    <row r="13178" ht="12" customHeight="1"/>
    <row r="13179" ht="12" customHeight="1"/>
    <row r="13180" ht="12" customHeight="1"/>
    <row r="13181" ht="12" customHeight="1"/>
    <row r="13182" ht="12" customHeight="1"/>
    <row r="13183" ht="12" customHeight="1"/>
    <row r="13184" ht="12" customHeight="1"/>
    <row r="13185" ht="12" customHeight="1"/>
    <row r="13186" ht="12" customHeight="1"/>
    <row r="13187" ht="12" customHeight="1"/>
    <row r="13188" ht="12" customHeight="1"/>
    <row r="13189" ht="12" customHeight="1"/>
    <row r="13190" ht="12" customHeight="1"/>
    <row r="13191" ht="12" customHeight="1"/>
    <row r="13192" ht="12" customHeight="1"/>
    <row r="13193" ht="12" customHeight="1"/>
    <row r="13194" ht="12" customHeight="1"/>
    <row r="13195" ht="12" customHeight="1"/>
    <row r="13196" ht="12" customHeight="1"/>
    <row r="13197" ht="12" customHeight="1"/>
    <row r="13198" ht="12" customHeight="1"/>
    <row r="13199" ht="12" customHeight="1"/>
    <row r="13200" ht="12" customHeight="1"/>
    <row r="13201" ht="12" customHeight="1"/>
    <row r="13202" ht="12" customHeight="1"/>
    <row r="13203" ht="12" customHeight="1"/>
    <row r="13204" ht="12" customHeight="1"/>
    <row r="13205" ht="12" customHeight="1"/>
    <row r="13206" ht="12" customHeight="1"/>
    <row r="13207" ht="12" customHeight="1"/>
    <row r="13208" ht="12" customHeight="1"/>
    <row r="13209" ht="12" customHeight="1"/>
    <row r="13210" ht="12" customHeight="1"/>
    <row r="13211" ht="12" customHeight="1"/>
    <row r="13212" ht="12" customHeight="1"/>
    <row r="13213" ht="12" customHeight="1"/>
    <row r="13214" ht="12" customHeight="1"/>
    <row r="13215" ht="12" customHeight="1"/>
    <row r="13216" ht="12" customHeight="1"/>
    <row r="13217" ht="12" customHeight="1"/>
    <row r="13218" ht="12" customHeight="1"/>
    <row r="13219" ht="12" customHeight="1"/>
    <row r="13220" ht="12" customHeight="1"/>
    <row r="13221" ht="12" customHeight="1"/>
    <row r="13222" ht="12" customHeight="1"/>
    <row r="13223" ht="12" customHeight="1"/>
    <row r="13224" ht="12" customHeight="1"/>
    <row r="13225" ht="12" customHeight="1"/>
    <row r="13226" ht="12" customHeight="1"/>
    <row r="13227" ht="12" customHeight="1"/>
    <row r="13228" ht="12" customHeight="1"/>
    <row r="13229" ht="12" customHeight="1"/>
    <row r="13230" ht="12" customHeight="1"/>
    <row r="13231" ht="12" customHeight="1"/>
    <row r="13232" ht="12" customHeight="1"/>
    <row r="13233" ht="12" customHeight="1"/>
    <row r="13234" ht="12" customHeight="1"/>
    <row r="13235" ht="12" customHeight="1"/>
    <row r="13236" ht="12" customHeight="1"/>
    <row r="13237" ht="12" customHeight="1"/>
    <row r="13238" ht="12" customHeight="1"/>
    <row r="13239" ht="12" customHeight="1"/>
    <row r="13240" ht="12" customHeight="1"/>
    <row r="13241" ht="12" customHeight="1"/>
    <row r="13242" ht="12" customHeight="1"/>
    <row r="13243" ht="12" customHeight="1"/>
    <row r="13244" ht="12" customHeight="1"/>
    <row r="13245" ht="12" customHeight="1"/>
    <row r="13246" ht="12" customHeight="1"/>
    <row r="13247" ht="12" customHeight="1"/>
    <row r="13248" ht="12" customHeight="1"/>
    <row r="13249" ht="12" customHeight="1"/>
    <row r="13250" ht="12" customHeight="1"/>
    <row r="13251" ht="12" customHeight="1"/>
    <row r="13252" ht="12" customHeight="1"/>
    <row r="13253" ht="12" customHeight="1"/>
    <row r="13254" ht="12" customHeight="1"/>
    <row r="13255" ht="12" customHeight="1"/>
    <row r="13256" ht="12" customHeight="1"/>
    <row r="13257" ht="12" customHeight="1"/>
    <row r="13258" ht="12" customHeight="1"/>
    <row r="13259" ht="12" customHeight="1"/>
    <row r="13260" ht="12" customHeight="1"/>
    <row r="13261" ht="12" customHeight="1"/>
    <row r="13262" ht="12" customHeight="1"/>
    <row r="13263" ht="12" customHeight="1"/>
    <row r="13264" ht="12" customHeight="1"/>
    <row r="13265" ht="12" customHeight="1"/>
    <row r="13266" ht="12" customHeight="1"/>
    <row r="13267" ht="12" customHeight="1"/>
    <row r="13268" ht="12" customHeight="1"/>
    <row r="13269" ht="12" customHeight="1"/>
    <row r="13270" ht="12" customHeight="1"/>
    <row r="13271" ht="12" customHeight="1"/>
    <row r="13272" ht="12" customHeight="1"/>
    <row r="13273" ht="12" customHeight="1"/>
    <row r="13274" ht="12" customHeight="1"/>
    <row r="13275" ht="12" customHeight="1"/>
    <row r="13276" ht="12" customHeight="1"/>
    <row r="13277" ht="12" customHeight="1"/>
    <row r="13278" ht="12" customHeight="1"/>
    <row r="13279" ht="12" customHeight="1"/>
    <row r="13280" ht="12" customHeight="1"/>
    <row r="13281" ht="12" customHeight="1"/>
    <row r="13282" ht="12" customHeight="1"/>
    <row r="13283" ht="12" customHeight="1"/>
    <row r="13284" ht="12" customHeight="1"/>
    <row r="13285" ht="12" customHeight="1"/>
    <row r="13286" ht="12" customHeight="1"/>
    <row r="13287" ht="12" customHeight="1"/>
    <row r="13288" ht="12" customHeight="1"/>
    <row r="13289" ht="12" customHeight="1"/>
    <row r="13290" ht="12" customHeight="1"/>
    <row r="13291" ht="12" customHeight="1"/>
    <row r="13292" ht="12" customHeight="1"/>
    <row r="13293" ht="12" customHeight="1"/>
    <row r="13294" ht="12" customHeight="1"/>
    <row r="13295" ht="12" customHeight="1"/>
    <row r="13296" ht="12" customHeight="1"/>
    <row r="13297" ht="12" customHeight="1"/>
    <row r="13298" ht="12" customHeight="1"/>
    <row r="13299" ht="12" customHeight="1"/>
    <row r="13300" ht="12" customHeight="1"/>
    <row r="13301" ht="12" customHeight="1"/>
    <row r="13302" ht="12" customHeight="1"/>
    <row r="13303" ht="12" customHeight="1"/>
    <row r="13304" ht="12" customHeight="1"/>
    <row r="13305" ht="12" customHeight="1"/>
    <row r="13306" ht="12" customHeight="1"/>
    <row r="13307" ht="12" customHeight="1"/>
    <row r="13308" ht="12" customHeight="1"/>
    <row r="13309" ht="12" customHeight="1"/>
    <row r="13310" ht="12" customHeight="1"/>
    <row r="13311" ht="12" customHeight="1"/>
    <row r="13312" ht="12" customHeight="1"/>
    <row r="13313" ht="12" customHeight="1"/>
    <row r="13314" ht="12" customHeight="1"/>
    <row r="13315" ht="12" customHeight="1"/>
    <row r="13316" ht="12" customHeight="1"/>
    <row r="13317" ht="12" customHeight="1"/>
    <row r="13318" ht="12" customHeight="1"/>
    <row r="13319" ht="12" customHeight="1"/>
    <row r="13320" ht="12" customHeight="1"/>
    <row r="13321" ht="12" customHeight="1"/>
    <row r="13322" ht="12" customHeight="1"/>
    <row r="13323" ht="12" customHeight="1"/>
    <row r="13324" ht="12" customHeight="1"/>
    <row r="13325" ht="12" customHeight="1"/>
    <row r="13326" ht="12" customHeight="1"/>
    <row r="13327" ht="12" customHeight="1"/>
    <row r="13328" ht="12" customHeight="1"/>
    <row r="13329" ht="12" customHeight="1"/>
    <row r="13330" ht="12" customHeight="1"/>
    <row r="13331" ht="12" customHeight="1"/>
    <row r="13332" ht="12" customHeight="1"/>
    <row r="13333" ht="12" customHeight="1"/>
    <row r="13334" ht="12" customHeight="1"/>
    <row r="13335" ht="12" customHeight="1"/>
    <row r="13336" ht="12" customHeight="1"/>
    <row r="13337" ht="12" customHeight="1"/>
    <row r="13338" ht="12" customHeight="1"/>
    <row r="13339" ht="12" customHeight="1"/>
    <row r="13340" ht="12" customHeight="1"/>
    <row r="13341" ht="12" customHeight="1"/>
    <row r="13342" ht="12" customHeight="1"/>
    <row r="13343" ht="12" customHeight="1"/>
    <row r="13344" ht="12" customHeight="1"/>
    <row r="13345" ht="12" customHeight="1"/>
    <row r="13346" ht="12" customHeight="1"/>
    <row r="13347" ht="12" customHeight="1"/>
    <row r="13348" ht="12" customHeight="1"/>
    <row r="13349" ht="12" customHeight="1"/>
    <row r="13350" ht="12" customHeight="1"/>
    <row r="13351" ht="12" customHeight="1"/>
    <row r="13352" ht="12" customHeight="1"/>
    <row r="13353" ht="12" customHeight="1"/>
    <row r="13354" ht="12" customHeight="1"/>
    <row r="13355" ht="12" customHeight="1"/>
    <row r="13356" ht="12" customHeight="1"/>
    <row r="13357" ht="12" customHeight="1"/>
    <row r="13358" ht="12" customHeight="1"/>
    <row r="13359" ht="12" customHeight="1"/>
    <row r="13360" ht="12" customHeight="1"/>
    <row r="13361" ht="12" customHeight="1"/>
    <row r="13362" ht="12" customHeight="1"/>
    <row r="13363" ht="12" customHeight="1"/>
    <row r="13364" ht="12" customHeight="1"/>
    <row r="13365" ht="12" customHeight="1"/>
    <row r="13366" ht="12" customHeight="1"/>
    <row r="13367" ht="12" customHeight="1"/>
    <row r="13368" ht="12" customHeight="1"/>
    <row r="13369" ht="12" customHeight="1"/>
    <row r="13370" ht="12" customHeight="1"/>
    <row r="13371" ht="12" customHeight="1"/>
    <row r="13372" ht="12" customHeight="1"/>
    <row r="13373" ht="12" customHeight="1"/>
    <row r="13374" ht="12" customHeight="1"/>
    <row r="13375" ht="12" customHeight="1"/>
    <row r="13376" ht="12" customHeight="1"/>
    <row r="13377" ht="12" customHeight="1"/>
    <row r="13378" ht="12" customHeight="1"/>
    <row r="13379" ht="12" customHeight="1"/>
    <row r="13380" ht="12" customHeight="1"/>
    <row r="13381" ht="12" customHeight="1"/>
    <row r="13382" ht="12" customHeight="1"/>
    <row r="13383" ht="12" customHeight="1"/>
    <row r="13384" ht="12" customHeight="1"/>
    <row r="13385" ht="12" customHeight="1"/>
    <row r="13386" ht="12" customHeight="1"/>
    <row r="13387" ht="12" customHeight="1"/>
    <row r="13388" ht="12" customHeight="1"/>
    <row r="13389" ht="12" customHeight="1"/>
    <row r="13390" ht="12" customHeight="1"/>
    <row r="13391" ht="12" customHeight="1"/>
    <row r="13392" ht="12" customHeight="1"/>
    <row r="13393" ht="12" customHeight="1"/>
    <row r="13394" ht="12" customHeight="1"/>
    <row r="13395" ht="12" customHeight="1"/>
    <row r="13396" ht="12" customHeight="1"/>
    <row r="13397" ht="12" customHeight="1"/>
    <row r="13398" ht="12" customHeight="1"/>
    <row r="13399" ht="12" customHeight="1"/>
    <row r="13400" ht="12" customHeight="1"/>
    <row r="13401" ht="12" customHeight="1"/>
    <row r="13402" ht="12" customHeight="1"/>
    <row r="13403" ht="12" customHeight="1"/>
    <row r="13404" ht="12" customHeight="1"/>
    <row r="13405" ht="12" customHeight="1"/>
    <row r="13406" ht="12" customHeight="1"/>
    <row r="13407" ht="12" customHeight="1"/>
    <row r="13408" ht="12" customHeight="1"/>
    <row r="13409" ht="12" customHeight="1"/>
    <row r="13410" ht="12" customHeight="1"/>
    <row r="13411" ht="12" customHeight="1"/>
    <row r="13412" ht="12" customHeight="1"/>
    <row r="13413" ht="12" customHeight="1"/>
    <row r="13414" ht="12" customHeight="1"/>
    <row r="13415" ht="12" customHeight="1"/>
    <row r="13416" ht="12" customHeight="1"/>
    <row r="13417" ht="12" customHeight="1"/>
    <row r="13418" ht="12" customHeight="1"/>
    <row r="13419" ht="12" customHeight="1"/>
    <row r="13420" ht="12" customHeight="1"/>
    <row r="13421" ht="12" customHeight="1"/>
    <row r="13422" ht="12" customHeight="1"/>
    <row r="13423" ht="12" customHeight="1"/>
    <row r="13424" ht="12" customHeight="1"/>
    <row r="13425" ht="12" customHeight="1"/>
    <row r="13426" ht="12" customHeight="1"/>
    <row r="13427" ht="12" customHeight="1"/>
    <row r="13428" ht="12" customHeight="1"/>
    <row r="13429" ht="12" customHeight="1"/>
    <row r="13430" ht="12" customHeight="1"/>
    <row r="13431" ht="12" customHeight="1"/>
    <row r="13432" ht="12" customHeight="1"/>
    <row r="13433" ht="12" customHeight="1"/>
    <row r="13434" ht="12" customHeight="1"/>
    <row r="13435" ht="12" customHeight="1"/>
    <row r="13436" ht="12" customHeight="1"/>
    <row r="13437" ht="12" customHeight="1"/>
    <row r="13438" ht="12" customHeight="1"/>
    <row r="13439" ht="12" customHeight="1"/>
    <row r="13440" ht="12" customHeight="1"/>
    <row r="13441" ht="12" customHeight="1"/>
    <row r="13442" ht="12" customHeight="1"/>
    <row r="13443" ht="12" customHeight="1"/>
    <row r="13444" ht="12" customHeight="1"/>
    <row r="13445" ht="12" customHeight="1"/>
    <row r="13446" ht="12" customHeight="1"/>
    <row r="13447" ht="12" customHeight="1"/>
    <row r="13448" ht="12" customHeight="1"/>
    <row r="13449" ht="12" customHeight="1"/>
    <row r="13450" ht="12" customHeight="1"/>
    <row r="13451" ht="12" customHeight="1"/>
    <row r="13452" ht="12" customHeight="1"/>
    <row r="13453" ht="12" customHeight="1"/>
    <row r="13454" ht="12" customHeight="1"/>
    <row r="13455" ht="12" customHeight="1"/>
    <row r="13456" ht="12" customHeight="1"/>
    <row r="13457" ht="12" customHeight="1"/>
    <row r="13458" ht="12" customHeight="1"/>
    <row r="13459" ht="12" customHeight="1"/>
    <row r="13460" ht="12" customHeight="1"/>
    <row r="13461" ht="12" customHeight="1"/>
    <row r="13462" ht="12" customHeight="1"/>
    <row r="13463" ht="12" customHeight="1"/>
    <row r="13464" ht="12" customHeight="1"/>
    <row r="13465" ht="12" customHeight="1"/>
    <row r="13466" ht="12" customHeight="1"/>
    <row r="13467" ht="12" customHeight="1"/>
    <row r="13468" ht="12" customHeight="1"/>
    <row r="13469" ht="12" customHeight="1"/>
    <row r="13470" ht="12" customHeight="1"/>
    <row r="13471" ht="12" customHeight="1"/>
    <row r="13472" ht="12" customHeight="1"/>
    <row r="13473" ht="12" customHeight="1"/>
    <row r="13474" ht="12" customHeight="1"/>
    <row r="13475" ht="12" customHeight="1"/>
    <row r="13476" ht="12" customHeight="1"/>
    <row r="13477" ht="12" customHeight="1"/>
    <row r="13478" ht="12" customHeight="1"/>
    <row r="13479" ht="12" customHeight="1"/>
    <row r="13480" ht="12" customHeight="1"/>
    <row r="13481" ht="12" customHeight="1"/>
    <row r="13482" ht="12" customHeight="1"/>
    <row r="13483" ht="12" customHeight="1"/>
    <row r="13484" ht="12" customHeight="1"/>
    <row r="13485" ht="12" customHeight="1"/>
    <row r="13486" ht="12" customHeight="1"/>
    <row r="13487" ht="12" customHeight="1"/>
    <row r="13488" ht="12" customHeight="1"/>
    <row r="13489" ht="12" customHeight="1"/>
    <row r="13490" ht="12" customHeight="1"/>
    <row r="13491" ht="12" customHeight="1"/>
    <row r="13492" ht="12" customHeight="1"/>
    <row r="13493" ht="12" customHeight="1"/>
    <row r="13494" ht="12" customHeight="1"/>
    <row r="13495" ht="12" customHeight="1"/>
    <row r="13496" ht="12" customHeight="1"/>
    <row r="13497" ht="12" customHeight="1"/>
    <row r="13498" ht="12" customHeight="1"/>
    <row r="13499" ht="12" customHeight="1"/>
    <row r="13500" ht="12" customHeight="1"/>
    <row r="13501" ht="12" customHeight="1"/>
    <row r="13502" ht="12" customHeight="1"/>
    <row r="13503" ht="12" customHeight="1"/>
    <row r="13504" ht="12" customHeight="1"/>
    <row r="13505" ht="12" customHeight="1"/>
    <row r="13506" ht="12" customHeight="1"/>
    <row r="13507" ht="12" customHeight="1"/>
    <row r="13508" ht="12" customHeight="1"/>
    <row r="13509" ht="12" customHeight="1"/>
    <row r="13510" ht="12" customHeight="1"/>
    <row r="13511" ht="12" customHeight="1"/>
    <row r="13512" ht="12" customHeight="1"/>
    <row r="13513" ht="12" customHeight="1"/>
    <row r="13514" ht="12" customHeight="1"/>
    <row r="13515" ht="12" customHeight="1"/>
    <row r="13516" ht="12" customHeight="1"/>
    <row r="13517" ht="12" customHeight="1"/>
    <row r="13518" ht="12" customHeight="1"/>
    <row r="13519" ht="12" customHeight="1"/>
    <row r="13520" ht="12" customHeight="1"/>
    <row r="13521" ht="12" customHeight="1"/>
    <row r="13522" ht="12" customHeight="1"/>
    <row r="13523" ht="12" customHeight="1"/>
    <row r="13524" ht="12" customHeight="1"/>
    <row r="13525" ht="12" customHeight="1"/>
    <row r="13526" ht="12" customHeight="1"/>
    <row r="13527" ht="12" customHeight="1"/>
    <row r="13528" ht="12" customHeight="1"/>
    <row r="13529" ht="12" customHeight="1"/>
    <row r="13530" ht="12" customHeight="1"/>
    <row r="13531" ht="12" customHeight="1"/>
    <row r="13532" ht="12" customHeight="1"/>
    <row r="13533" ht="12" customHeight="1"/>
    <row r="13534" ht="12" customHeight="1"/>
    <row r="13535" ht="12" customHeight="1"/>
    <row r="13536" ht="12" customHeight="1"/>
    <row r="13537" ht="12" customHeight="1"/>
    <row r="13538" ht="12" customHeight="1"/>
    <row r="13539" ht="12" customHeight="1"/>
    <row r="13540" ht="12" customHeight="1"/>
    <row r="13541" ht="12" customHeight="1"/>
    <row r="13542" ht="12" customHeight="1"/>
    <row r="13543" ht="12" customHeight="1"/>
    <row r="13544" ht="12" customHeight="1"/>
    <row r="13545" ht="12" customHeight="1"/>
    <row r="13546" ht="12" customHeight="1"/>
    <row r="13547" ht="12" customHeight="1"/>
    <row r="13548" ht="12" customHeight="1"/>
    <row r="13549" ht="12" customHeight="1"/>
    <row r="13550" ht="12" customHeight="1"/>
    <row r="13551" ht="12" customHeight="1"/>
    <row r="13552" ht="12" customHeight="1"/>
    <row r="13553" ht="12" customHeight="1"/>
    <row r="13554" ht="12" customHeight="1"/>
    <row r="13555" ht="12" customHeight="1"/>
    <row r="13556" ht="12" customHeight="1"/>
    <row r="13557" ht="12" customHeight="1"/>
    <row r="13558" ht="12" customHeight="1"/>
    <row r="13559" ht="12" customHeight="1"/>
    <row r="13560" ht="12" customHeight="1"/>
    <row r="13561" ht="12" customHeight="1"/>
    <row r="13562" ht="12" customHeight="1"/>
    <row r="13563" ht="12" customHeight="1"/>
    <row r="13564" ht="12" customHeight="1"/>
    <row r="13565" ht="12" customHeight="1"/>
    <row r="13566" ht="12" customHeight="1"/>
    <row r="13567" ht="12" customHeight="1"/>
    <row r="13568" ht="12" customHeight="1"/>
    <row r="13569" ht="12" customHeight="1"/>
    <row r="13570" ht="12" customHeight="1"/>
    <row r="13571" ht="12" customHeight="1"/>
    <row r="13572" ht="12" customHeight="1"/>
    <row r="13573" ht="12" customHeight="1"/>
    <row r="13574" ht="12" customHeight="1"/>
    <row r="13575" ht="12" customHeight="1"/>
    <row r="13576" ht="12" customHeight="1"/>
    <row r="13577" ht="12" customHeight="1"/>
    <row r="13578" ht="12" customHeight="1"/>
    <row r="13579" ht="12" customHeight="1"/>
    <row r="13580" ht="12" customHeight="1"/>
    <row r="13581" ht="12" customHeight="1"/>
    <row r="13582" ht="12" customHeight="1"/>
    <row r="13583" ht="12" customHeight="1"/>
    <row r="13584" ht="12" customHeight="1"/>
    <row r="13585" ht="12" customHeight="1"/>
    <row r="13586" ht="12" customHeight="1"/>
    <row r="13587" ht="12" customHeight="1"/>
    <row r="13588" ht="12" customHeight="1"/>
    <row r="13589" ht="12" customHeight="1"/>
    <row r="13590" ht="12" customHeight="1"/>
    <row r="13591" ht="12" customHeight="1"/>
    <row r="13592" ht="12" customHeight="1"/>
    <row r="13593" ht="12" customHeight="1"/>
    <row r="13594" ht="12" customHeight="1"/>
    <row r="13595" ht="12" customHeight="1"/>
    <row r="13596" ht="12" customHeight="1"/>
    <row r="13597" ht="12" customHeight="1"/>
    <row r="13598" ht="12" customHeight="1"/>
    <row r="13599" ht="12" customHeight="1"/>
    <row r="13600" ht="12" customHeight="1"/>
    <row r="13601" ht="12" customHeight="1"/>
    <row r="13602" ht="12" customHeight="1"/>
    <row r="13603" ht="12" customHeight="1"/>
    <row r="13604" ht="12" customHeight="1"/>
    <row r="13605" ht="12" customHeight="1"/>
    <row r="13606" ht="12" customHeight="1"/>
    <row r="13607" ht="12" customHeight="1"/>
    <row r="13608" ht="12" customHeight="1"/>
    <row r="13609" ht="12" customHeight="1"/>
    <row r="13610" ht="12" customHeight="1"/>
    <row r="13611" ht="12" customHeight="1"/>
    <row r="13612" ht="12" customHeight="1"/>
    <row r="13613" ht="12" customHeight="1"/>
    <row r="13614" ht="12" customHeight="1"/>
    <row r="13615" ht="12" customHeight="1"/>
    <row r="13616" ht="12" customHeight="1"/>
    <row r="13617" ht="12" customHeight="1"/>
    <row r="13618" ht="12" customHeight="1"/>
    <row r="13619" ht="12" customHeight="1"/>
    <row r="13620" ht="12" customHeight="1"/>
    <row r="13621" ht="12" customHeight="1"/>
    <row r="13622" ht="12" customHeight="1"/>
    <row r="13623" ht="12" customHeight="1"/>
    <row r="13624" ht="12" customHeight="1"/>
    <row r="13625" ht="12" customHeight="1"/>
    <row r="13626" ht="12" customHeight="1"/>
    <row r="13627" ht="12" customHeight="1"/>
    <row r="13628" ht="12" customHeight="1"/>
    <row r="13629" ht="12" customHeight="1"/>
    <row r="13630" ht="12" customHeight="1"/>
    <row r="13631" ht="12" customHeight="1"/>
    <row r="13632" ht="12" customHeight="1"/>
    <row r="13633" ht="12" customHeight="1"/>
    <row r="13634" ht="12" customHeight="1"/>
    <row r="13635" ht="12" customHeight="1"/>
    <row r="13636" ht="12" customHeight="1"/>
    <row r="13637" ht="12" customHeight="1"/>
    <row r="13638" ht="12" customHeight="1"/>
    <row r="13639" ht="12" customHeight="1"/>
    <row r="13640" ht="12" customHeight="1"/>
    <row r="13641" ht="12" customHeight="1"/>
    <row r="13642" ht="12" customHeight="1"/>
    <row r="13643" ht="12" customHeight="1"/>
    <row r="13644" ht="12" customHeight="1"/>
    <row r="13645" ht="12" customHeight="1"/>
    <row r="13646" ht="12" customHeight="1"/>
    <row r="13647" ht="12" customHeight="1"/>
    <row r="13648" ht="12" customHeight="1"/>
    <row r="13649" ht="12" customHeight="1"/>
    <row r="13650" ht="12" customHeight="1"/>
    <row r="13651" ht="12" customHeight="1"/>
    <row r="13652" ht="12" customHeight="1"/>
    <row r="13653" ht="12" customHeight="1"/>
    <row r="13654" ht="12" customHeight="1"/>
    <row r="13655" ht="12" customHeight="1"/>
    <row r="13656" ht="12" customHeight="1"/>
    <row r="13657" ht="12" customHeight="1"/>
    <row r="13658" ht="12" customHeight="1"/>
    <row r="13659" ht="12" customHeight="1"/>
    <row r="13660" ht="12" customHeight="1"/>
    <row r="13661" ht="12" customHeight="1"/>
    <row r="13662" ht="12" customHeight="1"/>
    <row r="13663" ht="12" customHeight="1"/>
    <row r="13664" ht="12" customHeight="1"/>
    <row r="13665" ht="12" customHeight="1"/>
    <row r="13666" ht="12" customHeight="1"/>
    <row r="13667" ht="12" customHeight="1"/>
    <row r="13668" ht="12" customHeight="1"/>
    <row r="13669" ht="12" customHeight="1"/>
    <row r="13670" ht="12" customHeight="1"/>
    <row r="13671" ht="12" customHeight="1"/>
    <row r="13672" ht="12" customHeight="1"/>
    <row r="13673" ht="12" customHeight="1"/>
    <row r="13674" ht="12" customHeight="1"/>
    <row r="13675" ht="12" customHeight="1"/>
    <row r="13676" ht="12" customHeight="1"/>
    <row r="13677" ht="12" customHeight="1"/>
    <row r="13678" ht="12" customHeight="1"/>
    <row r="13679" ht="12" customHeight="1"/>
    <row r="13680" ht="12" customHeight="1"/>
    <row r="13681" ht="12" customHeight="1"/>
    <row r="13682" ht="12" customHeight="1"/>
    <row r="13683" ht="12" customHeight="1"/>
    <row r="13684" ht="12" customHeight="1"/>
    <row r="13685" ht="12" customHeight="1"/>
    <row r="13686" ht="12" customHeight="1"/>
    <row r="13687" ht="12" customHeight="1"/>
    <row r="13688" ht="12" customHeight="1"/>
    <row r="13689" ht="12" customHeight="1"/>
    <row r="13690" ht="12" customHeight="1"/>
    <row r="13691" ht="12" customHeight="1"/>
    <row r="13692" ht="12" customHeight="1"/>
    <row r="13693" ht="12" customHeight="1"/>
    <row r="13694" ht="12" customHeight="1"/>
    <row r="13695" ht="12" customHeight="1"/>
    <row r="13696" ht="12" customHeight="1"/>
    <row r="13697" ht="12" customHeight="1"/>
    <row r="13698" ht="12" customHeight="1"/>
    <row r="13699" ht="12" customHeight="1"/>
    <row r="13700" ht="12" customHeight="1"/>
    <row r="13701" ht="12" customHeight="1"/>
    <row r="13702" ht="12" customHeight="1"/>
    <row r="13703" ht="12" customHeight="1"/>
    <row r="13704" ht="12" customHeight="1"/>
    <row r="13705" ht="12" customHeight="1"/>
    <row r="13706" ht="12" customHeight="1"/>
    <row r="13707" ht="12" customHeight="1"/>
    <row r="13708" ht="12" customHeight="1"/>
    <row r="13709" ht="12" customHeight="1"/>
    <row r="13710" ht="12" customHeight="1"/>
    <row r="13711" ht="12" customHeight="1"/>
    <row r="13712" ht="12" customHeight="1"/>
    <row r="13713" ht="12" customHeight="1"/>
    <row r="13714" ht="12" customHeight="1"/>
    <row r="13715" ht="12" customHeight="1"/>
    <row r="13716" ht="12" customHeight="1"/>
    <row r="13717" ht="12" customHeight="1"/>
    <row r="13718" ht="12" customHeight="1"/>
    <row r="13719" ht="12" customHeight="1"/>
    <row r="13720" ht="12" customHeight="1"/>
    <row r="13721" ht="12" customHeight="1"/>
    <row r="13722" ht="12" customHeight="1"/>
    <row r="13723" ht="12" customHeight="1"/>
    <row r="13724" ht="12" customHeight="1"/>
    <row r="13725" ht="12" customHeight="1"/>
    <row r="13726" ht="12" customHeight="1"/>
    <row r="13727" ht="12" customHeight="1"/>
    <row r="13728" ht="12" customHeight="1"/>
    <row r="13729" ht="12" customHeight="1"/>
    <row r="13730" ht="12" customHeight="1"/>
    <row r="13731" ht="12" customHeight="1"/>
    <row r="13732" ht="12" customHeight="1"/>
    <row r="13733" ht="12" customHeight="1"/>
    <row r="13734" ht="12" customHeight="1"/>
    <row r="13735" ht="12" customHeight="1"/>
    <row r="13736" ht="12" customHeight="1"/>
    <row r="13737" ht="12" customHeight="1"/>
    <row r="13738" ht="12" customHeight="1"/>
    <row r="13739" ht="12" customHeight="1"/>
    <row r="13740" ht="12" customHeight="1"/>
    <row r="13741" ht="12" customHeight="1"/>
    <row r="13742" ht="12" customHeight="1"/>
    <row r="13743" ht="12" customHeight="1"/>
    <row r="13744" ht="12" customHeight="1"/>
    <row r="13745" ht="12" customHeight="1"/>
    <row r="13746" ht="12" customHeight="1"/>
    <row r="13747" ht="12" customHeight="1"/>
    <row r="13748" ht="12" customHeight="1"/>
    <row r="13749" ht="12" customHeight="1"/>
    <row r="13750" ht="12" customHeight="1"/>
    <row r="13751" ht="12" customHeight="1"/>
    <row r="13752" ht="12" customHeight="1"/>
    <row r="13753" ht="12" customHeight="1"/>
    <row r="13754" ht="12" customHeight="1"/>
    <row r="13755" ht="12" customHeight="1"/>
    <row r="13756" ht="12" customHeight="1"/>
    <row r="13757" ht="12" customHeight="1"/>
    <row r="13758" ht="12" customHeight="1"/>
    <row r="13759" ht="12" customHeight="1"/>
    <row r="13760" ht="12" customHeight="1"/>
    <row r="13761" ht="12" customHeight="1"/>
    <row r="13762" ht="12" customHeight="1"/>
    <row r="13763" ht="12" customHeight="1"/>
    <row r="13764" ht="12" customHeight="1"/>
    <row r="13765" ht="12" customHeight="1"/>
    <row r="13766" ht="12" customHeight="1"/>
    <row r="13767" ht="12" customHeight="1"/>
    <row r="13768" ht="12" customHeight="1"/>
    <row r="13769" ht="12" customHeight="1"/>
    <row r="13770" ht="12" customHeight="1"/>
    <row r="13771" ht="12" customHeight="1"/>
    <row r="13772" ht="12" customHeight="1"/>
    <row r="13773" ht="12" customHeight="1"/>
    <row r="13774" ht="12" customHeight="1"/>
    <row r="13775" ht="12" customHeight="1"/>
    <row r="13776" ht="12" customHeight="1"/>
    <row r="13777" ht="12" customHeight="1"/>
    <row r="13778" ht="12" customHeight="1"/>
    <row r="13779" ht="12" customHeight="1"/>
    <row r="13780" ht="12" customHeight="1"/>
    <row r="13781" ht="12" customHeight="1"/>
    <row r="13782" ht="12" customHeight="1"/>
    <row r="13783" ht="12" customHeight="1"/>
    <row r="13784" ht="12" customHeight="1"/>
    <row r="13785" ht="12" customHeight="1"/>
    <row r="13786" ht="12" customHeight="1"/>
    <row r="13787" ht="12" customHeight="1"/>
    <row r="13788" ht="12" customHeight="1"/>
    <row r="13789" ht="12" customHeight="1"/>
    <row r="13790" ht="12" customHeight="1"/>
    <row r="13791" ht="12" customHeight="1"/>
    <row r="13792" ht="12" customHeight="1"/>
    <row r="13793" ht="12" customHeight="1"/>
    <row r="13794" ht="12" customHeight="1"/>
    <row r="13795" ht="12" customHeight="1"/>
    <row r="13796" ht="12" customHeight="1"/>
    <row r="13797" ht="12" customHeight="1"/>
    <row r="13798" ht="12" customHeight="1"/>
    <row r="13799" ht="12" customHeight="1"/>
    <row r="13800" ht="12" customHeight="1"/>
    <row r="13801" ht="12" customHeight="1"/>
    <row r="13802" ht="12" customHeight="1"/>
    <row r="13803" ht="12" customHeight="1"/>
    <row r="13804" ht="12" customHeight="1"/>
    <row r="13805" ht="12" customHeight="1"/>
    <row r="13806" ht="12" customHeight="1"/>
    <row r="13807" ht="12" customHeight="1"/>
    <row r="13808" ht="12" customHeight="1"/>
    <row r="13809" ht="12" customHeight="1"/>
    <row r="13810" ht="12" customHeight="1"/>
    <row r="13811" ht="12" customHeight="1"/>
    <row r="13812" ht="12" customHeight="1"/>
    <row r="13813" ht="12" customHeight="1"/>
    <row r="13814" ht="12" customHeight="1"/>
    <row r="13815" ht="12" customHeight="1"/>
    <row r="13816" ht="12" customHeight="1"/>
    <row r="13817" ht="12" customHeight="1"/>
    <row r="13818" ht="12" customHeight="1"/>
    <row r="13819" ht="12" customHeight="1"/>
    <row r="13820" ht="12" customHeight="1"/>
    <row r="13821" ht="12" customHeight="1"/>
    <row r="13822" ht="12" customHeight="1"/>
    <row r="13823" ht="12" customHeight="1"/>
    <row r="13824" ht="12" customHeight="1"/>
    <row r="13825" ht="12" customHeight="1"/>
    <row r="13826" ht="12" customHeight="1"/>
    <row r="13827" ht="12" customHeight="1"/>
    <row r="13828" ht="12" customHeight="1"/>
    <row r="13829" ht="12" customHeight="1"/>
    <row r="13830" ht="12" customHeight="1"/>
    <row r="13831" ht="12" customHeight="1"/>
    <row r="13832" ht="12" customHeight="1"/>
    <row r="13833" ht="12" customHeight="1"/>
    <row r="13834" ht="12" customHeight="1"/>
    <row r="13835" ht="12" customHeight="1"/>
    <row r="13836" ht="12" customHeight="1"/>
    <row r="13837" ht="12" customHeight="1"/>
    <row r="13838" ht="12" customHeight="1"/>
    <row r="13839" ht="12" customHeight="1"/>
    <row r="13840" ht="12" customHeight="1"/>
    <row r="13841" ht="12" customHeight="1"/>
    <row r="13842" ht="12" customHeight="1"/>
    <row r="13843" ht="12" customHeight="1"/>
    <row r="13844" ht="12" customHeight="1"/>
    <row r="13845" ht="12" customHeight="1"/>
    <row r="13846" ht="12" customHeight="1"/>
    <row r="13847" ht="12" customHeight="1"/>
    <row r="13848" ht="12" customHeight="1"/>
    <row r="13849" ht="12" customHeight="1"/>
    <row r="13850" ht="12" customHeight="1"/>
    <row r="13851" ht="12" customHeight="1"/>
    <row r="13852" ht="12" customHeight="1"/>
    <row r="13853" ht="12" customHeight="1"/>
    <row r="13854" ht="12" customHeight="1"/>
    <row r="13855" ht="12" customHeight="1"/>
    <row r="13856" ht="12" customHeight="1"/>
    <row r="13857" ht="12" customHeight="1"/>
    <row r="13858" ht="12" customHeight="1"/>
    <row r="13859" ht="12" customHeight="1"/>
    <row r="13860" ht="12" customHeight="1"/>
    <row r="13861" ht="12" customHeight="1"/>
    <row r="13862" ht="12" customHeight="1"/>
    <row r="13863" ht="12" customHeight="1"/>
    <row r="13864" ht="12" customHeight="1"/>
    <row r="13865" ht="12" customHeight="1"/>
    <row r="13866" ht="12" customHeight="1"/>
    <row r="13867" ht="12" customHeight="1"/>
    <row r="13868" ht="12" customHeight="1"/>
    <row r="13869" ht="12" customHeight="1"/>
    <row r="13870" ht="12" customHeight="1"/>
    <row r="13871" ht="12" customHeight="1"/>
    <row r="13872" ht="12" customHeight="1"/>
    <row r="13873" ht="12" customHeight="1"/>
    <row r="13874" ht="12" customHeight="1"/>
    <row r="13875" ht="12" customHeight="1"/>
    <row r="13876" ht="12" customHeight="1"/>
    <row r="13877" ht="12" customHeight="1"/>
    <row r="13878" ht="12" customHeight="1"/>
    <row r="13879" ht="12" customHeight="1"/>
    <row r="13880" ht="12" customHeight="1"/>
    <row r="13881" ht="12" customHeight="1"/>
    <row r="13882" ht="12" customHeight="1"/>
    <row r="13883" ht="12" customHeight="1"/>
    <row r="13884" ht="12" customHeight="1"/>
    <row r="13885" ht="12" customHeight="1"/>
    <row r="13886" ht="12" customHeight="1"/>
    <row r="13887" ht="12" customHeight="1"/>
    <row r="13888" ht="12" customHeight="1"/>
    <row r="13889" ht="12" customHeight="1"/>
    <row r="13890" ht="12" customHeight="1"/>
    <row r="13891" ht="12" customHeight="1"/>
    <row r="13892" ht="12" customHeight="1"/>
    <row r="13893" ht="12" customHeight="1"/>
    <row r="13894" ht="12" customHeight="1"/>
    <row r="13895" ht="12" customHeight="1"/>
    <row r="13896" ht="12" customHeight="1"/>
    <row r="13897" ht="12" customHeight="1"/>
    <row r="13898" ht="12" customHeight="1"/>
    <row r="13899" ht="12" customHeight="1"/>
    <row r="13900" ht="12" customHeight="1"/>
    <row r="13901" ht="12" customHeight="1"/>
    <row r="13902" ht="12" customHeight="1"/>
    <row r="13903" ht="12" customHeight="1"/>
    <row r="13904" ht="12" customHeight="1"/>
    <row r="13905" ht="12" customHeight="1"/>
    <row r="13906" ht="12" customHeight="1"/>
    <row r="13907" ht="12" customHeight="1"/>
    <row r="13908" ht="12" customHeight="1"/>
    <row r="13909" ht="12" customHeight="1"/>
    <row r="13910" ht="12" customHeight="1"/>
    <row r="13911" ht="12" customHeight="1"/>
    <row r="13912" ht="12" customHeight="1"/>
    <row r="13913" ht="12" customHeight="1"/>
    <row r="13914" ht="12" customHeight="1"/>
    <row r="13915" ht="12" customHeight="1"/>
    <row r="13916" ht="12" customHeight="1"/>
    <row r="13917" ht="12" customHeight="1"/>
    <row r="13918" ht="12" customHeight="1"/>
    <row r="13919" ht="12" customHeight="1"/>
    <row r="13920" ht="12" customHeight="1"/>
    <row r="13921" ht="12" customHeight="1"/>
    <row r="13922" ht="12" customHeight="1"/>
    <row r="13923" ht="12" customHeight="1"/>
    <row r="13924" ht="12" customHeight="1"/>
    <row r="13925" ht="12" customHeight="1"/>
    <row r="13926" ht="12" customHeight="1"/>
    <row r="13927" ht="12" customHeight="1"/>
    <row r="13928" ht="12" customHeight="1"/>
    <row r="13929" ht="12" customHeight="1"/>
    <row r="13930" ht="12" customHeight="1"/>
    <row r="13931" ht="12" customHeight="1"/>
    <row r="13932" ht="12" customHeight="1"/>
    <row r="13933" ht="12" customHeight="1"/>
    <row r="13934" ht="12" customHeight="1"/>
    <row r="13935" ht="12" customHeight="1"/>
    <row r="13936" ht="12" customHeight="1"/>
    <row r="13937" ht="12" customHeight="1"/>
    <row r="13938" ht="12" customHeight="1"/>
    <row r="13939" ht="12" customHeight="1"/>
    <row r="13940" ht="12" customHeight="1"/>
    <row r="13941" ht="12" customHeight="1"/>
    <row r="13942" ht="12" customHeight="1"/>
    <row r="13943" ht="12" customHeight="1"/>
    <row r="13944" ht="12" customHeight="1"/>
    <row r="13945" ht="12" customHeight="1"/>
    <row r="13946" ht="12" customHeight="1"/>
    <row r="13947" ht="12" customHeight="1"/>
    <row r="13948" ht="12" customHeight="1"/>
    <row r="13949" ht="12" customHeight="1"/>
    <row r="13950" ht="12" customHeight="1"/>
    <row r="13951" ht="12" customHeight="1"/>
    <row r="13952" ht="12" customHeight="1"/>
    <row r="13953" ht="12" customHeight="1"/>
    <row r="13954" ht="12" customHeight="1"/>
    <row r="13955" ht="12" customHeight="1"/>
    <row r="13956" ht="12" customHeight="1"/>
    <row r="13957" ht="12" customHeight="1"/>
    <row r="13958" ht="12" customHeight="1"/>
    <row r="13959" ht="12" customHeight="1"/>
    <row r="13960" ht="12" customHeight="1"/>
    <row r="13961" ht="12" customHeight="1"/>
    <row r="13962" ht="12" customHeight="1"/>
    <row r="13963" ht="12" customHeight="1"/>
    <row r="13964" ht="12" customHeight="1"/>
    <row r="13965" ht="12" customHeight="1"/>
    <row r="13966" ht="12" customHeight="1"/>
    <row r="13967" ht="12" customHeight="1"/>
    <row r="13968" ht="12" customHeight="1"/>
    <row r="13969" ht="12" customHeight="1"/>
    <row r="13970" ht="12" customHeight="1"/>
    <row r="13971" ht="12" customHeight="1"/>
    <row r="13972" ht="12" customHeight="1"/>
    <row r="13973" ht="12" customHeight="1"/>
    <row r="13974" ht="12" customHeight="1"/>
    <row r="13975" ht="12" customHeight="1"/>
    <row r="13976" ht="12" customHeight="1"/>
    <row r="13977" ht="12" customHeight="1"/>
    <row r="13978" ht="12" customHeight="1"/>
    <row r="13979" ht="12" customHeight="1"/>
    <row r="13980" ht="12" customHeight="1"/>
    <row r="13981" ht="12" customHeight="1"/>
    <row r="13982" ht="12" customHeight="1"/>
    <row r="13983" ht="12" customHeight="1"/>
    <row r="13984" ht="12" customHeight="1"/>
    <row r="13985" ht="12" customHeight="1"/>
    <row r="13986" ht="12" customHeight="1"/>
    <row r="13987" ht="12" customHeight="1"/>
    <row r="13988" ht="12" customHeight="1"/>
    <row r="13989" ht="12" customHeight="1"/>
    <row r="13990" ht="12" customHeight="1"/>
    <row r="13991" ht="12" customHeight="1"/>
    <row r="13992" ht="12" customHeight="1"/>
    <row r="13993" ht="12" customHeight="1"/>
    <row r="13994" ht="12" customHeight="1"/>
    <row r="13995" ht="12" customHeight="1"/>
    <row r="13996" ht="12" customHeight="1"/>
    <row r="13997" ht="12" customHeight="1"/>
    <row r="13998" ht="12" customHeight="1"/>
    <row r="13999" ht="12" customHeight="1"/>
    <row r="14000" ht="12" customHeight="1"/>
    <row r="14001" ht="12" customHeight="1"/>
    <row r="14002" ht="12" customHeight="1"/>
    <row r="14003" ht="12" customHeight="1"/>
    <row r="14004" ht="12" customHeight="1"/>
    <row r="14005" ht="12" customHeight="1"/>
    <row r="14006" ht="12" customHeight="1"/>
    <row r="14007" ht="12" customHeight="1"/>
    <row r="14008" ht="12" customHeight="1"/>
    <row r="14009" ht="12" customHeight="1"/>
    <row r="14010" ht="12" customHeight="1"/>
    <row r="14011" ht="12" customHeight="1"/>
    <row r="14012" ht="12" customHeight="1"/>
    <row r="14013" ht="12" customHeight="1"/>
    <row r="14014" ht="12" customHeight="1"/>
    <row r="14015" ht="12" customHeight="1"/>
    <row r="14016" ht="12" customHeight="1"/>
    <row r="14017" ht="12" customHeight="1"/>
    <row r="14018" ht="12" customHeight="1"/>
    <row r="14019" ht="12" customHeight="1"/>
    <row r="14020" ht="12" customHeight="1"/>
    <row r="14021" ht="12" customHeight="1"/>
    <row r="14022" ht="12" customHeight="1"/>
    <row r="14023" ht="12" customHeight="1"/>
    <row r="14024" ht="12" customHeight="1"/>
    <row r="14025" ht="12" customHeight="1"/>
    <row r="14026" ht="12" customHeight="1"/>
    <row r="14027" ht="12" customHeight="1"/>
    <row r="14028" ht="12" customHeight="1"/>
    <row r="14029" ht="12" customHeight="1"/>
    <row r="14030" ht="12" customHeight="1"/>
    <row r="14031" ht="12" customHeight="1"/>
    <row r="14032" ht="12" customHeight="1"/>
    <row r="14033" ht="12" customHeight="1"/>
    <row r="14034" ht="12" customHeight="1"/>
    <row r="14035" ht="12" customHeight="1"/>
    <row r="14036" ht="12" customHeight="1"/>
    <row r="14037" ht="12" customHeight="1"/>
    <row r="14038" ht="12" customHeight="1"/>
    <row r="14039" ht="12" customHeight="1"/>
    <row r="14040" ht="12" customHeight="1"/>
    <row r="14041" ht="12" customHeight="1"/>
    <row r="14042" ht="12" customHeight="1"/>
    <row r="14043" ht="12" customHeight="1"/>
    <row r="14044" ht="12" customHeight="1"/>
    <row r="14045" ht="12" customHeight="1"/>
    <row r="14046" ht="12" customHeight="1"/>
    <row r="14047" ht="12" customHeight="1"/>
    <row r="14048" ht="12" customHeight="1"/>
    <row r="14049" ht="12" customHeight="1"/>
    <row r="14050" ht="12" customHeight="1"/>
    <row r="14051" ht="12" customHeight="1"/>
    <row r="14052" ht="12" customHeight="1"/>
    <row r="14053" ht="12" customHeight="1"/>
    <row r="14054" ht="12" customHeight="1"/>
    <row r="14055" ht="12" customHeight="1"/>
    <row r="14056" ht="12" customHeight="1"/>
    <row r="14057" ht="12" customHeight="1"/>
    <row r="14058" ht="12" customHeight="1"/>
    <row r="14059" ht="12" customHeight="1"/>
    <row r="14060" ht="12" customHeight="1"/>
    <row r="14061" ht="12" customHeight="1"/>
    <row r="14062" ht="12" customHeight="1"/>
    <row r="14063" ht="12" customHeight="1"/>
    <row r="14064" ht="12" customHeight="1"/>
    <row r="14065" ht="12" customHeight="1"/>
    <row r="14066" ht="12" customHeight="1"/>
    <row r="14067" ht="12" customHeight="1"/>
    <row r="14068" ht="12" customHeight="1"/>
    <row r="14069" ht="12" customHeight="1"/>
    <row r="14070" ht="12" customHeight="1"/>
    <row r="14071" ht="12" customHeight="1"/>
    <row r="14072" ht="12" customHeight="1"/>
    <row r="14073" ht="12" customHeight="1"/>
    <row r="14074" ht="12" customHeight="1"/>
    <row r="14075" ht="12" customHeight="1"/>
    <row r="14076" ht="12" customHeight="1"/>
    <row r="14077" ht="12" customHeight="1"/>
    <row r="14078" ht="12" customHeight="1"/>
    <row r="14079" ht="12" customHeight="1"/>
    <row r="14080" ht="12" customHeight="1"/>
    <row r="14081" ht="12" customHeight="1"/>
    <row r="14082" ht="12" customHeight="1"/>
    <row r="14083" ht="12" customHeight="1"/>
    <row r="14084" ht="12" customHeight="1"/>
    <row r="14085" ht="12" customHeight="1"/>
    <row r="14086" ht="12" customHeight="1"/>
    <row r="14087" ht="12" customHeight="1"/>
    <row r="14088" ht="12" customHeight="1"/>
    <row r="14089" ht="12" customHeight="1"/>
    <row r="14090" ht="12" customHeight="1"/>
    <row r="14091" ht="12" customHeight="1"/>
    <row r="14092" ht="12" customHeight="1"/>
    <row r="14093" ht="12" customHeight="1"/>
    <row r="14094" ht="12" customHeight="1"/>
    <row r="14095" ht="12" customHeight="1"/>
    <row r="14096" ht="12" customHeight="1"/>
    <row r="14097" ht="12" customHeight="1"/>
    <row r="14098" ht="12" customHeight="1"/>
    <row r="14099" ht="12" customHeight="1"/>
    <row r="14100" ht="12" customHeight="1"/>
    <row r="14101" ht="12" customHeight="1"/>
    <row r="14102" ht="12" customHeight="1"/>
    <row r="14103" ht="12" customHeight="1"/>
    <row r="14104" ht="12" customHeight="1"/>
    <row r="14105" ht="12" customHeight="1"/>
    <row r="14106" ht="12" customHeight="1"/>
    <row r="14107" ht="12" customHeight="1"/>
    <row r="14108" ht="12" customHeight="1"/>
    <row r="14109" ht="12" customHeight="1"/>
    <row r="14110" ht="12" customHeight="1"/>
    <row r="14111" ht="12" customHeight="1"/>
    <row r="14112" ht="12" customHeight="1"/>
    <row r="14113" ht="12" customHeight="1"/>
    <row r="14114" ht="12" customHeight="1"/>
    <row r="14115" ht="12" customHeight="1"/>
    <row r="14116" ht="12" customHeight="1"/>
    <row r="14117" ht="12" customHeight="1"/>
    <row r="14118" ht="12" customHeight="1"/>
    <row r="14119" ht="12" customHeight="1"/>
    <row r="14120" ht="12" customHeight="1"/>
    <row r="14121" ht="12" customHeight="1"/>
    <row r="14122" ht="12" customHeight="1"/>
    <row r="14123" ht="12" customHeight="1"/>
    <row r="14124" ht="12" customHeight="1"/>
    <row r="14125" ht="12" customHeight="1"/>
    <row r="14126" ht="12" customHeight="1"/>
    <row r="14127" ht="12" customHeight="1"/>
    <row r="14128" ht="12" customHeight="1"/>
    <row r="14129" ht="12" customHeight="1"/>
    <row r="14130" ht="12" customHeight="1"/>
    <row r="14131" ht="12" customHeight="1"/>
    <row r="14132" ht="12" customHeight="1"/>
    <row r="14133" ht="12" customHeight="1"/>
    <row r="14134" ht="12" customHeight="1"/>
    <row r="14135" ht="12" customHeight="1"/>
    <row r="14136" ht="12" customHeight="1"/>
    <row r="14137" ht="12" customHeight="1"/>
    <row r="14138" ht="12" customHeight="1"/>
    <row r="14139" ht="12" customHeight="1"/>
    <row r="14140" ht="12" customHeight="1"/>
    <row r="14141" ht="12" customHeight="1"/>
    <row r="14142" ht="12" customHeight="1"/>
    <row r="14143" ht="12" customHeight="1"/>
    <row r="14144" ht="12" customHeight="1"/>
    <row r="14145" ht="12" customHeight="1"/>
    <row r="14146" ht="12" customHeight="1"/>
    <row r="14147" ht="12" customHeight="1"/>
    <row r="14148" ht="12" customHeight="1"/>
    <row r="14149" ht="12" customHeight="1"/>
    <row r="14150" ht="12" customHeight="1"/>
    <row r="14151" ht="12" customHeight="1"/>
    <row r="14152" ht="12" customHeight="1"/>
    <row r="14153" ht="12" customHeight="1"/>
    <row r="14154" ht="12" customHeight="1"/>
    <row r="14155" ht="12" customHeight="1"/>
    <row r="14156" ht="12" customHeight="1"/>
    <row r="14157" ht="12" customHeight="1"/>
    <row r="14158" ht="12" customHeight="1"/>
    <row r="14159" ht="12" customHeight="1"/>
    <row r="14160" ht="12" customHeight="1"/>
    <row r="14161" ht="12" customHeight="1"/>
    <row r="14162" ht="12" customHeight="1"/>
    <row r="14163" ht="12" customHeight="1"/>
    <row r="14164" ht="12" customHeight="1"/>
    <row r="14165" ht="12" customHeight="1"/>
    <row r="14166" ht="12" customHeight="1"/>
    <row r="14167" ht="12" customHeight="1"/>
    <row r="14168" ht="12" customHeight="1"/>
    <row r="14169" ht="12" customHeight="1"/>
    <row r="14170" ht="12" customHeight="1"/>
    <row r="14171" ht="12" customHeight="1"/>
    <row r="14172" ht="12" customHeight="1"/>
    <row r="14173" ht="12" customHeight="1"/>
    <row r="14174" ht="12" customHeight="1"/>
    <row r="14175" ht="12" customHeight="1"/>
    <row r="14176" ht="12" customHeight="1"/>
    <row r="14177" ht="12" customHeight="1"/>
    <row r="14178" ht="12" customHeight="1"/>
    <row r="14179" ht="12" customHeight="1"/>
    <row r="14180" ht="12" customHeight="1"/>
    <row r="14181" ht="12" customHeight="1"/>
    <row r="14182" ht="12" customHeight="1"/>
    <row r="14183" ht="12" customHeight="1"/>
    <row r="14184" ht="12" customHeight="1"/>
    <row r="14185" ht="12" customHeight="1"/>
    <row r="14186" ht="12" customHeight="1"/>
    <row r="14187" ht="12" customHeight="1"/>
    <row r="14188" ht="12" customHeight="1"/>
    <row r="14189" ht="12" customHeight="1"/>
    <row r="14190" ht="12" customHeight="1"/>
    <row r="14191" ht="12" customHeight="1"/>
    <row r="14192" ht="12" customHeight="1"/>
    <row r="14193" ht="12" customHeight="1"/>
    <row r="14194" ht="12" customHeight="1"/>
    <row r="14195" ht="12" customHeight="1"/>
    <row r="14196" ht="12" customHeight="1"/>
    <row r="14197" ht="12" customHeight="1"/>
    <row r="14198" ht="12" customHeight="1"/>
    <row r="14199" ht="12" customHeight="1"/>
    <row r="14200" ht="12" customHeight="1"/>
    <row r="14201" ht="12" customHeight="1"/>
    <row r="14202" ht="12" customHeight="1"/>
    <row r="14203" ht="12" customHeight="1"/>
    <row r="14204" ht="12" customHeight="1"/>
    <row r="14205" ht="12" customHeight="1"/>
    <row r="14206" ht="12" customHeight="1"/>
    <row r="14207" ht="12" customHeight="1"/>
    <row r="14208" ht="12" customHeight="1"/>
    <row r="14209" ht="12" customHeight="1"/>
    <row r="14210" ht="12" customHeight="1"/>
    <row r="14211" ht="12" customHeight="1"/>
    <row r="14212" ht="12" customHeight="1"/>
    <row r="14213" ht="12" customHeight="1"/>
    <row r="14214" ht="12" customHeight="1"/>
    <row r="14215" ht="12" customHeight="1"/>
    <row r="14216" ht="12" customHeight="1"/>
    <row r="14217" ht="12" customHeight="1"/>
    <row r="14218" ht="12" customHeight="1"/>
    <row r="14219" ht="12" customHeight="1"/>
    <row r="14220" ht="12" customHeight="1"/>
    <row r="14221" ht="12" customHeight="1"/>
    <row r="14222" ht="12" customHeight="1"/>
    <row r="14223" ht="12" customHeight="1"/>
    <row r="14224" ht="12" customHeight="1"/>
    <row r="14225" ht="12" customHeight="1"/>
    <row r="14226" ht="12" customHeight="1"/>
    <row r="14227" ht="12" customHeight="1"/>
    <row r="14228" ht="12" customHeight="1"/>
    <row r="14229" ht="12" customHeight="1"/>
    <row r="14230" ht="12" customHeight="1"/>
    <row r="14231" ht="12" customHeight="1"/>
    <row r="14232" ht="12" customHeight="1"/>
    <row r="14233" ht="12" customHeight="1"/>
    <row r="14234" ht="12" customHeight="1"/>
    <row r="14235" ht="12" customHeight="1"/>
    <row r="14236" ht="12" customHeight="1"/>
    <row r="14237" ht="12" customHeight="1"/>
    <row r="14238" ht="12" customHeight="1"/>
    <row r="14239" ht="12" customHeight="1"/>
    <row r="14240" ht="12" customHeight="1"/>
    <row r="14241" ht="12" customHeight="1"/>
    <row r="14242" ht="12" customHeight="1"/>
    <row r="14243" ht="12" customHeight="1"/>
    <row r="14244" ht="12" customHeight="1"/>
    <row r="14245" ht="12" customHeight="1"/>
    <row r="14246" ht="12" customHeight="1"/>
    <row r="14247" ht="12" customHeight="1"/>
    <row r="14248" ht="12" customHeight="1"/>
    <row r="14249" ht="12" customHeight="1"/>
    <row r="14250" ht="12" customHeight="1"/>
    <row r="14251" ht="12" customHeight="1"/>
    <row r="14252" ht="12" customHeight="1"/>
    <row r="14253" ht="12" customHeight="1"/>
    <row r="14254" ht="12" customHeight="1"/>
    <row r="14255" ht="12" customHeight="1"/>
    <row r="14256" ht="12" customHeight="1"/>
    <row r="14257" ht="12" customHeight="1"/>
    <row r="14258" ht="12" customHeight="1"/>
    <row r="14259" ht="12" customHeight="1"/>
    <row r="14260" ht="12" customHeight="1"/>
    <row r="14261" ht="12" customHeight="1"/>
    <row r="14262" ht="12" customHeight="1"/>
    <row r="14263" ht="12" customHeight="1"/>
    <row r="14264" ht="12" customHeight="1"/>
    <row r="14265" ht="12" customHeight="1"/>
    <row r="14266" ht="12" customHeight="1"/>
    <row r="14267" ht="12" customHeight="1"/>
    <row r="14268" ht="12" customHeight="1"/>
    <row r="14269" ht="12" customHeight="1"/>
    <row r="14270" ht="12" customHeight="1"/>
    <row r="14271" ht="12" customHeight="1"/>
    <row r="14272" ht="12" customHeight="1"/>
    <row r="14273" ht="12" customHeight="1"/>
    <row r="14274" ht="12" customHeight="1"/>
    <row r="14275" ht="12" customHeight="1"/>
    <row r="14276" ht="12" customHeight="1"/>
    <row r="14277" ht="12" customHeight="1"/>
    <row r="14278" ht="12" customHeight="1"/>
    <row r="14279" ht="12" customHeight="1"/>
    <row r="14280" ht="12" customHeight="1"/>
    <row r="14281" ht="12" customHeight="1"/>
    <row r="14282" ht="12" customHeight="1"/>
    <row r="14283" ht="12" customHeight="1"/>
    <row r="14284" ht="12" customHeight="1"/>
    <row r="14285" ht="12" customHeight="1"/>
    <row r="14286" ht="12" customHeight="1"/>
    <row r="14287" ht="12" customHeight="1"/>
    <row r="14288" ht="12" customHeight="1"/>
    <row r="14289" ht="12" customHeight="1"/>
    <row r="14290" ht="12" customHeight="1"/>
    <row r="14291" ht="12" customHeight="1"/>
    <row r="14292" ht="12" customHeight="1"/>
    <row r="14293" ht="12" customHeight="1"/>
    <row r="14294" ht="12" customHeight="1"/>
    <row r="14295" ht="12" customHeight="1"/>
    <row r="14296" ht="12" customHeight="1"/>
    <row r="14297" ht="12" customHeight="1"/>
    <row r="14298" ht="12" customHeight="1"/>
    <row r="14299" ht="12" customHeight="1"/>
    <row r="14300" ht="12" customHeight="1"/>
    <row r="14301" ht="12" customHeight="1"/>
    <row r="14302" ht="12" customHeight="1"/>
    <row r="14303" ht="12" customHeight="1"/>
    <row r="14304" ht="12" customHeight="1"/>
    <row r="14305" ht="12" customHeight="1"/>
    <row r="14306" ht="12" customHeight="1"/>
    <row r="14307" ht="12" customHeight="1"/>
    <row r="14308" ht="12" customHeight="1"/>
    <row r="14309" ht="12" customHeight="1"/>
    <row r="14310" ht="12" customHeight="1"/>
    <row r="14311" ht="12" customHeight="1"/>
    <row r="14312" ht="12" customHeight="1"/>
    <row r="14313" ht="12" customHeight="1"/>
    <row r="14314" ht="12" customHeight="1"/>
    <row r="14315" ht="12" customHeight="1"/>
    <row r="14316" ht="12" customHeight="1"/>
    <row r="14317" ht="12" customHeight="1"/>
    <row r="14318" ht="12" customHeight="1"/>
    <row r="14319" ht="12" customHeight="1"/>
    <row r="14320" ht="12" customHeight="1"/>
    <row r="14321" ht="12" customHeight="1"/>
    <row r="14322" ht="12" customHeight="1"/>
    <row r="14323" ht="12" customHeight="1"/>
    <row r="14324" ht="12" customHeight="1"/>
    <row r="14325" ht="12" customHeight="1"/>
    <row r="14326" ht="12" customHeight="1"/>
    <row r="14327" ht="12" customHeight="1"/>
    <row r="14328" ht="12" customHeight="1"/>
    <row r="14329" ht="12" customHeight="1"/>
    <row r="14330" ht="12" customHeight="1"/>
    <row r="14331" ht="12" customHeight="1"/>
    <row r="14332" ht="12" customHeight="1"/>
    <row r="14333" ht="12" customHeight="1"/>
    <row r="14334" ht="12" customHeight="1"/>
    <row r="14335" ht="12" customHeight="1"/>
    <row r="14336" ht="12" customHeight="1"/>
    <row r="14337" ht="12" customHeight="1"/>
    <row r="14338" ht="12" customHeight="1"/>
    <row r="14339" ht="12" customHeight="1"/>
    <row r="14340" ht="12" customHeight="1"/>
    <row r="14341" ht="12" customHeight="1"/>
    <row r="14342" ht="12" customHeight="1"/>
    <row r="14343" ht="12" customHeight="1"/>
    <row r="14344" ht="12" customHeight="1"/>
    <row r="14345" ht="12" customHeight="1"/>
    <row r="14346" ht="12" customHeight="1"/>
    <row r="14347" ht="12" customHeight="1"/>
    <row r="14348" ht="12" customHeight="1"/>
    <row r="14349" ht="12" customHeight="1"/>
    <row r="14350" ht="12" customHeight="1"/>
    <row r="14351" ht="12" customHeight="1"/>
    <row r="14352" ht="12" customHeight="1"/>
    <row r="14353" ht="12" customHeight="1"/>
    <row r="14354" ht="12" customHeight="1"/>
    <row r="14355" ht="12" customHeight="1"/>
    <row r="14356" ht="12" customHeight="1"/>
    <row r="14357" ht="12" customHeight="1"/>
    <row r="14358" ht="12" customHeight="1"/>
    <row r="14359" ht="12" customHeight="1"/>
    <row r="14360" ht="12" customHeight="1"/>
    <row r="14361" ht="12" customHeight="1"/>
    <row r="14362" ht="12" customHeight="1"/>
    <row r="14363" ht="12" customHeight="1"/>
    <row r="14364" ht="12" customHeight="1"/>
    <row r="14365" ht="12" customHeight="1"/>
    <row r="14366" ht="12" customHeight="1"/>
    <row r="14367" ht="12" customHeight="1"/>
    <row r="14368" ht="12" customHeight="1"/>
    <row r="14369" ht="12" customHeight="1"/>
    <row r="14370" ht="12" customHeight="1"/>
    <row r="14371" ht="12" customHeight="1"/>
    <row r="14372" ht="12" customHeight="1"/>
    <row r="14373" ht="12" customHeight="1"/>
    <row r="14374" ht="12" customHeight="1"/>
    <row r="14375" ht="12" customHeight="1"/>
    <row r="14376" ht="12" customHeight="1"/>
    <row r="14377" ht="12" customHeight="1"/>
    <row r="14378" ht="12" customHeight="1"/>
    <row r="14379" ht="12" customHeight="1"/>
    <row r="14380" ht="12" customHeight="1"/>
    <row r="14381" ht="12" customHeight="1"/>
    <row r="14382" ht="12" customHeight="1"/>
    <row r="14383" ht="12" customHeight="1"/>
    <row r="14384" ht="12" customHeight="1"/>
    <row r="14385" ht="12" customHeight="1"/>
    <row r="14386" ht="12" customHeight="1"/>
    <row r="14387" ht="12" customHeight="1"/>
    <row r="14388" ht="12" customHeight="1"/>
    <row r="14389" ht="12" customHeight="1"/>
    <row r="14390" ht="12" customHeight="1"/>
    <row r="14391" ht="12" customHeight="1"/>
    <row r="14392" ht="12" customHeight="1"/>
    <row r="14393" ht="12" customHeight="1"/>
    <row r="14394" ht="12" customHeight="1"/>
    <row r="14395" ht="12" customHeight="1"/>
    <row r="14396" ht="12" customHeight="1"/>
    <row r="14397" ht="12" customHeight="1"/>
    <row r="14398" ht="12" customHeight="1"/>
    <row r="14399" ht="12" customHeight="1"/>
    <row r="14400" ht="12" customHeight="1"/>
    <row r="14401" ht="12" customHeight="1"/>
    <row r="14402" ht="12" customHeight="1"/>
    <row r="14403" ht="12" customHeight="1"/>
    <row r="14404" ht="12" customHeight="1"/>
    <row r="14405" ht="12" customHeight="1"/>
    <row r="14406" ht="12" customHeight="1"/>
    <row r="14407" ht="12" customHeight="1"/>
    <row r="14408" ht="12" customHeight="1"/>
    <row r="14409" ht="12" customHeight="1"/>
    <row r="14410" ht="12" customHeight="1"/>
    <row r="14411" ht="12" customHeight="1"/>
    <row r="14412" ht="12" customHeight="1"/>
    <row r="14413" ht="12" customHeight="1"/>
    <row r="14414" ht="12" customHeight="1"/>
    <row r="14415" ht="12" customHeight="1"/>
    <row r="14416" ht="12" customHeight="1"/>
    <row r="14417" ht="12" customHeight="1"/>
    <row r="14418" ht="12" customHeight="1"/>
    <row r="14419" ht="12" customHeight="1"/>
    <row r="14420" ht="12" customHeight="1"/>
    <row r="14421" ht="12" customHeight="1"/>
    <row r="14422" ht="12" customHeight="1"/>
    <row r="14423" ht="12" customHeight="1"/>
    <row r="14424" ht="12" customHeight="1"/>
    <row r="14425" ht="12" customHeight="1"/>
    <row r="14426" ht="12" customHeight="1"/>
    <row r="14427" ht="12" customHeight="1"/>
    <row r="14428" ht="12" customHeight="1"/>
    <row r="14429" ht="12" customHeight="1"/>
    <row r="14430" ht="12" customHeight="1"/>
    <row r="14431" ht="12" customHeight="1"/>
    <row r="14432" ht="12" customHeight="1"/>
    <row r="14433" ht="12" customHeight="1"/>
    <row r="14434" ht="12" customHeight="1"/>
    <row r="14435" ht="12" customHeight="1"/>
    <row r="14436" ht="12" customHeight="1"/>
    <row r="14437" ht="12" customHeight="1"/>
    <row r="14438" ht="12" customHeight="1"/>
    <row r="14439" ht="12" customHeight="1"/>
    <row r="14440" ht="12" customHeight="1"/>
    <row r="14441" ht="12" customHeight="1"/>
    <row r="14442" ht="12" customHeight="1"/>
    <row r="14443" ht="12" customHeight="1"/>
    <row r="14444" ht="12" customHeight="1"/>
    <row r="14445" ht="12" customHeight="1"/>
    <row r="14446" ht="12" customHeight="1"/>
    <row r="14447" ht="12" customHeight="1"/>
    <row r="14448" ht="12" customHeight="1"/>
    <row r="14449" ht="12" customHeight="1"/>
    <row r="14450" ht="12" customHeight="1"/>
    <row r="14451" ht="12" customHeight="1"/>
    <row r="14452" ht="12" customHeight="1"/>
    <row r="14453" ht="12" customHeight="1"/>
    <row r="14454" ht="12" customHeight="1"/>
    <row r="14455" ht="12" customHeight="1"/>
    <row r="14456" ht="12" customHeight="1"/>
    <row r="14457" ht="12" customHeight="1"/>
    <row r="14458" ht="12" customHeight="1"/>
    <row r="14459" ht="12" customHeight="1"/>
    <row r="14460" ht="12" customHeight="1"/>
    <row r="14461" ht="12" customHeight="1"/>
    <row r="14462" ht="12" customHeight="1"/>
    <row r="14463" ht="12" customHeight="1"/>
    <row r="14464" ht="12" customHeight="1"/>
    <row r="14465" ht="12" customHeight="1"/>
    <row r="14466" ht="12" customHeight="1"/>
    <row r="14467" ht="12" customHeight="1"/>
    <row r="14468" ht="12" customHeight="1"/>
    <row r="14469" ht="12" customHeight="1"/>
    <row r="14470" ht="12" customHeight="1"/>
    <row r="14471" ht="12" customHeight="1"/>
    <row r="14472" ht="12" customHeight="1"/>
    <row r="14473" ht="12" customHeight="1"/>
    <row r="14474" ht="12" customHeight="1"/>
    <row r="14475" ht="12" customHeight="1"/>
    <row r="14476" ht="12" customHeight="1"/>
    <row r="14477" ht="12" customHeight="1"/>
    <row r="14478" ht="12" customHeight="1"/>
    <row r="14479" ht="12" customHeight="1"/>
    <row r="14480" ht="12" customHeight="1"/>
    <row r="14481" ht="12" customHeight="1"/>
    <row r="14482" ht="12" customHeight="1"/>
    <row r="14483" ht="12" customHeight="1"/>
    <row r="14484" ht="12" customHeight="1"/>
    <row r="14485" ht="12" customHeight="1"/>
    <row r="14486" ht="12" customHeight="1"/>
    <row r="14487" ht="12" customHeight="1"/>
    <row r="14488" ht="12" customHeight="1"/>
    <row r="14489" ht="12" customHeight="1"/>
    <row r="14490" ht="12" customHeight="1"/>
    <row r="14491" ht="12" customHeight="1"/>
    <row r="14492" ht="12" customHeight="1"/>
    <row r="14493" ht="12" customHeight="1"/>
    <row r="14494" ht="12" customHeight="1"/>
    <row r="14495" ht="12" customHeight="1"/>
    <row r="14496" ht="12" customHeight="1"/>
    <row r="14497" ht="12" customHeight="1"/>
    <row r="14498" ht="12" customHeight="1"/>
    <row r="14499" ht="12" customHeight="1"/>
    <row r="14500" ht="12" customHeight="1"/>
    <row r="14501" ht="12" customHeight="1"/>
    <row r="14502" ht="12" customHeight="1"/>
    <row r="14503" ht="12" customHeight="1"/>
    <row r="14504" ht="12" customHeight="1"/>
    <row r="14505" ht="12" customHeight="1"/>
    <row r="14506" ht="12" customHeight="1"/>
    <row r="14507" ht="12" customHeight="1"/>
    <row r="14508" ht="12" customHeight="1"/>
    <row r="14509" ht="12" customHeight="1"/>
    <row r="14510" ht="12" customHeight="1"/>
    <row r="14511" ht="12" customHeight="1"/>
    <row r="14512" ht="12" customHeight="1"/>
    <row r="14513" ht="12" customHeight="1"/>
    <row r="14514" ht="12" customHeight="1"/>
    <row r="14515" ht="12" customHeight="1"/>
    <row r="14516" ht="12" customHeight="1"/>
    <row r="14517" ht="12" customHeight="1"/>
    <row r="14518" ht="12" customHeight="1"/>
    <row r="14519" ht="12" customHeight="1"/>
    <row r="14520" ht="12" customHeight="1"/>
    <row r="14521" ht="12" customHeight="1"/>
    <row r="14522" ht="12" customHeight="1"/>
    <row r="14523" ht="12" customHeight="1"/>
    <row r="14524" ht="12" customHeight="1"/>
    <row r="14525" ht="12" customHeight="1"/>
    <row r="14526" ht="12" customHeight="1"/>
    <row r="14527" ht="12" customHeight="1"/>
    <row r="14528" ht="12" customHeight="1"/>
    <row r="14529" ht="12" customHeight="1"/>
    <row r="14530" ht="12" customHeight="1"/>
    <row r="14531" ht="12" customHeight="1"/>
    <row r="14532" ht="12" customHeight="1"/>
    <row r="14533" ht="12" customHeight="1"/>
    <row r="14534" ht="12" customHeight="1"/>
    <row r="14535" ht="12" customHeight="1"/>
    <row r="14536" ht="12" customHeight="1"/>
    <row r="14537" ht="12" customHeight="1"/>
    <row r="14538" ht="12" customHeight="1"/>
    <row r="14539" ht="12" customHeight="1"/>
    <row r="14540" ht="12" customHeight="1"/>
    <row r="14541" ht="12" customHeight="1"/>
    <row r="14542" ht="12" customHeight="1"/>
    <row r="14543" ht="12" customHeight="1"/>
    <row r="14544" ht="12" customHeight="1"/>
    <row r="14545" ht="12" customHeight="1"/>
    <row r="14546" ht="12" customHeight="1"/>
    <row r="14547" ht="12" customHeight="1"/>
    <row r="14548" ht="12" customHeight="1"/>
    <row r="14549" ht="12" customHeight="1"/>
    <row r="14550" ht="12" customHeight="1"/>
    <row r="14551" ht="12" customHeight="1"/>
    <row r="14552" ht="12" customHeight="1"/>
    <row r="14553" ht="12" customHeight="1"/>
    <row r="14554" ht="12" customHeight="1"/>
    <row r="14555" ht="12" customHeight="1"/>
    <row r="14556" ht="12" customHeight="1"/>
    <row r="14557" ht="12" customHeight="1"/>
    <row r="14558" ht="12" customHeight="1"/>
    <row r="14559" ht="12" customHeight="1"/>
    <row r="14560" ht="12" customHeight="1"/>
    <row r="14561" ht="12" customHeight="1"/>
    <row r="14562" ht="12" customHeight="1"/>
    <row r="14563" ht="12" customHeight="1"/>
    <row r="14564" ht="12" customHeight="1"/>
    <row r="14565" ht="12" customHeight="1"/>
    <row r="14566" ht="12" customHeight="1"/>
    <row r="14567" ht="12" customHeight="1"/>
    <row r="14568" ht="12" customHeight="1"/>
    <row r="14569" ht="12" customHeight="1"/>
    <row r="14570" ht="12" customHeight="1"/>
    <row r="14571" ht="12" customHeight="1"/>
    <row r="14572" ht="12" customHeight="1"/>
    <row r="14573" ht="12" customHeight="1"/>
    <row r="14574" ht="12" customHeight="1"/>
    <row r="14575" ht="12" customHeight="1"/>
    <row r="14576" ht="12" customHeight="1"/>
    <row r="14577" ht="12" customHeight="1"/>
    <row r="14578" ht="12" customHeight="1"/>
    <row r="14579" ht="12" customHeight="1"/>
    <row r="14580" ht="12" customHeight="1"/>
    <row r="14581" ht="12" customHeight="1"/>
    <row r="14582" ht="12" customHeight="1"/>
    <row r="14583" ht="12" customHeight="1"/>
    <row r="14584" ht="12" customHeight="1"/>
    <row r="14585" ht="12" customHeight="1"/>
    <row r="14586" ht="12" customHeight="1"/>
    <row r="14587" ht="12" customHeight="1"/>
    <row r="14588" ht="12" customHeight="1"/>
    <row r="14589" ht="12" customHeight="1"/>
    <row r="14590" ht="12" customHeight="1"/>
    <row r="14591" ht="12" customHeight="1"/>
    <row r="14592" ht="12" customHeight="1"/>
    <row r="14593" ht="12" customHeight="1"/>
    <row r="14594" ht="12" customHeight="1"/>
    <row r="14595" ht="12" customHeight="1"/>
    <row r="14596" ht="12" customHeight="1"/>
    <row r="14597" ht="12" customHeight="1"/>
    <row r="14598" ht="12" customHeight="1"/>
    <row r="14599" ht="12" customHeight="1"/>
    <row r="14600" ht="12" customHeight="1"/>
    <row r="14601" ht="12" customHeight="1"/>
    <row r="14602" ht="12" customHeight="1"/>
    <row r="14603" ht="12" customHeight="1"/>
    <row r="14604" ht="12" customHeight="1"/>
    <row r="14605" ht="12" customHeight="1"/>
    <row r="14606" ht="12" customHeight="1"/>
    <row r="14607" ht="12" customHeight="1"/>
    <row r="14608" ht="12" customHeight="1"/>
    <row r="14609" ht="12" customHeight="1"/>
    <row r="14610" ht="12" customHeight="1"/>
    <row r="14611" ht="12" customHeight="1"/>
    <row r="14612" ht="12" customHeight="1"/>
    <row r="14613" ht="12" customHeight="1"/>
    <row r="14614" ht="12" customHeight="1"/>
    <row r="14615" ht="12" customHeight="1"/>
    <row r="14616" ht="12" customHeight="1"/>
    <row r="14617" ht="12" customHeight="1"/>
    <row r="14618" ht="12" customHeight="1"/>
    <row r="14619" ht="12" customHeight="1"/>
    <row r="14620" ht="12" customHeight="1"/>
    <row r="14621" ht="12" customHeight="1"/>
    <row r="14622" ht="12" customHeight="1"/>
    <row r="14623" ht="12" customHeight="1"/>
    <row r="14624" ht="12" customHeight="1"/>
    <row r="14625" ht="12" customHeight="1"/>
    <row r="14626" ht="12" customHeight="1"/>
    <row r="14627" ht="12" customHeight="1"/>
    <row r="14628" ht="12" customHeight="1"/>
    <row r="14629" ht="12" customHeight="1"/>
    <row r="14630" ht="12" customHeight="1"/>
    <row r="14631" ht="12" customHeight="1"/>
    <row r="14632" ht="12" customHeight="1"/>
    <row r="14633" ht="12" customHeight="1"/>
    <row r="14634" ht="12" customHeight="1"/>
    <row r="14635" ht="12" customHeight="1"/>
    <row r="14636" ht="12" customHeight="1"/>
    <row r="14637" ht="12" customHeight="1"/>
    <row r="14638" ht="12" customHeight="1"/>
    <row r="14639" ht="12" customHeight="1"/>
    <row r="14640" ht="12" customHeight="1"/>
    <row r="14641" ht="12" customHeight="1"/>
    <row r="14642" ht="12" customHeight="1"/>
    <row r="14643" ht="12" customHeight="1"/>
    <row r="14644" ht="12" customHeight="1"/>
    <row r="14645" ht="12" customHeight="1"/>
    <row r="14646" ht="12" customHeight="1"/>
    <row r="14647" ht="12" customHeight="1"/>
    <row r="14648" ht="12" customHeight="1"/>
    <row r="14649" ht="12" customHeight="1"/>
    <row r="14650" ht="12" customHeight="1"/>
    <row r="14651" ht="12" customHeight="1"/>
    <row r="14652" ht="12" customHeight="1"/>
    <row r="14653" ht="12" customHeight="1"/>
    <row r="14654" ht="12" customHeight="1"/>
    <row r="14655" ht="12" customHeight="1"/>
    <row r="14656" ht="12" customHeight="1"/>
    <row r="14657" ht="12" customHeight="1"/>
    <row r="14658" ht="12" customHeight="1"/>
    <row r="14659" ht="12" customHeight="1"/>
    <row r="14660" ht="12" customHeight="1"/>
    <row r="14661" ht="12" customHeight="1"/>
    <row r="14662" ht="12" customHeight="1"/>
    <row r="14663" ht="12" customHeight="1"/>
    <row r="14664" ht="12" customHeight="1"/>
    <row r="14665" ht="12" customHeight="1"/>
    <row r="14666" ht="12" customHeight="1"/>
    <row r="14667" ht="12" customHeight="1"/>
    <row r="14668" ht="12" customHeight="1"/>
    <row r="14669" ht="12" customHeight="1"/>
    <row r="14670" ht="12" customHeight="1"/>
    <row r="14671" ht="12" customHeight="1"/>
    <row r="14672" ht="12" customHeight="1"/>
    <row r="14673" ht="12" customHeight="1"/>
    <row r="14674" ht="12" customHeight="1"/>
    <row r="14675" ht="12" customHeight="1"/>
    <row r="14676" ht="12" customHeight="1"/>
    <row r="14677" ht="12" customHeight="1"/>
    <row r="14678" ht="12" customHeight="1"/>
    <row r="14679" ht="12" customHeight="1"/>
    <row r="14680" ht="12" customHeight="1"/>
    <row r="14681" ht="12" customHeight="1"/>
    <row r="14682" ht="12" customHeight="1"/>
    <row r="14683" ht="12" customHeight="1"/>
    <row r="14684" ht="12" customHeight="1"/>
    <row r="14685" ht="12" customHeight="1"/>
    <row r="14686" ht="12" customHeight="1"/>
    <row r="14687" ht="12" customHeight="1"/>
    <row r="14688" ht="12" customHeight="1"/>
    <row r="14689" ht="12" customHeight="1"/>
    <row r="14690" ht="12" customHeight="1"/>
    <row r="14691" ht="12" customHeight="1"/>
    <row r="14692" ht="12" customHeight="1"/>
    <row r="14693" ht="12" customHeight="1"/>
    <row r="14694" ht="12" customHeight="1"/>
    <row r="14695" ht="12" customHeight="1"/>
    <row r="14696" ht="12" customHeight="1"/>
    <row r="14697" ht="12" customHeight="1"/>
    <row r="14698" ht="12" customHeight="1"/>
    <row r="14699" ht="12" customHeight="1"/>
    <row r="14700" ht="12" customHeight="1"/>
    <row r="14701" ht="12" customHeight="1"/>
    <row r="14702" ht="12" customHeight="1"/>
    <row r="14703" ht="12" customHeight="1"/>
    <row r="14704" ht="12" customHeight="1"/>
    <row r="14705" ht="12" customHeight="1"/>
    <row r="14706" ht="12" customHeight="1"/>
    <row r="14707" ht="12" customHeight="1"/>
    <row r="14708" ht="12" customHeight="1"/>
    <row r="14709" ht="12" customHeight="1"/>
    <row r="14710" ht="12" customHeight="1"/>
    <row r="14711" ht="12" customHeight="1"/>
    <row r="14712" ht="12" customHeight="1"/>
    <row r="14713" ht="12" customHeight="1"/>
    <row r="14714" ht="12" customHeight="1"/>
    <row r="14715" ht="12" customHeight="1"/>
    <row r="14716" ht="12" customHeight="1"/>
    <row r="14717" ht="12" customHeight="1"/>
    <row r="14718" ht="12" customHeight="1"/>
    <row r="14719" ht="12" customHeight="1"/>
    <row r="14720" ht="12" customHeight="1"/>
    <row r="14721" ht="12" customHeight="1"/>
    <row r="14722" ht="12" customHeight="1"/>
    <row r="14723" ht="12" customHeight="1"/>
    <row r="14724" ht="12" customHeight="1"/>
    <row r="14725" ht="12" customHeight="1"/>
    <row r="14726" ht="12" customHeight="1"/>
    <row r="14727" ht="12" customHeight="1"/>
    <row r="14728" ht="12" customHeight="1"/>
    <row r="14729" ht="12" customHeight="1"/>
    <row r="14730" ht="12" customHeight="1"/>
    <row r="14731" ht="12" customHeight="1"/>
    <row r="14732" ht="12" customHeight="1"/>
    <row r="14733" ht="12" customHeight="1"/>
    <row r="14734" ht="12" customHeight="1"/>
    <row r="14735" ht="12" customHeight="1"/>
    <row r="14736" ht="12" customHeight="1"/>
    <row r="14737" ht="12" customHeight="1"/>
    <row r="14738" ht="12" customHeight="1"/>
    <row r="14739" ht="12" customHeight="1"/>
    <row r="14740" ht="12" customHeight="1"/>
    <row r="14741" ht="12" customHeight="1"/>
    <row r="14742" ht="12" customHeight="1"/>
    <row r="14743" ht="12" customHeight="1"/>
    <row r="14744" ht="12" customHeight="1"/>
    <row r="14745" ht="12" customHeight="1"/>
    <row r="14746" ht="12" customHeight="1"/>
    <row r="14747" ht="12" customHeight="1"/>
    <row r="14748" ht="12" customHeight="1"/>
    <row r="14749" ht="12" customHeight="1"/>
    <row r="14750" ht="12" customHeight="1"/>
    <row r="14751" ht="12" customHeight="1"/>
    <row r="14752" ht="12" customHeight="1"/>
    <row r="14753" ht="12" customHeight="1"/>
    <row r="14754" ht="12" customHeight="1"/>
    <row r="14755" ht="12" customHeight="1"/>
    <row r="14756" ht="12" customHeight="1"/>
    <row r="14757" ht="12" customHeight="1"/>
    <row r="14758" ht="12" customHeight="1"/>
    <row r="14759" ht="12" customHeight="1"/>
    <row r="14760" ht="12" customHeight="1"/>
    <row r="14761" ht="12" customHeight="1"/>
    <row r="14762" ht="12" customHeight="1"/>
    <row r="14763" ht="12" customHeight="1"/>
    <row r="14764" ht="12" customHeight="1"/>
    <row r="14765" ht="12" customHeight="1"/>
    <row r="14766" ht="12" customHeight="1"/>
    <row r="14767" ht="12" customHeight="1"/>
    <row r="14768" ht="12" customHeight="1"/>
    <row r="14769" ht="12" customHeight="1"/>
    <row r="14770" ht="12" customHeight="1"/>
    <row r="14771" ht="12" customHeight="1"/>
    <row r="14772" ht="12" customHeight="1"/>
    <row r="14773" ht="12" customHeight="1"/>
    <row r="14774" ht="12" customHeight="1"/>
    <row r="14775" ht="12" customHeight="1"/>
    <row r="14776" ht="12" customHeight="1"/>
    <row r="14777" ht="12" customHeight="1"/>
    <row r="14778" ht="12" customHeight="1"/>
    <row r="14779" ht="12" customHeight="1"/>
    <row r="14780" ht="12" customHeight="1"/>
    <row r="14781" ht="12" customHeight="1"/>
    <row r="14782" ht="12" customHeight="1"/>
    <row r="14783" ht="12" customHeight="1"/>
    <row r="14784" ht="12" customHeight="1"/>
    <row r="14785" ht="12" customHeight="1"/>
    <row r="14786" ht="12" customHeight="1"/>
    <row r="14787" ht="12" customHeight="1"/>
    <row r="14788" ht="12" customHeight="1"/>
    <row r="14789" ht="12" customHeight="1"/>
    <row r="14790" ht="12" customHeight="1"/>
    <row r="14791" ht="12" customHeight="1"/>
    <row r="14792" ht="12" customHeight="1"/>
    <row r="14793" ht="12" customHeight="1"/>
    <row r="14794" ht="12" customHeight="1"/>
    <row r="14795" ht="12" customHeight="1"/>
    <row r="14796" ht="12" customHeight="1"/>
    <row r="14797" ht="12" customHeight="1"/>
    <row r="14798" ht="12" customHeight="1"/>
    <row r="14799" ht="12" customHeight="1"/>
    <row r="14800" ht="12" customHeight="1"/>
    <row r="14801" ht="12" customHeight="1"/>
    <row r="14802" ht="12" customHeight="1"/>
    <row r="14803" ht="12" customHeight="1"/>
    <row r="14804" ht="12" customHeight="1"/>
    <row r="14805" ht="12" customHeight="1"/>
    <row r="14806" ht="12" customHeight="1"/>
    <row r="14807" ht="12" customHeight="1"/>
    <row r="14808" ht="12" customHeight="1"/>
    <row r="14809" ht="12" customHeight="1"/>
    <row r="14810" ht="12" customHeight="1"/>
    <row r="14811" ht="12" customHeight="1"/>
    <row r="14812" ht="12" customHeight="1"/>
    <row r="14813" ht="12" customHeight="1"/>
    <row r="14814" ht="12" customHeight="1"/>
    <row r="14815" ht="12" customHeight="1"/>
    <row r="14816" ht="12" customHeight="1"/>
    <row r="14817" ht="12" customHeight="1"/>
    <row r="14818" ht="12" customHeight="1"/>
    <row r="14819" ht="12" customHeight="1"/>
    <row r="14820" ht="12" customHeight="1"/>
    <row r="14821" ht="12" customHeight="1"/>
    <row r="14822" ht="12" customHeight="1"/>
    <row r="14823" ht="12" customHeight="1"/>
    <row r="14824" ht="12" customHeight="1"/>
    <row r="14825" ht="12" customHeight="1"/>
    <row r="14826" ht="12" customHeight="1"/>
    <row r="14827" ht="12" customHeight="1"/>
    <row r="14828" ht="12" customHeight="1"/>
    <row r="14829" ht="12" customHeight="1"/>
    <row r="14830" ht="12" customHeight="1"/>
    <row r="14831" ht="12" customHeight="1"/>
    <row r="14832" ht="12" customHeight="1"/>
    <row r="14833" ht="12" customHeight="1"/>
    <row r="14834" ht="12" customHeight="1"/>
    <row r="14835" ht="12" customHeight="1"/>
    <row r="14836" ht="12" customHeight="1"/>
    <row r="14837" ht="12" customHeight="1"/>
    <row r="14838" ht="12" customHeight="1"/>
    <row r="14839" ht="12" customHeight="1"/>
    <row r="14840" ht="12" customHeight="1"/>
    <row r="14841" ht="12" customHeight="1"/>
    <row r="14842" ht="12" customHeight="1"/>
    <row r="14843" ht="12" customHeight="1"/>
    <row r="14844" ht="12" customHeight="1"/>
    <row r="14845" ht="12" customHeight="1"/>
    <row r="14846" ht="12" customHeight="1"/>
    <row r="14847" ht="12" customHeight="1"/>
    <row r="14848" ht="12" customHeight="1"/>
    <row r="14849" ht="12" customHeight="1"/>
    <row r="14850" ht="12" customHeight="1"/>
    <row r="14851" ht="12" customHeight="1"/>
    <row r="14852" ht="12" customHeight="1"/>
    <row r="14853" ht="12" customHeight="1"/>
    <row r="14854" ht="12" customHeight="1"/>
    <row r="14855" ht="12" customHeight="1"/>
    <row r="14856" ht="12" customHeight="1"/>
    <row r="14857" ht="12" customHeight="1"/>
    <row r="14858" ht="12" customHeight="1"/>
    <row r="14859" ht="12" customHeight="1"/>
    <row r="14860" ht="12" customHeight="1"/>
    <row r="14861" ht="12" customHeight="1"/>
    <row r="14862" ht="12" customHeight="1"/>
    <row r="14863" ht="12" customHeight="1"/>
    <row r="14864" ht="12" customHeight="1"/>
    <row r="14865" ht="12" customHeight="1"/>
    <row r="14866" ht="12" customHeight="1"/>
    <row r="14867" ht="12" customHeight="1"/>
    <row r="14868" ht="12" customHeight="1"/>
    <row r="14869" ht="12" customHeight="1"/>
    <row r="14870" ht="12" customHeight="1"/>
    <row r="14871" ht="12" customHeight="1"/>
    <row r="14872" ht="12" customHeight="1"/>
    <row r="14873" ht="12" customHeight="1"/>
    <row r="14874" ht="12" customHeight="1"/>
    <row r="14875" ht="12" customHeight="1"/>
    <row r="14876" ht="12" customHeight="1"/>
    <row r="14877" ht="12" customHeight="1"/>
    <row r="14878" ht="12" customHeight="1"/>
    <row r="14879" ht="12" customHeight="1"/>
    <row r="14880" ht="12" customHeight="1"/>
    <row r="14881" ht="12" customHeight="1"/>
    <row r="14882" ht="12" customHeight="1"/>
    <row r="14883" ht="12" customHeight="1"/>
    <row r="14884" ht="12" customHeight="1"/>
    <row r="14885" ht="12" customHeight="1"/>
    <row r="14886" ht="12" customHeight="1"/>
    <row r="14887" ht="12" customHeight="1"/>
    <row r="14888" ht="12" customHeight="1"/>
    <row r="14889" ht="12" customHeight="1"/>
    <row r="14890" ht="12" customHeight="1"/>
    <row r="14891" ht="12" customHeight="1"/>
    <row r="14892" ht="12" customHeight="1"/>
    <row r="14893" ht="12" customHeight="1"/>
    <row r="14894" ht="12" customHeight="1"/>
    <row r="14895" ht="12" customHeight="1"/>
    <row r="14896" ht="12" customHeight="1"/>
    <row r="14897" ht="12" customHeight="1"/>
    <row r="14898" ht="12" customHeight="1"/>
    <row r="14899" ht="12" customHeight="1"/>
    <row r="14900" ht="12" customHeight="1"/>
    <row r="14901" ht="12" customHeight="1"/>
    <row r="14902" ht="12" customHeight="1"/>
    <row r="14903" ht="12" customHeight="1"/>
    <row r="14904" ht="12" customHeight="1"/>
    <row r="14905" ht="12" customHeight="1"/>
    <row r="14906" ht="12" customHeight="1"/>
    <row r="14907" ht="12" customHeight="1"/>
    <row r="14908" ht="12" customHeight="1"/>
    <row r="14909" ht="12" customHeight="1"/>
    <row r="14910" ht="12" customHeight="1"/>
    <row r="14911" ht="12" customHeight="1"/>
    <row r="14912" ht="12" customHeight="1"/>
    <row r="14913" ht="12" customHeight="1"/>
    <row r="14914" ht="12" customHeight="1"/>
    <row r="14915" ht="12" customHeight="1"/>
    <row r="14916" ht="12" customHeight="1"/>
    <row r="14917" ht="12" customHeight="1"/>
    <row r="14918" ht="12" customHeight="1"/>
    <row r="14919" ht="12" customHeight="1"/>
    <row r="14920" ht="12" customHeight="1"/>
    <row r="14921" ht="12" customHeight="1"/>
    <row r="14922" ht="12" customHeight="1"/>
    <row r="14923" ht="12" customHeight="1"/>
    <row r="14924" ht="12" customHeight="1"/>
    <row r="14925" ht="12" customHeight="1"/>
    <row r="14926" ht="12" customHeight="1"/>
    <row r="14927" ht="12" customHeight="1"/>
    <row r="14928" ht="12" customHeight="1"/>
    <row r="14929" ht="12" customHeight="1"/>
    <row r="14930" ht="12" customHeight="1"/>
    <row r="14931" ht="12" customHeight="1"/>
    <row r="14932" ht="12" customHeight="1"/>
    <row r="14933" ht="12" customHeight="1"/>
    <row r="14934" ht="12" customHeight="1"/>
    <row r="14935" ht="12" customHeight="1"/>
    <row r="14936" ht="12" customHeight="1"/>
    <row r="14937" ht="12" customHeight="1"/>
    <row r="14938" ht="12" customHeight="1"/>
    <row r="14939" ht="12" customHeight="1"/>
    <row r="14940" ht="12" customHeight="1"/>
    <row r="14941" ht="12" customHeight="1"/>
    <row r="14942" ht="12" customHeight="1"/>
    <row r="14943" ht="12" customHeight="1"/>
    <row r="14944" ht="12" customHeight="1"/>
    <row r="14945" ht="12" customHeight="1"/>
    <row r="14946" ht="12" customHeight="1"/>
    <row r="14947" ht="12" customHeight="1"/>
    <row r="14948" ht="12" customHeight="1"/>
    <row r="14949" ht="12" customHeight="1"/>
    <row r="14950" ht="12" customHeight="1"/>
    <row r="14951" ht="12" customHeight="1"/>
    <row r="14952" ht="12" customHeight="1"/>
    <row r="14953" ht="12" customHeight="1"/>
    <row r="14954" ht="12" customHeight="1"/>
    <row r="14955" ht="12" customHeight="1"/>
    <row r="14956" ht="12" customHeight="1"/>
    <row r="14957" ht="12" customHeight="1"/>
    <row r="14958" ht="12" customHeight="1"/>
    <row r="14959" ht="12" customHeight="1"/>
    <row r="14960" ht="12" customHeight="1"/>
    <row r="14961" ht="12" customHeight="1"/>
    <row r="14962" ht="12" customHeight="1"/>
    <row r="14963" ht="12" customHeight="1"/>
    <row r="14964" ht="12" customHeight="1"/>
    <row r="14965" ht="12" customHeight="1"/>
    <row r="14966" ht="12" customHeight="1"/>
    <row r="14967" ht="12" customHeight="1"/>
    <row r="14968" ht="12" customHeight="1"/>
    <row r="14969" ht="12" customHeight="1"/>
    <row r="14970" ht="12" customHeight="1"/>
    <row r="14971" ht="12" customHeight="1"/>
    <row r="14972" ht="12" customHeight="1"/>
    <row r="14973" ht="12" customHeight="1"/>
    <row r="14974" ht="12" customHeight="1"/>
    <row r="14975" ht="12" customHeight="1"/>
    <row r="14976" ht="12" customHeight="1"/>
    <row r="14977" ht="12" customHeight="1"/>
    <row r="14978" ht="12" customHeight="1"/>
    <row r="14979" ht="12" customHeight="1"/>
    <row r="14980" ht="12" customHeight="1"/>
    <row r="14981" ht="12" customHeight="1"/>
    <row r="14982" ht="12" customHeight="1"/>
    <row r="14983" ht="12" customHeight="1"/>
    <row r="14984" ht="12" customHeight="1"/>
    <row r="14985" ht="12" customHeight="1"/>
    <row r="14986" ht="12" customHeight="1"/>
    <row r="14987" ht="12" customHeight="1"/>
    <row r="14988" ht="12" customHeight="1"/>
    <row r="14989" ht="12" customHeight="1"/>
    <row r="14990" ht="12" customHeight="1"/>
    <row r="14991" ht="12" customHeight="1"/>
    <row r="14992" ht="12" customHeight="1"/>
    <row r="14993" ht="12" customHeight="1"/>
    <row r="14994" ht="12" customHeight="1"/>
    <row r="14995" ht="12" customHeight="1"/>
    <row r="14996" ht="12" customHeight="1"/>
    <row r="14997" ht="12" customHeight="1"/>
    <row r="14998" ht="12" customHeight="1"/>
    <row r="14999" ht="12" customHeight="1"/>
    <row r="15000" ht="12" customHeight="1"/>
    <row r="15001" ht="12" customHeight="1"/>
    <row r="15002" ht="12" customHeight="1"/>
    <row r="15003" ht="12" customHeight="1"/>
    <row r="15004" ht="12" customHeight="1"/>
    <row r="15005" ht="12" customHeight="1"/>
    <row r="15006" ht="12" customHeight="1"/>
    <row r="15007" ht="12" customHeight="1"/>
    <row r="15008" ht="12" customHeight="1"/>
    <row r="15009" ht="12" customHeight="1"/>
    <row r="15010" ht="12" customHeight="1"/>
    <row r="15011" ht="12" customHeight="1"/>
    <row r="15012" ht="12" customHeight="1"/>
    <row r="15013" ht="12" customHeight="1"/>
    <row r="15014" ht="12" customHeight="1"/>
    <row r="15015" ht="12" customHeight="1"/>
    <row r="15016" ht="12" customHeight="1"/>
    <row r="15017" ht="12" customHeight="1"/>
    <row r="15018" ht="12" customHeight="1"/>
    <row r="15019" ht="12" customHeight="1"/>
    <row r="15020" ht="12" customHeight="1"/>
    <row r="15021" ht="12" customHeight="1"/>
    <row r="15022" ht="12" customHeight="1"/>
    <row r="15023" ht="12" customHeight="1"/>
    <row r="15024" ht="12" customHeight="1"/>
    <row r="15025" ht="12" customHeight="1"/>
    <row r="15026" ht="12" customHeight="1"/>
    <row r="15027" ht="12" customHeight="1"/>
    <row r="15028" ht="12" customHeight="1"/>
    <row r="15029" ht="12" customHeight="1"/>
    <row r="15030" ht="12" customHeight="1"/>
    <row r="15031" ht="12" customHeight="1"/>
    <row r="15032" ht="12" customHeight="1"/>
    <row r="15033" ht="12" customHeight="1"/>
    <row r="15034" ht="12" customHeight="1"/>
    <row r="15035" ht="12" customHeight="1"/>
    <row r="15036" ht="12" customHeight="1"/>
    <row r="15037" ht="12" customHeight="1"/>
    <row r="15038" ht="12" customHeight="1"/>
    <row r="15039" ht="12" customHeight="1"/>
    <row r="15040" ht="12" customHeight="1"/>
    <row r="15041" ht="12" customHeight="1"/>
    <row r="15042" ht="12" customHeight="1"/>
    <row r="15043" ht="12" customHeight="1"/>
    <row r="15044" ht="12" customHeight="1"/>
    <row r="15045" ht="12" customHeight="1"/>
    <row r="15046" ht="12" customHeight="1"/>
    <row r="15047" ht="12" customHeight="1"/>
    <row r="15048" ht="12" customHeight="1"/>
    <row r="15049" ht="12" customHeight="1"/>
    <row r="15050" ht="12" customHeight="1"/>
    <row r="15051" ht="12" customHeight="1"/>
    <row r="15052" ht="12" customHeight="1"/>
    <row r="15053" ht="12" customHeight="1"/>
    <row r="15054" ht="12" customHeight="1"/>
    <row r="15055" ht="12" customHeight="1"/>
    <row r="15056" ht="12" customHeight="1"/>
    <row r="15057" ht="12" customHeight="1"/>
    <row r="15058" ht="12" customHeight="1"/>
    <row r="15059" ht="12" customHeight="1"/>
    <row r="15060" ht="12" customHeight="1"/>
    <row r="15061" ht="12" customHeight="1"/>
    <row r="15062" ht="12" customHeight="1"/>
    <row r="15063" ht="12" customHeight="1"/>
    <row r="15064" ht="12" customHeight="1"/>
    <row r="15065" ht="12" customHeight="1"/>
    <row r="15066" ht="12" customHeight="1"/>
    <row r="15067" ht="12" customHeight="1"/>
    <row r="15068" ht="12" customHeight="1"/>
    <row r="15069" ht="12" customHeight="1"/>
    <row r="15070" ht="12" customHeight="1"/>
    <row r="15071" ht="12" customHeight="1"/>
    <row r="15072" ht="12" customHeight="1"/>
    <row r="15073" ht="12" customHeight="1"/>
    <row r="15074" ht="12" customHeight="1"/>
    <row r="15075" ht="12" customHeight="1"/>
    <row r="15076" ht="12" customHeight="1"/>
    <row r="15077" ht="12" customHeight="1"/>
    <row r="15078" ht="12" customHeight="1"/>
    <row r="15079" ht="12" customHeight="1"/>
    <row r="15080" ht="12" customHeight="1"/>
    <row r="15081" ht="12" customHeight="1"/>
    <row r="15082" ht="12" customHeight="1"/>
    <row r="15083" ht="12" customHeight="1"/>
    <row r="15084" ht="12" customHeight="1"/>
    <row r="15085" ht="12" customHeight="1"/>
    <row r="15086" ht="12" customHeight="1"/>
    <row r="15087" ht="12" customHeight="1"/>
    <row r="15088" ht="12" customHeight="1"/>
    <row r="15089" ht="12" customHeight="1"/>
    <row r="15090" ht="12" customHeight="1"/>
    <row r="15091" ht="12" customHeight="1"/>
    <row r="15092" ht="12" customHeight="1"/>
    <row r="15093" ht="12" customHeight="1"/>
    <row r="15094" ht="12" customHeight="1"/>
    <row r="15095" ht="12" customHeight="1"/>
    <row r="15096" ht="12" customHeight="1"/>
    <row r="15097" ht="12" customHeight="1"/>
    <row r="15098" ht="12" customHeight="1"/>
    <row r="15099" ht="12" customHeight="1"/>
    <row r="15100" ht="12" customHeight="1"/>
    <row r="15101" ht="12" customHeight="1"/>
    <row r="15102" ht="12" customHeight="1"/>
    <row r="15103" ht="12" customHeight="1"/>
    <row r="15104" ht="12" customHeight="1"/>
    <row r="15105" ht="12" customHeight="1"/>
    <row r="15106" ht="12" customHeight="1"/>
    <row r="15107" ht="12" customHeight="1"/>
    <row r="15108" ht="12" customHeight="1"/>
    <row r="15109" ht="12" customHeight="1"/>
    <row r="15110" ht="12" customHeight="1"/>
    <row r="15111" ht="12" customHeight="1"/>
    <row r="15112" ht="12" customHeight="1"/>
    <row r="15113" ht="12" customHeight="1"/>
    <row r="15114" ht="12" customHeight="1"/>
    <row r="15115" ht="12" customHeight="1"/>
    <row r="15116" ht="12" customHeight="1"/>
    <row r="15117" ht="12" customHeight="1"/>
    <row r="15118" ht="12" customHeight="1"/>
    <row r="15119" ht="12" customHeight="1"/>
    <row r="15120" ht="12" customHeight="1"/>
    <row r="15121" ht="12" customHeight="1"/>
    <row r="15122" ht="12" customHeight="1"/>
    <row r="15123" ht="12" customHeight="1"/>
    <row r="15124" ht="12" customHeight="1"/>
    <row r="15125" ht="12" customHeight="1"/>
    <row r="15126" ht="12" customHeight="1"/>
    <row r="15127" ht="12" customHeight="1"/>
    <row r="15128" ht="12" customHeight="1"/>
    <row r="15129" ht="12" customHeight="1"/>
    <row r="15130" ht="12" customHeight="1"/>
    <row r="15131" ht="12" customHeight="1"/>
    <row r="15132" ht="12" customHeight="1"/>
    <row r="15133" ht="12" customHeight="1"/>
    <row r="15134" ht="12" customHeight="1"/>
    <row r="15135" ht="12" customHeight="1"/>
    <row r="15136" ht="12" customHeight="1"/>
    <row r="15137" ht="12" customHeight="1"/>
    <row r="15138" ht="12" customHeight="1"/>
    <row r="15139" ht="12" customHeight="1"/>
    <row r="15140" ht="12" customHeight="1"/>
    <row r="15141" ht="12" customHeight="1"/>
    <row r="15142" ht="12" customHeight="1"/>
    <row r="15143" ht="12" customHeight="1"/>
    <row r="15144" ht="12" customHeight="1"/>
    <row r="15145" ht="12" customHeight="1"/>
    <row r="15146" ht="12" customHeight="1"/>
    <row r="15147" ht="12" customHeight="1"/>
    <row r="15148" ht="12" customHeight="1"/>
    <row r="15149" ht="12" customHeight="1"/>
    <row r="15150" ht="12" customHeight="1"/>
    <row r="15151" ht="12" customHeight="1"/>
    <row r="15152" ht="12" customHeight="1"/>
    <row r="15153" ht="12" customHeight="1"/>
    <row r="15154" ht="12" customHeight="1"/>
    <row r="15155" ht="12" customHeight="1"/>
    <row r="15156" ht="12" customHeight="1"/>
    <row r="15157" ht="12" customHeight="1"/>
    <row r="15158" ht="12" customHeight="1"/>
    <row r="15159" ht="12" customHeight="1"/>
    <row r="15160" ht="12" customHeight="1"/>
    <row r="15161" ht="12" customHeight="1"/>
    <row r="15162" ht="12" customHeight="1"/>
    <row r="15163" ht="12" customHeight="1"/>
    <row r="15164" ht="12" customHeight="1"/>
    <row r="15165" ht="12" customHeight="1"/>
    <row r="15166" ht="12" customHeight="1"/>
    <row r="15167" ht="12" customHeight="1"/>
    <row r="15168" ht="12" customHeight="1"/>
    <row r="15169" ht="12" customHeight="1"/>
    <row r="15170" ht="12" customHeight="1"/>
    <row r="15171" ht="12" customHeight="1"/>
    <row r="15172" ht="12" customHeight="1"/>
    <row r="15173" ht="12" customHeight="1"/>
    <row r="15174" ht="12" customHeight="1"/>
    <row r="15175" ht="12" customHeight="1"/>
    <row r="15176" ht="12" customHeight="1"/>
    <row r="15177" ht="12" customHeight="1"/>
    <row r="15178" ht="12" customHeight="1"/>
    <row r="15179" ht="12" customHeight="1"/>
    <row r="15180" ht="12" customHeight="1"/>
    <row r="15181" ht="12" customHeight="1"/>
    <row r="15182" ht="12" customHeight="1"/>
    <row r="15183" ht="12" customHeight="1"/>
    <row r="15184" ht="12" customHeight="1"/>
    <row r="15185" ht="12" customHeight="1"/>
    <row r="15186" ht="12" customHeight="1"/>
    <row r="15187" ht="12" customHeight="1"/>
    <row r="15188" ht="12" customHeight="1"/>
    <row r="15189" ht="12" customHeight="1"/>
    <row r="15190" ht="12" customHeight="1"/>
    <row r="15191" ht="12" customHeight="1"/>
    <row r="15192" ht="12" customHeight="1"/>
    <row r="15193" ht="12" customHeight="1"/>
    <row r="15194" ht="12" customHeight="1"/>
    <row r="15195" ht="12" customHeight="1"/>
    <row r="15196" ht="12" customHeight="1"/>
    <row r="15197" ht="12" customHeight="1"/>
    <row r="15198" ht="12" customHeight="1"/>
    <row r="15199" ht="12" customHeight="1"/>
    <row r="15200" ht="12" customHeight="1"/>
    <row r="15201" ht="12" customHeight="1"/>
    <row r="15202" ht="12" customHeight="1"/>
    <row r="15203" ht="12" customHeight="1"/>
    <row r="15204" ht="12" customHeight="1"/>
    <row r="15205" ht="12" customHeight="1"/>
    <row r="15206" ht="12" customHeight="1"/>
    <row r="15207" ht="12" customHeight="1"/>
    <row r="15208" ht="12" customHeight="1"/>
    <row r="15209" ht="12" customHeight="1"/>
    <row r="15210" ht="12" customHeight="1"/>
    <row r="15211" ht="12" customHeight="1"/>
    <row r="15212" ht="12" customHeight="1"/>
    <row r="15213" ht="12" customHeight="1"/>
    <row r="15214" ht="12" customHeight="1"/>
    <row r="15215" ht="12" customHeight="1"/>
    <row r="15216" ht="12" customHeight="1"/>
    <row r="15217" ht="12" customHeight="1"/>
    <row r="15218" ht="12" customHeight="1"/>
    <row r="15219" ht="12" customHeight="1"/>
    <row r="15220" ht="12" customHeight="1"/>
    <row r="15221" ht="12" customHeight="1"/>
    <row r="15222" ht="12" customHeight="1"/>
    <row r="15223" ht="12" customHeight="1"/>
    <row r="15224" ht="12" customHeight="1"/>
    <row r="15225" ht="12" customHeight="1"/>
    <row r="15226" ht="12" customHeight="1"/>
    <row r="15227" ht="12" customHeight="1"/>
    <row r="15228" ht="12" customHeight="1"/>
    <row r="15229" ht="12" customHeight="1"/>
    <row r="15230" ht="12" customHeight="1"/>
    <row r="15231" ht="12" customHeight="1"/>
    <row r="15232" ht="12" customHeight="1"/>
    <row r="15233" ht="12" customHeight="1"/>
    <row r="15234" ht="12" customHeight="1"/>
    <row r="15235" ht="12" customHeight="1"/>
    <row r="15236" ht="12" customHeight="1"/>
    <row r="15237" ht="12" customHeight="1"/>
    <row r="15238" ht="12" customHeight="1"/>
    <row r="15239" ht="12" customHeight="1"/>
    <row r="15240" ht="12" customHeight="1"/>
    <row r="15241" ht="12" customHeight="1"/>
    <row r="15242" ht="12" customHeight="1"/>
    <row r="15243" ht="12" customHeight="1"/>
    <row r="15244" ht="12" customHeight="1"/>
    <row r="15245" ht="12" customHeight="1"/>
    <row r="15246" ht="12" customHeight="1"/>
    <row r="15247" ht="12" customHeight="1"/>
    <row r="15248" ht="12" customHeight="1"/>
    <row r="15249" ht="12" customHeight="1"/>
    <row r="15250" ht="12" customHeight="1"/>
    <row r="15251" ht="12" customHeight="1"/>
    <row r="15252" ht="12" customHeight="1"/>
    <row r="15253" ht="12" customHeight="1"/>
    <row r="15254" ht="12" customHeight="1"/>
    <row r="15255" ht="12" customHeight="1"/>
    <row r="15256" ht="12" customHeight="1"/>
    <row r="15257" ht="12" customHeight="1"/>
    <row r="15258" ht="12" customHeight="1"/>
    <row r="15259" ht="12" customHeight="1"/>
    <row r="15260" ht="12" customHeight="1"/>
    <row r="15261" ht="12" customHeight="1"/>
    <row r="15262" ht="12" customHeight="1"/>
    <row r="15263" ht="12" customHeight="1"/>
    <row r="15264" ht="12" customHeight="1"/>
    <row r="15265" ht="12" customHeight="1"/>
    <row r="15266" ht="12" customHeight="1"/>
    <row r="15267" ht="12" customHeight="1"/>
    <row r="15268" ht="12" customHeight="1"/>
    <row r="15269" ht="12" customHeight="1"/>
    <row r="15270" ht="12" customHeight="1"/>
    <row r="15271" ht="12" customHeight="1"/>
    <row r="15272" ht="12" customHeight="1"/>
    <row r="15273" ht="12" customHeight="1"/>
    <row r="15274" ht="12" customHeight="1"/>
    <row r="15275" ht="12" customHeight="1"/>
    <row r="15276" ht="12" customHeight="1"/>
    <row r="15277" ht="12" customHeight="1"/>
    <row r="15278" ht="12" customHeight="1"/>
    <row r="15279" ht="12" customHeight="1"/>
    <row r="15280" ht="12" customHeight="1"/>
    <row r="15281" ht="12" customHeight="1"/>
    <row r="15282" ht="12" customHeight="1"/>
    <row r="15283" ht="12" customHeight="1"/>
    <row r="15284" ht="12" customHeight="1"/>
    <row r="15285" ht="12" customHeight="1"/>
    <row r="15286" ht="12" customHeight="1"/>
    <row r="15287" ht="12" customHeight="1"/>
    <row r="15288" ht="12" customHeight="1"/>
    <row r="15289" ht="12" customHeight="1"/>
    <row r="15290" ht="12" customHeight="1"/>
    <row r="15291" ht="12" customHeight="1"/>
    <row r="15292" ht="12" customHeight="1"/>
    <row r="15293" ht="12" customHeight="1"/>
    <row r="15294" ht="12" customHeight="1"/>
    <row r="15295" ht="12" customHeight="1"/>
    <row r="15296" ht="12" customHeight="1"/>
    <row r="15297" ht="12" customHeight="1"/>
    <row r="15298" ht="12" customHeight="1"/>
    <row r="15299" ht="12" customHeight="1"/>
    <row r="15300" ht="12" customHeight="1"/>
    <row r="15301" ht="12" customHeight="1"/>
    <row r="15302" ht="12" customHeight="1"/>
    <row r="15303" ht="12" customHeight="1"/>
    <row r="15304" ht="12" customHeight="1"/>
    <row r="15305" ht="12" customHeight="1"/>
    <row r="15306" ht="12" customHeight="1"/>
    <row r="15307" ht="12" customHeight="1"/>
    <row r="15308" ht="12" customHeight="1"/>
    <row r="15309" ht="12" customHeight="1"/>
    <row r="15310" ht="12" customHeight="1"/>
    <row r="15311" ht="12" customHeight="1"/>
    <row r="15312" ht="12" customHeight="1"/>
    <row r="15313" ht="12" customHeight="1"/>
    <row r="15314" ht="12" customHeight="1"/>
    <row r="15315" ht="12" customHeight="1"/>
    <row r="15316" ht="12" customHeight="1"/>
    <row r="15317" ht="12" customHeight="1"/>
    <row r="15318" ht="12" customHeight="1"/>
    <row r="15319" ht="12" customHeight="1"/>
    <row r="15320" ht="12" customHeight="1"/>
    <row r="15321" ht="12" customHeight="1"/>
    <row r="15322" ht="12" customHeight="1"/>
    <row r="15323" ht="12" customHeight="1"/>
    <row r="15324" ht="12" customHeight="1"/>
    <row r="15325" ht="12" customHeight="1"/>
    <row r="15326" ht="12" customHeight="1"/>
    <row r="15327" ht="12" customHeight="1"/>
    <row r="15328" ht="12" customHeight="1"/>
    <row r="15329" ht="12" customHeight="1"/>
    <row r="15330" ht="12" customHeight="1"/>
    <row r="15331" ht="12" customHeight="1"/>
    <row r="15332" ht="12" customHeight="1"/>
    <row r="15333" ht="12" customHeight="1"/>
    <row r="15334" ht="12" customHeight="1"/>
    <row r="15335" ht="12" customHeight="1"/>
    <row r="15336" ht="12" customHeight="1"/>
    <row r="15337" ht="12" customHeight="1"/>
    <row r="15338" ht="12" customHeight="1"/>
    <row r="15339" ht="12" customHeight="1"/>
    <row r="15340" ht="12" customHeight="1"/>
    <row r="15341" ht="12" customHeight="1"/>
    <row r="15342" ht="12" customHeight="1"/>
    <row r="15343" ht="12" customHeight="1"/>
    <row r="15344" ht="12" customHeight="1"/>
    <row r="15345" ht="12" customHeight="1"/>
    <row r="15346" ht="12" customHeight="1"/>
    <row r="15347" ht="12" customHeight="1"/>
    <row r="15348" ht="12" customHeight="1"/>
    <row r="15349" ht="12" customHeight="1"/>
    <row r="15350" ht="12" customHeight="1"/>
    <row r="15351" ht="12" customHeight="1"/>
    <row r="15352" ht="12" customHeight="1"/>
    <row r="15353" ht="12" customHeight="1"/>
    <row r="15354" ht="12" customHeight="1"/>
    <row r="15355" ht="12" customHeight="1"/>
    <row r="15356" ht="12" customHeight="1"/>
    <row r="15357" ht="12" customHeight="1"/>
    <row r="15358" ht="12" customHeight="1"/>
    <row r="15359" ht="12" customHeight="1"/>
    <row r="15360" ht="12" customHeight="1"/>
    <row r="15361" ht="12" customHeight="1"/>
    <row r="15362" ht="12" customHeight="1"/>
    <row r="15363" ht="12" customHeight="1"/>
    <row r="15364" ht="12" customHeight="1"/>
    <row r="15365" ht="12" customHeight="1"/>
    <row r="15366" ht="12" customHeight="1"/>
    <row r="15367" ht="12" customHeight="1"/>
    <row r="15368" ht="12" customHeight="1"/>
    <row r="15369" ht="12" customHeight="1"/>
    <row r="15370" ht="12" customHeight="1"/>
    <row r="15371" ht="12" customHeight="1"/>
    <row r="15372" ht="12" customHeight="1"/>
    <row r="15373" ht="12" customHeight="1"/>
    <row r="15374" ht="12" customHeight="1"/>
    <row r="15375" ht="12" customHeight="1"/>
    <row r="15376" ht="12" customHeight="1"/>
    <row r="15377" ht="12" customHeight="1"/>
    <row r="15378" ht="12" customHeight="1"/>
    <row r="15379" ht="12" customHeight="1"/>
    <row r="15380" ht="12" customHeight="1"/>
    <row r="15381" ht="12" customHeight="1"/>
    <row r="15382" ht="12" customHeight="1"/>
    <row r="15383" ht="12" customHeight="1"/>
    <row r="15384" ht="12" customHeight="1"/>
    <row r="15385" ht="12" customHeight="1"/>
    <row r="15386" ht="12" customHeight="1"/>
    <row r="15387" ht="12" customHeight="1"/>
    <row r="15388" ht="12" customHeight="1"/>
    <row r="15389" ht="12" customHeight="1"/>
    <row r="15390" ht="12" customHeight="1"/>
    <row r="15391" ht="12" customHeight="1"/>
    <row r="15392" ht="12" customHeight="1"/>
    <row r="15393" ht="12" customHeight="1"/>
    <row r="15394" ht="12" customHeight="1"/>
    <row r="15395" ht="12" customHeight="1"/>
    <row r="15396" ht="12" customHeight="1"/>
    <row r="15397" ht="12" customHeight="1"/>
    <row r="15398" ht="12" customHeight="1"/>
    <row r="15399" ht="12" customHeight="1"/>
    <row r="15400" ht="12" customHeight="1"/>
    <row r="15401" ht="12" customHeight="1"/>
    <row r="15402" ht="12" customHeight="1"/>
    <row r="15403" ht="12" customHeight="1"/>
    <row r="15404" ht="12" customHeight="1"/>
    <row r="15405" ht="12" customHeight="1"/>
    <row r="15406" ht="12" customHeight="1"/>
    <row r="15407" ht="12" customHeight="1"/>
    <row r="15408" ht="12" customHeight="1"/>
    <row r="15409" ht="12" customHeight="1"/>
    <row r="15410" ht="12" customHeight="1"/>
    <row r="15411" ht="12" customHeight="1"/>
    <row r="15412" ht="12" customHeight="1"/>
    <row r="15413" ht="12" customHeight="1"/>
    <row r="15414" ht="12" customHeight="1"/>
    <row r="15415" ht="12" customHeight="1"/>
    <row r="15416" ht="12" customHeight="1"/>
    <row r="15417" ht="12" customHeight="1"/>
    <row r="15418" ht="12" customHeight="1"/>
    <row r="15419" ht="12" customHeight="1"/>
    <row r="15420" ht="12" customHeight="1"/>
    <row r="15421" ht="12" customHeight="1"/>
    <row r="15422" ht="12" customHeight="1"/>
    <row r="15423" ht="12" customHeight="1"/>
    <row r="15424" ht="12" customHeight="1"/>
    <row r="15425" ht="12" customHeight="1"/>
    <row r="15426" ht="12" customHeight="1"/>
    <row r="15427" ht="12" customHeight="1"/>
    <row r="15428" ht="12" customHeight="1"/>
    <row r="15429" ht="12" customHeight="1"/>
    <row r="15430" ht="12" customHeight="1"/>
    <row r="15431" ht="12" customHeight="1"/>
    <row r="15432" ht="12" customHeight="1"/>
    <row r="15433" ht="12" customHeight="1"/>
    <row r="15434" ht="12" customHeight="1"/>
    <row r="15435" ht="12" customHeight="1"/>
    <row r="15436" ht="12" customHeight="1"/>
    <row r="15437" ht="12" customHeight="1"/>
    <row r="15438" ht="12" customHeight="1"/>
    <row r="15439" ht="12" customHeight="1"/>
    <row r="15440" ht="12" customHeight="1"/>
    <row r="15441" ht="12" customHeight="1"/>
    <row r="15442" ht="12" customHeight="1"/>
    <row r="15443" ht="12" customHeight="1"/>
    <row r="15444" ht="12" customHeight="1"/>
    <row r="15445" ht="12" customHeight="1"/>
    <row r="15446" ht="12" customHeight="1"/>
    <row r="15447" ht="12" customHeight="1"/>
    <row r="15448" ht="12" customHeight="1"/>
    <row r="15449" ht="12" customHeight="1"/>
    <row r="15450" ht="12" customHeight="1"/>
    <row r="15451" ht="12" customHeight="1"/>
    <row r="15452" ht="12" customHeight="1"/>
    <row r="15453" ht="12" customHeight="1"/>
    <row r="15454" ht="12" customHeight="1"/>
    <row r="15455" ht="12" customHeight="1"/>
    <row r="15456" ht="12" customHeight="1"/>
    <row r="15457" ht="12" customHeight="1"/>
    <row r="15458" ht="12" customHeight="1"/>
    <row r="15459" ht="12" customHeight="1"/>
    <row r="15460" ht="12" customHeight="1"/>
    <row r="15461" ht="12" customHeight="1"/>
    <row r="15462" ht="12" customHeight="1"/>
    <row r="15463" ht="12" customHeight="1"/>
    <row r="15464" ht="12" customHeight="1"/>
    <row r="15465" ht="12" customHeight="1"/>
    <row r="15466" ht="12" customHeight="1"/>
    <row r="15467" ht="12" customHeight="1"/>
    <row r="15468" ht="12" customHeight="1"/>
    <row r="15469" ht="12" customHeight="1"/>
    <row r="15470" ht="12" customHeight="1"/>
    <row r="15471" ht="12" customHeight="1"/>
    <row r="15472" ht="12" customHeight="1"/>
    <row r="15473" ht="12" customHeight="1"/>
    <row r="15474" ht="12" customHeight="1"/>
    <row r="15475" ht="12" customHeight="1"/>
    <row r="15476" ht="12" customHeight="1"/>
    <row r="15477" ht="12" customHeight="1"/>
    <row r="15478" ht="12" customHeight="1"/>
    <row r="15479" ht="12" customHeight="1"/>
    <row r="15480" ht="12" customHeight="1"/>
    <row r="15481" ht="12" customHeight="1"/>
    <row r="15482" ht="12" customHeight="1"/>
    <row r="15483" ht="12" customHeight="1"/>
    <row r="15484" ht="12" customHeight="1"/>
    <row r="15485" ht="12" customHeight="1"/>
    <row r="15486" ht="12" customHeight="1"/>
    <row r="15487" ht="12" customHeight="1"/>
    <row r="15488" ht="12" customHeight="1"/>
    <row r="15489" ht="12" customHeight="1"/>
    <row r="15490" ht="12" customHeight="1"/>
    <row r="15491" ht="12" customHeight="1"/>
    <row r="15492" ht="12" customHeight="1"/>
    <row r="15493" ht="12" customHeight="1"/>
    <row r="15494" ht="12" customHeight="1"/>
    <row r="15495" ht="12" customHeight="1"/>
    <row r="15496" ht="12" customHeight="1"/>
    <row r="15497" ht="12" customHeight="1"/>
    <row r="15498" ht="12" customHeight="1"/>
    <row r="15499" ht="12" customHeight="1"/>
    <row r="15500" ht="12" customHeight="1"/>
    <row r="15501" ht="12" customHeight="1"/>
    <row r="15502" ht="12" customHeight="1"/>
    <row r="15503" ht="12" customHeight="1"/>
    <row r="15504" ht="12" customHeight="1"/>
    <row r="15505" ht="12" customHeight="1"/>
    <row r="15506" ht="12" customHeight="1"/>
    <row r="15507" ht="12" customHeight="1"/>
    <row r="15508" ht="12" customHeight="1"/>
    <row r="15509" ht="12" customHeight="1"/>
    <row r="15510" ht="12" customHeight="1"/>
    <row r="15511" ht="12" customHeight="1"/>
    <row r="15512" ht="12" customHeight="1"/>
    <row r="15513" ht="12" customHeight="1"/>
    <row r="15514" ht="12" customHeight="1"/>
    <row r="15515" ht="12" customHeight="1"/>
    <row r="15516" ht="12" customHeight="1"/>
    <row r="15517" ht="12" customHeight="1"/>
    <row r="15518" ht="12" customHeight="1"/>
    <row r="15519" ht="12" customHeight="1"/>
    <row r="15520" ht="12" customHeight="1"/>
    <row r="15521" ht="12" customHeight="1"/>
    <row r="15522" ht="12" customHeight="1"/>
    <row r="15523" ht="12" customHeight="1"/>
    <row r="15524" ht="12" customHeight="1"/>
    <row r="15525" ht="12" customHeight="1"/>
    <row r="15526" ht="12" customHeight="1"/>
    <row r="15527" ht="12" customHeight="1"/>
    <row r="15528" ht="12" customHeight="1"/>
    <row r="15529" ht="12" customHeight="1"/>
    <row r="15530" ht="12" customHeight="1"/>
    <row r="15531" ht="12" customHeight="1"/>
    <row r="15532" ht="12" customHeight="1"/>
    <row r="15533" ht="12" customHeight="1"/>
    <row r="15534" ht="12" customHeight="1"/>
    <row r="15535" ht="12" customHeight="1"/>
    <row r="15536" ht="12" customHeight="1"/>
    <row r="15537" ht="12" customHeight="1"/>
    <row r="15538" ht="12" customHeight="1"/>
    <row r="15539" ht="12" customHeight="1"/>
    <row r="15540" ht="12" customHeight="1"/>
    <row r="15541" ht="12" customHeight="1"/>
    <row r="15542" ht="12" customHeight="1"/>
    <row r="15543" ht="12" customHeight="1"/>
    <row r="15544" ht="12" customHeight="1"/>
    <row r="15545" ht="12" customHeight="1"/>
    <row r="15546" ht="12" customHeight="1"/>
    <row r="15547" ht="12" customHeight="1"/>
    <row r="15548" ht="12" customHeight="1"/>
    <row r="15549" ht="12" customHeight="1"/>
    <row r="15550" ht="12" customHeight="1"/>
    <row r="15551" ht="12" customHeight="1"/>
    <row r="15552" ht="12" customHeight="1"/>
    <row r="15553" ht="12" customHeight="1"/>
    <row r="15554" ht="12" customHeight="1"/>
    <row r="15555" ht="12" customHeight="1"/>
    <row r="15556" ht="12" customHeight="1"/>
    <row r="15557" ht="12" customHeight="1"/>
    <row r="15558" ht="12" customHeight="1"/>
    <row r="15559" ht="12" customHeight="1"/>
    <row r="15560" ht="12" customHeight="1"/>
    <row r="15561" ht="12" customHeight="1"/>
    <row r="15562" ht="12" customHeight="1"/>
    <row r="15563" ht="12" customHeight="1"/>
    <row r="15564" ht="12" customHeight="1"/>
    <row r="15565" ht="12" customHeight="1"/>
    <row r="15566" ht="12" customHeight="1"/>
    <row r="15567" ht="12" customHeight="1"/>
    <row r="15568" ht="12" customHeight="1"/>
    <row r="15569" ht="12" customHeight="1"/>
    <row r="15570" ht="12" customHeight="1"/>
    <row r="15571" ht="12" customHeight="1"/>
    <row r="15572" ht="12" customHeight="1"/>
    <row r="15573" ht="12" customHeight="1"/>
    <row r="15574" ht="12" customHeight="1"/>
    <row r="15575" ht="12" customHeight="1"/>
    <row r="15576" ht="12" customHeight="1"/>
    <row r="15577" ht="12" customHeight="1"/>
    <row r="15578" ht="12" customHeight="1"/>
    <row r="15579" ht="12" customHeight="1"/>
    <row r="15580" ht="12" customHeight="1"/>
    <row r="15581" ht="12" customHeight="1"/>
    <row r="15582" ht="12" customHeight="1"/>
    <row r="15583" ht="12" customHeight="1"/>
    <row r="15584" ht="12" customHeight="1"/>
    <row r="15585" ht="12" customHeight="1"/>
    <row r="15586" ht="12" customHeight="1"/>
    <row r="15587" ht="12" customHeight="1"/>
    <row r="15588" ht="12" customHeight="1"/>
    <row r="15589" ht="12" customHeight="1"/>
    <row r="15590" ht="12" customHeight="1"/>
    <row r="15591" ht="12" customHeight="1"/>
    <row r="15592" ht="12" customHeight="1"/>
    <row r="15593" ht="12" customHeight="1"/>
    <row r="15594" ht="12" customHeight="1"/>
    <row r="15595" ht="12" customHeight="1"/>
    <row r="15596" ht="12" customHeight="1"/>
    <row r="15597" ht="12" customHeight="1"/>
    <row r="15598" ht="12" customHeight="1"/>
    <row r="15599" ht="12" customHeight="1"/>
    <row r="15600" ht="12" customHeight="1"/>
    <row r="15601" ht="12" customHeight="1"/>
    <row r="15602" ht="12" customHeight="1"/>
    <row r="15603" ht="12" customHeight="1"/>
    <row r="15604" ht="12" customHeight="1"/>
    <row r="15605" ht="12" customHeight="1"/>
    <row r="15606" ht="12" customHeight="1"/>
    <row r="15607" ht="12" customHeight="1"/>
    <row r="15608" ht="12" customHeight="1"/>
    <row r="15609" ht="12" customHeight="1"/>
    <row r="15610" ht="12" customHeight="1"/>
    <row r="15611" ht="12" customHeight="1"/>
    <row r="15612" ht="12" customHeight="1"/>
    <row r="15613" ht="12" customHeight="1"/>
    <row r="15614" ht="12" customHeight="1"/>
    <row r="15615" ht="12" customHeight="1"/>
    <row r="15616" ht="12" customHeight="1"/>
    <row r="15617" ht="12" customHeight="1"/>
    <row r="15618" ht="12" customHeight="1"/>
    <row r="15619" ht="12" customHeight="1"/>
    <row r="15620" ht="12" customHeight="1"/>
    <row r="15621" ht="12" customHeight="1"/>
    <row r="15622" ht="12" customHeight="1"/>
    <row r="15623" ht="12" customHeight="1"/>
    <row r="15624" ht="12" customHeight="1"/>
    <row r="15625" ht="12" customHeight="1"/>
    <row r="15626" ht="12" customHeight="1"/>
    <row r="15627" ht="12" customHeight="1"/>
    <row r="15628" ht="12" customHeight="1"/>
    <row r="15629" ht="12" customHeight="1"/>
    <row r="15630" ht="12" customHeight="1"/>
    <row r="15631" ht="12" customHeight="1"/>
    <row r="15632" ht="12" customHeight="1"/>
    <row r="15633" ht="12" customHeight="1"/>
    <row r="15634" ht="12" customHeight="1"/>
    <row r="15635" ht="12" customHeight="1"/>
    <row r="15636" ht="12" customHeight="1"/>
    <row r="15637" ht="12" customHeight="1"/>
    <row r="15638" ht="12" customHeight="1"/>
    <row r="15639" ht="12" customHeight="1"/>
    <row r="15640" ht="12" customHeight="1"/>
    <row r="15641" ht="12" customHeight="1"/>
    <row r="15642" ht="12" customHeight="1"/>
    <row r="15643" ht="12" customHeight="1"/>
    <row r="15644" ht="12" customHeight="1"/>
    <row r="15645" ht="12" customHeight="1"/>
    <row r="15646" ht="12" customHeight="1"/>
    <row r="15647" ht="12" customHeight="1"/>
    <row r="15648" ht="12" customHeight="1"/>
    <row r="15649" ht="12" customHeight="1"/>
    <row r="15650" ht="12" customHeight="1"/>
    <row r="15651" ht="12" customHeight="1"/>
    <row r="15652" ht="12" customHeight="1"/>
    <row r="15653" ht="12" customHeight="1"/>
    <row r="15654" ht="12" customHeight="1"/>
    <row r="15655" ht="12" customHeight="1"/>
    <row r="15656" ht="12" customHeight="1"/>
    <row r="15657" ht="12" customHeight="1"/>
    <row r="15658" ht="12" customHeight="1"/>
    <row r="15659" ht="12" customHeight="1"/>
    <row r="15660" ht="12" customHeight="1"/>
    <row r="15661" ht="12" customHeight="1"/>
    <row r="15662" ht="12" customHeight="1"/>
    <row r="15663" ht="12" customHeight="1"/>
    <row r="15664" ht="12" customHeight="1"/>
    <row r="15665" ht="12" customHeight="1"/>
    <row r="15666" ht="12" customHeight="1"/>
    <row r="15667" ht="12" customHeight="1"/>
    <row r="15668" ht="12" customHeight="1"/>
    <row r="15669" ht="12" customHeight="1"/>
    <row r="15670" ht="12" customHeight="1"/>
    <row r="15671" ht="12" customHeight="1"/>
    <row r="15672" ht="12" customHeight="1"/>
    <row r="15673" ht="12" customHeight="1"/>
    <row r="15674" ht="12" customHeight="1"/>
    <row r="15675" ht="12" customHeight="1"/>
    <row r="15676" ht="12" customHeight="1"/>
    <row r="15677" ht="12" customHeight="1"/>
    <row r="15678" ht="12" customHeight="1"/>
    <row r="15679" ht="12" customHeight="1"/>
    <row r="15680" ht="12" customHeight="1"/>
    <row r="15681" ht="12" customHeight="1"/>
    <row r="15682" ht="12" customHeight="1"/>
    <row r="15683" ht="12" customHeight="1"/>
    <row r="15684" ht="12" customHeight="1"/>
    <row r="15685" ht="12" customHeight="1"/>
    <row r="15686" ht="12" customHeight="1"/>
    <row r="15687" ht="12" customHeight="1"/>
    <row r="15688" ht="12" customHeight="1"/>
    <row r="15689" ht="12" customHeight="1"/>
    <row r="15690" ht="12" customHeight="1"/>
    <row r="15691" ht="12" customHeight="1"/>
    <row r="15692" ht="12" customHeight="1"/>
    <row r="15693" ht="12" customHeight="1"/>
    <row r="15694" ht="12" customHeight="1"/>
    <row r="15695" ht="12" customHeight="1"/>
    <row r="15696" ht="12" customHeight="1"/>
    <row r="15697" ht="12" customHeight="1"/>
    <row r="15698" ht="12" customHeight="1"/>
    <row r="15699" ht="12" customHeight="1"/>
    <row r="15700" ht="12" customHeight="1"/>
    <row r="15701" ht="12" customHeight="1"/>
    <row r="15702" ht="12" customHeight="1"/>
    <row r="15703" ht="12" customHeight="1"/>
    <row r="15704" ht="12" customHeight="1"/>
    <row r="15705" ht="12" customHeight="1"/>
    <row r="15706" ht="12" customHeight="1"/>
    <row r="15707" ht="12" customHeight="1"/>
    <row r="15708" ht="12" customHeight="1"/>
    <row r="15709" ht="12" customHeight="1"/>
    <row r="15710" ht="12" customHeight="1"/>
    <row r="15711" ht="12" customHeight="1"/>
    <row r="15712" ht="12" customHeight="1"/>
    <row r="15713" ht="12" customHeight="1"/>
    <row r="15714" ht="12" customHeight="1"/>
    <row r="15715" ht="12" customHeight="1"/>
    <row r="15716" ht="12" customHeight="1"/>
    <row r="15717" ht="12" customHeight="1"/>
    <row r="15718" ht="12" customHeight="1"/>
    <row r="15719" ht="12" customHeight="1"/>
    <row r="15720" ht="12" customHeight="1"/>
    <row r="15721" ht="12" customHeight="1"/>
    <row r="15722" ht="12" customHeight="1"/>
    <row r="15723" ht="12" customHeight="1"/>
    <row r="15724" ht="12" customHeight="1"/>
    <row r="15725" ht="12" customHeight="1"/>
    <row r="15726" ht="12" customHeight="1"/>
    <row r="15727" ht="12" customHeight="1"/>
    <row r="15728" ht="12" customHeight="1"/>
    <row r="15729" ht="12" customHeight="1"/>
    <row r="15730" ht="12" customHeight="1"/>
    <row r="15731" ht="12" customHeight="1"/>
    <row r="15732" ht="12" customHeight="1"/>
    <row r="15733" ht="12" customHeight="1"/>
    <row r="15734" ht="12" customHeight="1"/>
    <row r="15735" ht="12" customHeight="1"/>
    <row r="15736" ht="12" customHeight="1"/>
    <row r="15737" ht="12" customHeight="1"/>
    <row r="15738" ht="12" customHeight="1"/>
    <row r="15739" ht="12" customHeight="1"/>
    <row r="15740" ht="12" customHeight="1"/>
    <row r="15741" ht="12" customHeight="1"/>
    <row r="15742" ht="12" customHeight="1"/>
    <row r="15743" ht="12" customHeight="1"/>
    <row r="15744" ht="12" customHeight="1"/>
    <row r="15745" ht="12" customHeight="1"/>
    <row r="15746" ht="12" customHeight="1"/>
    <row r="15747" ht="12" customHeight="1"/>
    <row r="15748" ht="12" customHeight="1"/>
    <row r="15749" ht="12" customHeight="1"/>
    <row r="15750" ht="12" customHeight="1"/>
    <row r="15751" ht="12" customHeight="1"/>
    <row r="15752" ht="12" customHeight="1"/>
    <row r="15753" ht="12" customHeight="1"/>
    <row r="15754" ht="12" customHeight="1"/>
    <row r="15755" ht="12" customHeight="1"/>
    <row r="15756" ht="12" customHeight="1"/>
    <row r="15757" ht="12" customHeight="1"/>
    <row r="15758" ht="12" customHeight="1"/>
    <row r="15759" ht="12" customHeight="1"/>
    <row r="15760" ht="12" customHeight="1"/>
    <row r="15761" ht="12" customHeight="1"/>
    <row r="15762" ht="12" customHeight="1"/>
    <row r="15763" ht="12" customHeight="1"/>
    <row r="15764" ht="12" customHeight="1"/>
    <row r="15765" ht="12" customHeight="1"/>
    <row r="15766" ht="12" customHeight="1"/>
    <row r="15767" ht="12" customHeight="1"/>
    <row r="15768" ht="12" customHeight="1"/>
    <row r="15769" ht="12" customHeight="1"/>
    <row r="15770" ht="12" customHeight="1"/>
    <row r="15771" ht="12" customHeight="1"/>
    <row r="15772" ht="12" customHeight="1"/>
    <row r="15773" ht="12" customHeight="1"/>
    <row r="15774" ht="12" customHeight="1"/>
    <row r="15775" ht="12" customHeight="1"/>
    <row r="15776" ht="12" customHeight="1"/>
    <row r="15777" ht="12" customHeight="1"/>
    <row r="15778" ht="12" customHeight="1"/>
    <row r="15779" ht="12" customHeight="1"/>
    <row r="15780" ht="12" customHeight="1"/>
    <row r="15781" ht="12" customHeight="1"/>
    <row r="15782" ht="12" customHeight="1"/>
    <row r="15783" ht="12" customHeight="1"/>
    <row r="15784" ht="12" customHeight="1"/>
    <row r="15785" ht="12" customHeight="1"/>
    <row r="15786" ht="12" customHeight="1"/>
    <row r="15787" ht="12" customHeight="1"/>
    <row r="15788" ht="12" customHeight="1"/>
    <row r="15789" ht="12" customHeight="1"/>
    <row r="15790" ht="12" customHeight="1"/>
    <row r="15791" ht="12" customHeight="1"/>
    <row r="15792" ht="12" customHeight="1"/>
    <row r="15793" ht="12" customHeight="1"/>
    <row r="15794" ht="12" customHeight="1"/>
    <row r="15795" ht="12" customHeight="1"/>
    <row r="15796" ht="12" customHeight="1"/>
    <row r="15797" ht="12" customHeight="1"/>
    <row r="15798" ht="12" customHeight="1"/>
    <row r="15799" ht="12" customHeight="1"/>
    <row r="15800" ht="12" customHeight="1"/>
    <row r="15801" ht="12" customHeight="1"/>
    <row r="15802" ht="12" customHeight="1"/>
    <row r="15803" ht="12" customHeight="1"/>
    <row r="15804" ht="12" customHeight="1"/>
    <row r="15805" ht="12" customHeight="1"/>
    <row r="15806" ht="12" customHeight="1"/>
    <row r="15807" ht="12" customHeight="1"/>
    <row r="15808" ht="12" customHeight="1"/>
    <row r="15809" ht="12" customHeight="1"/>
    <row r="15810" ht="12" customHeight="1"/>
    <row r="15811" ht="12" customHeight="1"/>
    <row r="15812" ht="12" customHeight="1"/>
    <row r="15813" ht="12" customHeight="1"/>
    <row r="15814" ht="12" customHeight="1"/>
    <row r="15815" ht="12" customHeight="1"/>
    <row r="15816" ht="12" customHeight="1"/>
    <row r="15817" ht="12" customHeight="1"/>
    <row r="15818" ht="12" customHeight="1"/>
    <row r="15819" ht="12" customHeight="1"/>
    <row r="15820" ht="12" customHeight="1"/>
    <row r="15821" ht="12" customHeight="1"/>
    <row r="15822" ht="12" customHeight="1"/>
    <row r="15823" ht="12" customHeight="1"/>
    <row r="15824" ht="12" customHeight="1"/>
    <row r="15825" ht="12" customHeight="1"/>
    <row r="15826" ht="12" customHeight="1"/>
    <row r="15827" ht="12" customHeight="1"/>
    <row r="15828" ht="12" customHeight="1"/>
    <row r="15829" ht="12" customHeight="1"/>
    <row r="15830" ht="12" customHeight="1"/>
    <row r="15831" ht="12" customHeight="1"/>
    <row r="15832" ht="12" customHeight="1"/>
    <row r="15833" ht="12" customHeight="1"/>
    <row r="15834" ht="12" customHeight="1"/>
    <row r="15835" ht="12" customHeight="1"/>
    <row r="15836" ht="12" customHeight="1"/>
    <row r="15837" ht="12" customHeight="1"/>
    <row r="15838" ht="12" customHeight="1"/>
    <row r="15839" ht="12" customHeight="1"/>
    <row r="15840" ht="12" customHeight="1"/>
    <row r="15841" ht="12" customHeight="1"/>
    <row r="15842" ht="12" customHeight="1"/>
    <row r="15843" ht="12" customHeight="1"/>
    <row r="15844" ht="12" customHeight="1"/>
    <row r="15845" ht="12" customHeight="1"/>
    <row r="15846" ht="12" customHeight="1"/>
    <row r="15847" ht="12" customHeight="1"/>
    <row r="15848" ht="12" customHeight="1"/>
    <row r="15849" ht="12" customHeight="1"/>
    <row r="15850" ht="12" customHeight="1"/>
    <row r="15851" ht="12" customHeight="1"/>
    <row r="15852" ht="12" customHeight="1"/>
    <row r="15853" ht="12" customHeight="1"/>
    <row r="15854" ht="12" customHeight="1"/>
    <row r="15855" ht="12" customHeight="1"/>
    <row r="15856" ht="12" customHeight="1"/>
    <row r="15857" ht="12" customHeight="1"/>
    <row r="15858" ht="12" customHeight="1"/>
    <row r="15859" ht="12" customHeight="1"/>
    <row r="15860" ht="12" customHeight="1"/>
    <row r="15861" ht="12" customHeight="1"/>
    <row r="15862" ht="12" customHeight="1"/>
    <row r="15863" ht="12" customHeight="1"/>
    <row r="15864" ht="12" customHeight="1"/>
    <row r="15865" ht="12" customHeight="1"/>
    <row r="15866" ht="12" customHeight="1"/>
    <row r="15867" ht="12" customHeight="1"/>
    <row r="15868" ht="12" customHeight="1"/>
    <row r="15869" ht="12" customHeight="1"/>
    <row r="15870" ht="12" customHeight="1"/>
    <row r="15871" ht="12" customHeight="1"/>
    <row r="15872" ht="12" customHeight="1"/>
    <row r="15873" ht="12" customHeight="1"/>
    <row r="15874" ht="12" customHeight="1"/>
    <row r="15875" ht="12" customHeight="1"/>
    <row r="15876" ht="12" customHeight="1"/>
    <row r="15877" ht="12" customHeight="1"/>
    <row r="15878" ht="12" customHeight="1"/>
    <row r="15879" ht="12" customHeight="1"/>
    <row r="15880" ht="12" customHeight="1"/>
    <row r="15881" ht="12" customHeight="1"/>
    <row r="15882" ht="12" customHeight="1"/>
    <row r="15883" ht="12" customHeight="1"/>
    <row r="15884" ht="12" customHeight="1"/>
    <row r="15885" ht="12" customHeight="1"/>
    <row r="15886" ht="12" customHeight="1"/>
    <row r="15887" ht="12" customHeight="1"/>
    <row r="15888" ht="12" customHeight="1"/>
    <row r="15889" ht="12" customHeight="1"/>
    <row r="15890" ht="12" customHeight="1"/>
    <row r="15891" ht="12" customHeight="1"/>
    <row r="15892" ht="12" customHeight="1"/>
    <row r="15893" ht="12" customHeight="1"/>
    <row r="15894" ht="12" customHeight="1"/>
    <row r="15895" ht="12" customHeight="1"/>
    <row r="15896" ht="12" customHeight="1"/>
    <row r="15897" ht="12" customHeight="1"/>
    <row r="15898" ht="12" customHeight="1"/>
    <row r="15899" ht="12" customHeight="1"/>
    <row r="15900" ht="12" customHeight="1"/>
    <row r="15901" ht="12" customHeight="1"/>
    <row r="15902" ht="12" customHeight="1"/>
    <row r="15903" ht="12" customHeight="1"/>
    <row r="15904" ht="12" customHeight="1"/>
    <row r="15905" ht="12" customHeight="1"/>
    <row r="15906" ht="12" customHeight="1"/>
    <row r="15907" ht="12" customHeight="1"/>
    <row r="15908" ht="12" customHeight="1"/>
    <row r="15909" ht="12" customHeight="1"/>
    <row r="15910" ht="12" customHeight="1"/>
    <row r="15911" ht="12" customHeight="1"/>
    <row r="15912" ht="12" customHeight="1"/>
    <row r="15913" ht="12" customHeight="1"/>
    <row r="15914" ht="12" customHeight="1"/>
    <row r="15915" ht="12" customHeight="1"/>
    <row r="15916" ht="12" customHeight="1"/>
    <row r="15917" ht="12" customHeight="1"/>
    <row r="15918" ht="12" customHeight="1"/>
    <row r="15919" ht="12" customHeight="1"/>
    <row r="15920" ht="12" customHeight="1"/>
    <row r="15921" ht="12" customHeight="1"/>
    <row r="15922" ht="12" customHeight="1"/>
    <row r="15923" ht="12" customHeight="1"/>
    <row r="15924" ht="12" customHeight="1"/>
    <row r="15925" ht="12" customHeight="1"/>
    <row r="15926" ht="12" customHeight="1"/>
    <row r="15927" ht="12" customHeight="1"/>
    <row r="15928" ht="12" customHeight="1"/>
    <row r="15929" ht="12" customHeight="1"/>
    <row r="15930" ht="12" customHeight="1"/>
    <row r="15931" ht="12" customHeight="1"/>
    <row r="15932" ht="12" customHeight="1"/>
    <row r="15933" ht="12" customHeight="1"/>
    <row r="15934" ht="12" customHeight="1"/>
    <row r="15935" ht="12" customHeight="1"/>
    <row r="15936" ht="12" customHeight="1"/>
    <row r="15937" ht="12" customHeight="1"/>
    <row r="15938" ht="12" customHeight="1"/>
    <row r="15939" ht="12" customHeight="1"/>
    <row r="15940" ht="12" customHeight="1"/>
    <row r="15941" ht="12" customHeight="1"/>
    <row r="15942" ht="12" customHeight="1"/>
    <row r="15943" ht="12" customHeight="1"/>
    <row r="15944" ht="12" customHeight="1"/>
    <row r="15945" ht="12" customHeight="1"/>
    <row r="15946" ht="12" customHeight="1"/>
    <row r="15947" ht="12" customHeight="1"/>
    <row r="15948" ht="12" customHeight="1"/>
    <row r="15949" ht="12" customHeight="1"/>
    <row r="15950" ht="12" customHeight="1"/>
    <row r="15951" ht="12" customHeight="1"/>
    <row r="15952" ht="12" customHeight="1"/>
    <row r="15953" ht="12" customHeight="1"/>
    <row r="15954" ht="12" customHeight="1"/>
    <row r="15955" ht="12" customHeight="1"/>
    <row r="15956" ht="12" customHeight="1"/>
    <row r="15957" ht="12" customHeight="1"/>
    <row r="15958" ht="12" customHeight="1"/>
    <row r="15959" ht="12" customHeight="1"/>
    <row r="15960" ht="12" customHeight="1"/>
    <row r="15961" ht="12" customHeight="1"/>
    <row r="15962" ht="12" customHeight="1"/>
    <row r="15963" ht="12" customHeight="1"/>
    <row r="15964" ht="12" customHeight="1"/>
    <row r="15965" ht="12" customHeight="1"/>
    <row r="15966" ht="12" customHeight="1"/>
    <row r="15967" ht="12" customHeight="1"/>
    <row r="15968" ht="12" customHeight="1"/>
    <row r="15969" ht="12" customHeight="1"/>
    <row r="15970" ht="12" customHeight="1"/>
    <row r="15971" ht="12" customHeight="1"/>
    <row r="15972" ht="12" customHeight="1"/>
    <row r="15973" ht="12" customHeight="1"/>
    <row r="15974" ht="12" customHeight="1"/>
    <row r="15975" ht="12" customHeight="1"/>
    <row r="15976" ht="12" customHeight="1"/>
    <row r="15977" ht="12" customHeight="1"/>
    <row r="15978" ht="12" customHeight="1"/>
    <row r="15979" ht="12" customHeight="1"/>
    <row r="15980" ht="12" customHeight="1"/>
    <row r="15981" ht="12" customHeight="1"/>
    <row r="15982" ht="12" customHeight="1"/>
    <row r="15983" ht="12" customHeight="1"/>
    <row r="15984" ht="12" customHeight="1"/>
    <row r="15985" ht="12" customHeight="1"/>
    <row r="15986" ht="12" customHeight="1"/>
    <row r="15987" ht="12" customHeight="1"/>
    <row r="15988" ht="12" customHeight="1"/>
    <row r="15989" ht="12" customHeight="1"/>
    <row r="15990" ht="12" customHeight="1"/>
    <row r="15991" ht="12" customHeight="1"/>
    <row r="15992" ht="12" customHeight="1"/>
    <row r="15993" ht="12" customHeight="1"/>
    <row r="15994" ht="12" customHeight="1"/>
    <row r="15995" ht="12" customHeight="1"/>
    <row r="15996" ht="12" customHeight="1"/>
    <row r="15997" ht="12" customHeight="1"/>
    <row r="15998" ht="12" customHeight="1"/>
    <row r="15999" ht="12" customHeight="1"/>
    <row r="16000" ht="12" customHeight="1"/>
    <row r="16001" ht="12" customHeight="1"/>
    <row r="16002" ht="12" customHeight="1"/>
    <row r="16003" ht="12" customHeight="1"/>
    <row r="16004" ht="12" customHeight="1"/>
    <row r="16005" ht="12" customHeight="1"/>
    <row r="16006" ht="12" customHeight="1"/>
    <row r="16007" ht="12" customHeight="1"/>
    <row r="16008" ht="12" customHeight="1"/>
    <row r="16009" ht="12" customHeight="1"/>
    <row r="16010" ht="12" customHeight="1"/>
    <row r="16011" ht="12" customHeight="1"/>
    <row r="16012" ht="12" customHeight="1"/>
    <row r="16013" ht="12" customHeight="1"/>
    <row r="16014" ht="12" customHeight="1"/>
    <row r="16015" ht="12" customHeight="1"/>
    <row r="16016" ht="12" customHeight="1"/>
    <row r="16017" ht="12" customHeight="1"/>
    <row r="16018" ht="12" customHeight="1"/>
    <row r="16019" ht="12" customHeight="1"/>
    <row r="16020" ht="12" customHeight="1"/>
    <row r="16021" ht="12" customHeight="1"/>
    <row r="16022" ht="12" customHeight="1"/>
    <row r="16023" ht="12" customHeight="1"/>
    <row r="16024" ht="12" customHeight="1"/>
    <row r="16025" ht="12" customHeight="1"/>
    <row r="16026" ht="12" customHeight="1"/>
    <row r="16027" ht="12" customHeight="1"/>
    <row r="16028" ht="12" customHeight="1"/>
    <row r="16029" ht="12" customHeight="1"/>
    <row r="16030" ht="12" customHeight="1"/>
    <row r="16031" ht="12" customHeight="1"/>
    <row r="16032" ht="12" customHeight="1"/>
    <row r="16033" ht="12" customHeight="1"/>
    <row r="16034" ht="12" customHeight="1"/>
    <row r="16035" ht="12" customHeight="1"/>
    <row r="16036" ht="12" customHeight="1"/>
    <row r="16037" ht="12" customHeight="1"/>
    <row r="16038" ht="12" customHeight="1"/>
    <row r="16039" ht="12" customHeight="1"/>
    <row r="16040" ht="12" customHeight="1"/>
    <row r="16041" ht="12" customHeight="1"/>
    <row r="16042" ht="12" customHeight="1"/>
    <row r="16043" ht="12" customHeight="1"/>
    <row r="16044" ht="12" customHeight="1"/>
    <row r="16045" ht="12" customHeight="1"/>
    <row r="16046" ht="12" customHeight="1"/>
    <row r="16047" ht="12" customHeight="1"/>
    <row r="16048" ht="12" customHeight="1"/>
    <row r="16049" ht="12" customHeight="1"/>
    <row r="16050" ht="12" customHeight="1"/>
    <row r="16051" ht="12" customHeight="1"/>
    <row r="16052" ht="12" customHeight="1"/>
    <row r="16053" ht="12" customHeight="1"/>
    <row r="16054" ht="12" customHeight="1"/>
    <row r="16055" ht="12" customHeight="1"/>
    <row r="16056" ht="12" customHeight="1"/>
    <row r="16057" ht="12" customHeight="1"/>
    <row r="16058" ht="12" customHeight="1"/>
    <row r="16059" ht="12" customHeight="1"/>
    <row r="16060" ht="12" customHeight="1"/>
    <row r="16061" ht="12" customHeight="1"/>
    <row r="16062" ht="12" customHeight="1"/>
    <row r="16063" ht="12" customHeight="1"/>
    <row r="16064" ht="12" customHeight="1"/>
    <row r="16065" ht="12" customHeight="1"/>
    <row r="16066" ht="12" customHeight="1"/>
    <row r="16067" ht="12" customHeight="1"/>
    <row r="16068" ht="12" customHeight="1"/>
    <row r="16069" ht="12" customHeight="1"/>
    <row r="16070" ht="12" customHeight="1"/>
    <row r="16071" ht="12" customHeight="1"/>
    <row r="16072" ht="12" customHeight="1"/>
    <row r="16073" ht="12" customHeight="1"/>
    <row r="16074" ht="12" customHeight="1"/>
    <row r="16075" ht="12" customHeight="1"/>
    <row r="16076" ht="12" customHeight="1"/>
    <row r="16077" ht="12" customHeight="1"/>
    <row r="16078" ht="12" customHeight="1"/>
    <row r="16079" ht="12" customHeight="1"/>
    <row r="16080" ht="12" customHeight="1"/>
    <row r="16081" ht="12" customHeight="1"/>
    <row r="16082" ht="12" customHeight="1"/>
    <row r="16083" ht="12" customHeight="1"/>
    <row r="16084" ht="12" customHeight="1"/>
    <row r="16085" ht="12" customHeight="1"/>
    <row r="16086" ht="12" customHeight="1"/>
    <row r="16087" ht="12" customHeight="1"/>
    <row r="16088" ht="12" customHeight="1"/>
    <row r="16089" ht="12" customHeight="1"/>
    <row r="16090" ht="12" customHeight="1"/>
    <row r="16091" ht="12" customHeight="1"/>
    <row r="16092" ht="12" customHeight="1"/>
    <row r="16093" ht="12" customHeight="1"/>
    <row r="16094" ht="12" customHeight="1"/>
    <row r="16095" ht="12" customHeight="1"/>
    <row r="16096" ht="12" customHeight="1"/>
    <row r="16097" ht="12" customHeight="1"/>
    <row r="16098" ht="12" customHeight="1"/>
    <row r="16099" ht="12" customHeight="1"/>
    <row r="16100" ht="12" customHeight="1"/>
    <row r="16101" ht="12" customHeight="1"/>
    <row r="16102" ht="12" customHeight="1"/>
    <row r="16103" ht="12" customHeight="1"/>
    <row r="16104" ht="12" customHeight="1"/>
    <row r="16105" ht="12" customHeight="1"/>
    <row r="16106" ht="12" customHeight="1"/>
    <row r="16107" ht="12" customHeight="1"/>
    <row r="16108" ht="12" customHeight="1"/>
    <row r="16109" ht="12" customHeight="1"/>
    <row r="16110" ht="12" customHeight="1"/>
    <row r="16111" ht="12" customHeight="1"/>
    <row r="16112" ht="12" customHeight="1"/>
    <row r="16113" ht="12" customHeight="1"/>
    <row r="16114" ht="12" customHeight="1"/>
    <row r="16115" ht="12" customHeight="1"/>
    <row r="16116" ht="12" customHeight="1"/>
    <row r="16117" ht="12" customHeight="1"/>
    <row r="16118" ht="12" customHeight="1"/>
    <row r="16119" ht="12" customHeight="1"/>
    <row r="16120" ht="12" customHeight="1"/>
    <row r="16121" ht="12" customHeight="1"/>
    <row r="16122" ht="12" customHeight="1"/>
    <row r="16123" ht="12" customHeight="1"/>
    <row r="16124" ht="12" customHeight="1"/>
    <row r="16125" ht="12" customHeight="1"/>
    <row r="16126" ht="12" customHeight="1"/>
    <row r="16127" ht="12" customHeight="1"/>
    <row r="16128" ht="12" customHeight="1"/>
    <row r="16129" ht="12" customHeight="1"/>
    <row r="16130" ht="12" customHeight="1"/>
    <row r="16131" ht="12" customHeight="1"/>
    <row r="16132" ht="12" customHeight="1"/>
    <row r="16133" ht="12" customHeight="1"/>
    <row r="16134" ht="12" customHeight="1"/>
    <row r="16135" ht="12" customHeight="1"/>
    <row r="16136" ht="12" customHeight="1"/>
    <row r="16137" ht="12" customHeight="1"/>
    <row r="16138" ht="12" customHeight="1"/>
    <row r="16139" ht="12" customHeight="1"/>
    <row r="16140" ht="12" customHeight="1"/>
    <row r="16141" ht="12" customHeight="1"/>
    <row r="16142" ht="12" customHeight="1"/>
    <row r="16143" ht="12" customHeight="1"/>
    <row r="16144" ht="12" customHeight="1"/>
    <row r="16145" ht="12" customHeight="1"/>
    <row r="16146" ht="12" customHeight="1"/>
    <row r="16147" ht="12" customHeight="1"/>
    <row r="16148" ht="12" customHeight="1"/>
    <row r="16149" ht="12" customHeight="1"/>
    <row r="16150" ht="12" customHeight="1"/>
    <row r="16151" ht="12" customHeight="1"/>
    <row r="16152" ht="12" customHeight="1"/>
    <row r="16153" ht="12" customHeight="1"/>
    <row r="16154" ht="12" customHeight="1"/>
    <row r="16155" ht="12" customHeight="1"/>
    <row r="16156" ht="12" customHeight="1"/>
    <row r="16157" ht="12" customHeight="1"/>
    <row r="16158" ht="12" customHeight="1"/>
    <row r="16159" ht="12" customHeight="1"/>
    <row r="16160" ht="12" customHeight="1"/>
    <row r="16161" ht="12" customHeight="1"/>
    <row r="16162" ht="12" customHeight="1"/>
    <row r="16163" ht="12" customHeight="1"/>
    <row r="16164" ht="12" customHeight="1"/>
    <row r="16165" ht="12" customHeight="1"/>
    <row r="16166" ht="12" customHeight="1"/>
    <row r="16167" ht="12" customHeight="1"/>
    <row r="16168" ht="12" customHeight="1"/>
    <row r="16169" ht="12" customHeight="1"/>
    <row r="16170" ht="12" customHeight="1"/>
    <row r="16171" ht="12" customHeight="1"/>
    <row r="16172" ht="12" customHeight="1"/>
    <row r="16173" ht="12" customHeight="1"/>
    <row r="16174" ht="12" customHeight="1"/>
    <row r="16175" ht="12" customHeight="1"/>
    <row r="16176" ht="12" customHeight="1"/>
    <row r="16177" ht="12" customHeight="1"/>
    <row r="16178" ht="12" customHeight="1"/>
    <row r="16179" ht="12" customHeight="1"/>
    <row r="16180" ht="12" customHeight="1"/>
    <row r="16181" ht="12" customHeight="1"/>
    <row r="16182" ht="12" customHeight="1"/>
    <row r="16183" ht="12" customHeight="1"/>
    <row r="16184" ht="12" customHeight="1"/>
    <row r="16185" ht="12" customHeight="1"/>
    <row r="16186" ht="12" customHeight="1"/>
    <row r="16187" ht="12" customHeight="1"/>
    <row r="16188" ht="12" customHeight="1"/>
    <row r="16189" ht="12" customHeight="1"/>
    <row r="16190" ht="12" customHeight="1"/>
    <row r="16191" ht="12" customHeight="1"/>
    <row r="16192" ht="12" customHeight="1"/>
    <row r="16193" ht="12" customHeight="1"/>
    <row r="16194" ht="12" customHeight="1"/>
    <row r="16195" ht="12" customHeight="1"/>
    <row r="16196" ht="12" customHeight="1"/>
    <row r="16197" ht="12" customHeight="1"/>
    <row r="16198" ht="12" customHeight="1"/>
    <row r="16199" ht="12" customHeight="1"/>
    <row r="16200" ht="12" customHeight="1"/>
    <row r="16201" ht="12" customHeight="1"/>
    <row r="16202" ht="12" customHeight="1"/>
    <row r="16203" ht="12" customHeight="1"/>
    <row r="16204" ht="12" customHeight="1"/>
    <row r="16205" ht="12" customHeight="1"/>
    <row r="16206" ht="12" customHeight="1"/>
    <row r="16207" ht="12" customHeight="1"/>
    <row r="16208" ht="12" customHeight="1"/>
    <row r="16209" ht="12" customHeight="1"/>
    <row r="16210" ht="12" customHeight="1"/>
    <row r="16211" ht="12" customHeight="1"/>
    <row r="16212" ht="12" customHeight="1"/>
    <row r="16213" ht="12" customHeight="1"/>
    <row r="16214" ht="12" customHeight="1"/>
    <row r="16215" ht="12" customHeight="1"/>
    <row r="16216" ht="12" customHeight="1"/>
    <row r="16217" ht="12" customHeight="1"/>
    <row r="16218" ht="12" customHeight="1"/>
    <row r="16219" ht="12" customHeight="1"/>
    <row r="16220" ht="12" customHeight="1"/>
    <row r="16221" ht="12" customHeight="1"/>
    <row r="16222" ht="12" customHeight="1"/>
    <row r="16223" ht="12" customHeight="1"/>
    <row r="16224" ht="12" customHeight="1"/>
    <row r="16225" ht="12" customHeight="1"/>
    <row r="16226" ht="12" customHeight="1"/>
    <row r="16227" ht="12" customHeight="1"/>
    <row r="16228" ht="12" customHeight="1"/>
    <row r="16229" ht="12" customHeight="1"/>
    <row r="16230" ht="12" customHeight="1"/>
    <row r="16231" ht="12" customHeight="1"/>
    <row r="16232" ht="12" customHeight="1"/>
    <row r="16233" ht="12" customHeight="1"/>
    <row r="16234" ht="12" customHeight="1"/>
    <row r="16235" ht="12" customHeight="1"/>
    <row r="16236" ht="12" customHeight="1"/>
    <row r="16237" ht="12" customHeight="1"/>
    <row r="16238" ht="12" customHeight="1"/>
    <row r="16239" ht="12" customHeight="1"/>
    <row r="16240" ht="12" customHeight="1"/>
    <row r="16241" ht="12" customHeight="1"/>
    <row r="16242" ht="12" customHeight="1"/>
    <row r="16243" ht="12" customHeight="1"/>
    <row r="16244" ht="12" customHeight="1"/>
    <row r="16245" ht="12" customHeight="1"/>
    <row r="16246" ht="12" customHeight="1"/>
    <row r="16247" ht="12" customHeight="1"/>
    <row r="16248" ht="12" customHeight="1"/>
    <row r="16249" ht="12" customHeight="1"/>
    <row r="16250" ht="12" customHeight="1"/>
    <row r="16251" ht="12" customHeight="1"/>
    <row r="16252" ht="12" customHeight="1"/>
    <row r="16253" ht="12" customHeight="1"/>
    <row r="16254" ht="12" customHeight="1"/>
    <row r="16255" ht="12" customHeight="1"/>
    <row r="16256" ht="12" customHeight="1"/>
    <row r="16257" ht="12" customHeight="1"/>
    <row r="16258" ht="12" customHeight="1"/>
    <row r="16259" ht="12" customHeight="1"/>
    <row r="16260" ht="12" customHeight="1"/>
    <row r="16261" ht="12" customHeight="1"/>
    <row r="16262" ht="12" customHeight="1"/>
    <row r="16263" ht="12" customHeight="1"/>
    <row r="16264" ht="12" customHeight="1"/>
    <row r="16265" ht="12" customHeight="1"/>
    <row r="16266" ht="12" customHeight="1"/>
    <row r="16267" ht="12" customHeight="1"/>
    <row r="16268" ht="12" customHeight="1"/>
    <row r="16269" ht="12" customHeight="1"/>
    <row r="16270" ht="12" customHeight="1"/>
    <row r="16271" ht="12" customHeight="1"/>
    <row r="16272" ht="12" customHeight="1"/>
    <row r="16273" ht="12" customHeight="1"/>
    <row r="16274" ht="12" customHeight="1"/>
    <row r="16275" ht="12" customHeight="1"/>
    <row r="16276" ht="12" customHeight="1"/>
    <row r="16277" ht="12" customHeight="1"/>
    <row r="16278" ht="12" customHeight="1"/>
    <row r="16279" ht="12" customHeight="1"/>
    <row r="16280" ht="12" customHeight="1"/>
    <row r="16281" ht="12" customHeight="1"/>
    <row r="16282" ht="12" customHeight="1"/>
    <row r="16283" ht="12" customHeight="1"/>
    <row r="16284" ht="12" customHeight="1"/>
    <row r="16285" ht="12" customHeight="1"/>
    <row r="16286" ht="12" customHeight="1"/>
    <row r="16287" ht="12" customHeight="1"/>
    <row r="16288" ht="12" customHeight="1"/>
    <row r="16289" ht="12" customHeight="1"/>
    <row r="16290" ht="12" customHeight="1"/>
    <row r="16291" ht="12" customHeight="1"/>
    <row r="16292" ht="12" customHeight="1"/>
    <row r="16293" ht="12" customHeight="1"/>
    <row r="16294" ht="12" customHeight="1"/>
    <row r="16295" ht="12" customHeight="1"/>
    <row r="16296" ht="12" customHeight="1"/>
    <row r="16297" ht="12" customHeight="1"/>
    <row r="16298" ht="12" customHeight="1"/>
    <row r="16299" ht="12" customHeight="1"/>
    <row r="16300" ht="12" customHeight="1"/>
    <row r="16301" ht="12" customHeight="1"/>
    <row r="16302" ht="12" customHeight="1"/>
    <row r="16303" ht="12" customHeight="1"/>
    <row r="16304" ht="12" customHeight="1"/>
    <row r="16305" ht="12" customHeight="1"/>
    <row r="16306" ht="12" customHeight="1"/>
    <row r="16307" ht="12" customHeight="1"/>
    <row r="16308" ht="12" customHeight="1"/>
    <row r="16309" ht="12" customHeight="1"/>
    <row r="16310" ht="12" customHeight="1"/>
    <row r="16311" ht="12" customHeight="1"/>
    <row r="16312" ht="12" customHeight="1"/>
    <row r="16313" ht="12" customHeight="1"/>
    <row r="16314" ht="12" customHeight="1"/>
    <row r="16315" ht="12" customHeight="1"/>
    <row r="16316" ht="12" customHeight="1"/>
    <row r="16317" ht="12" customHeight="1"/>
    <row r="16318" ht="12" customHeight="1"/>
    <row r="16319" ht="12" customHeight="1"/>
    <row r="16320" ht="12" customHeight="1"/>
    <row r="16321" ht="12" customHeight="1"/>
    <row r="16322" ht="12" customHeight="1"/>
    <row r="16323" ht="12" customHeight="1"/>
    <row r="16324" ht="12" customHeight="1"/>
    <row r="16325" ht="12" customHeight="1"/>
    <row r="16326" ht="12" customHeight="1"/>
    <row r="16327" ht="12" customHeight="1"/>
    <row r="16328" ht="12" customHeight="1"/>
    <row r="16329" ht="12" customHeight="1"/>
    <row r="16330" ht="12" customHeight="1"/>
    <row r="16331" ht="12" customHeight="1"/>
    <row r="16332" ht="12" customHeight="1"/>
    <row r="16333" ht="12" customHeight="1"/>
    <row r="16334" ht="12" customHeight="1"/>
    <row r="16335" ht="12" customHeight="1"/>
    <row r="16336" ht="12" customHeight="1"/>
    <row r="16337" ht="12" customHeight="1"/>
    <row r="16338" ht="12" customHeight="1"/>
    <row r="16339" ht="12" customHeight="1"/>
    <row r="16340" ht="12" customHeight="1"/>
    <row r="16341" ht="12" customHeight="1"/>
    <row r="16342" ht="12" customHeight="1"/>
    <row r="16343" ht="12" customHeight="1"/>
    <row r="16344" ht="12" customHeight="1"/>
    <row r="16345" ht="12" customHeight="1"/>
    <row r="16346" ht="12" customHeight="1"/>
    <row r="16347" ht="12" customHeight="1"/>
    <row r="16348" ht="12" customHeight="1"/>
    <row r="16349" ht="12" customHeight="1"/>
    <row r="16350" ht="12" customHeight="1"/>
    <row r="16351" ht="12" customHeight="1"/>
    <row r="16352" ht="12" customHeight="1"/>
    <row r="16353" ht="12" customHeight="1"/>
    <row r="16354" ht="12" customHeight="1"/>
    <row r="16355" ht="12" customHeight="1"/>
    <row r="16356" ht="12" customHeight="1"/>
    <row r="16357" ht="12" customHeight="1"/>
    <row r="16358" ht="12" customHeight="1"/>
    <row r="16359" ht="12" customHeight="1"/>
    <row r="16360" ht="12" customHeight="1"/>
    <row r="16361" ht="12" customHeight="1"/>
    <row r="16362" ht="12" customHeight="1"/>
    <row r="16363" ht="12" customHeight="1"/>
    <row r="16364" ht="12" customHeight="1"/>
    <row r="16365" ht="12" customHeight="1"/>
    <row r="16366" ht="12" customHeight="1"/>
    <row r="16367" ht="12" customHeight="1"/>
    <row r="16368" ht="12" customHeight="1"/>
    <row r="16369" ht="12" customHeight="1"/>
    <row r="16370" ht="12" customHeight="1"/>
    <row r="16371" ht="12" customHeight="1"/>
    <row r="16372" ht="12" customHeight="1"/>
    <row r="16373" ht="12" customHeight="1"/>
    <row r="16374" ht="12" customHeight="1"/>
    <row r="16375" ht="12" customHeight="1"/>
    <row r="16376" ht="12" customHeight="1"/>
    <row r="16377" ht="12" customHeight="1"/>
    <row r="16378" ht="12" customHeight="1"/>
    <row r="16379" ht="12" customHeight="1"/>
    <row r="16380" ht="12" customHeight="1"/>
    <row r="16381" ht="12" customHeight="1"/>
    <row r="16382" ht="12" customHeight="1"/>
    <row r="16383" ht="12" customHeight="1"/>
    <row r="16384" ht="12" customHeight="1"/>
    <row r="16385" ht="12" customHeight="1"/>
    <row r="16386" ht="12" customHeight="1"/>
    <row r="16387" ht="12" customHeight="1"/>
    <row r="16388" ht="12" customHeight="1"/>
    <row r="16389" ht="12" customHeight="1"/>
    <row r="16390" ht="12" customHeight="1"/>
    <row r="16391" ht="12" customHeight="1"/>
    <row r="16392" ht="12" customHeight="1"/>
    <row r="16393" ht="12" customHeight="1"/>
    <row r="16394" ht="12" customHeight="1"/>
    <row r="16395" ht="12" customHeight="1"/>
    <row r="16396" ht="12" customHeight="1"/>
    <row r="16397" ht="12" customHeight="1"/>
    <row r="16398" ht="12" customHeight="1"/>
    <row r="16399" ht="12" customHeight="1"/>
    <row r="16400" ht="12" customHeight="1"/>
    <row r="16401" ht="12" customHeight="1"/>
    <row r="16402" ht="12" customHeight="1"/>
    <row r="16403" ht="12" customHeight="1"/>
    <row r="16404" ht="12" customHeight="1"/>
    <row r="16405" ht="12" customHeight="1"/>
    <row r="16406" ht="12" customHeight="1"/>
    <row r="16407" ht="12" customHeight="1"/>
    <row r="16408" ht="12" customHeight="1"/>
    <row r="16409" ht="12" customHeight="1"/>
    <row r="16410" ht="12" customHeight="1"/>
    <row r="16411" ht="12" customHeight="1"/>
    <row r="16412" ht="12" customHeight="1"/>
    <row r="16413" ht="12" customHeight="1"/>
    <row r="16414" ht="12" customHeight="1"/>
    <row r="16415" ht="12" customHeight="1"/>
    <row r="16416" ht="12" customHeight="1"/>
    <row r="16417" ht="12" customHeight="1"/>
    <row r="16418" ht="12" customHeight="1"/>
    <row r="16419" ht="12" customHeight="1"/>
    <row r="16420" ht="12" customHeight="1"/>
    <row r="16421" ht="12" customHeight="1"/>
    <row r="16422" ht="12" customHeight="1"/>
    <row r="16423" ht="12" customHeight="1"/>
    <row r="16424" ht="12" customHeight="1"/>
    <row r="16425" ht="12" customHeight="1"/>
    <row r="16426" ht="12" customHeight="1"/>
    <row r="16427" ht="12" customHeight="1"/>
    <row r="16428" ht="12" customHeight="1"/>
    <row r="16429" ht="12" customHeight="1"/>
    <row r="16430" ht="12" customHeight="1"/>
    <row r="16431" ht="12" customHeight="1"/>
    <row r="16432" ht="12" customHeight="1"/>
    <row r="16433" ht="12" customHeight="1"/>
    <row r="16434" ht="12" customHeight="1"/>
    <row r="16435" ht="12" customHeight="1"/>
    <row r="16436" ht="12" customHeight="1"/>
    <row r="16437" ht="12" customHeight="1"/>
    <row r="16438" ht="12" customHeight="1"/>
    <row r="16439" ht="12" customHeight="1"/>
    <row r="16440" ht="12" customHeight="1"/>
    <row r="16441" ht="12" customHeight="1"/>
    <row r="16442" ht="12" customHeight="1"/>
    <row r="16443" ht="12" customHeight="1"/>
    <row r="16444" ht="12" customHeight="1"/>
    <row r="16445" ht="12" customHeight="1"/>
    <row r="16446" ht="12" customHeight="1"/>
    <row r="16447" ht="12" customHeight="1"/>
    <row r="16448" ht="12" customHeight="1"/>
    <row r="16449" ht="12" customHeight="1"/>
    <row r="16450" ht="12" customHeight="1"/>
    <row r="16451" ht="12" customHeight="1"/>
    <row r="16452" ht="12" customHeight="1"/>
    <row r="16453" ht="12" customHeight="1"/>
    <row r="16454" ht="12" customHeight="1"/>
    <row r="16455" ht="12" customHeight="1"/>
    <row r="16456" ht="12" customHeight="1"/>
    <row r="16457" ht="12" customHeight="1"/>
    <row r="16458" ht="12" customHeight="1"/>
    <row r="16459" ht="12" customHeight="1"/>
    <row r="16460" ht="12" customHeight="1"/>
    <row r="16461" ht="12" customHeight="1"/>
    <row r="16462" ht="12" customHeight="1"/>
    <row r="16463" ht="12" customHeight="1"/>
    <row r="16464" ht="12" customHeight="1"/>
    <row r="16465" ht="12" customHeight="1"/>
    <row r="16466" ht="12" customHeight="1"/>
    <row r="16467" ht="12" customHeight="1"/>
    <row r="16468" ht="12" customHeight="1"/>
    <row r="16469" ht="12" customHeight="1"/>
    <row r="16470" ht="12" customHeight="1"/>
    <row r="16471" ht="12" customHeight="1"/>
    <row r="16472" ht="12" customHeight="1"/>
    <row r="16473" ht="12" customHeight="1"/>
    <row r="16474" ht="12" customHeight="1"/>
    <row r="16475" ht="12" customHeight="1"/>
    <row r="16476" ht="12" customHeight="1"/>
    <row r="16477" ht="12" customHeight="1"/>
    <row r="16478" ht="12" customHeight="1"/>
    <row r="16479" ht="12" customHeight="1"/>
    <row r="16480" ht="12" customHeight="1"/>
    <row r="16481" ht="12" customHeight="1"/>
    <row r="16482" ht="12" customHeight="1"/>
    <row r="16483" ht="12" customHeight="1"/>
    <row r="16484" ht="12" customHeight="1"/>
    <row r="16485" ht="12" customHeight="1"/>
    <row r="16486" ht="12" customHeight="1"/>
    <row r="16487" ht="12" customHeight="1"/>
    <row r="16488" ht="12" customHeight="1"/>
    <row r="16489" ht="12" customHeight="1"/>
    <row r="16490" ht="12" customHeight="1"/>
    <row r="16491" ht="12" customHeight="1"/>
    <row r="16492" ht="12" customHeight="1"/>
    <row r="16493" ht="12" customHeight="1"/>
    <row r="16494" ht="12" customHeight="1"/>
    <row r="16495" ht="12" customHeight="1"/>
    <row r="16496" ht="12" customHeight="1"/>
    <row r="16497" ht="12" customHeight="1"/>
    <row r="16498" ht="12" customHeight="1"/>
    <row r="16499" ht="12" customHeight="1"/>
    <row r="16500" ht="12" customHeight="1"/>
    <row r="16501" ht="12" customHeight="1"/>
    <row r="16502" ht="12" customHeight="1"/>
    <row r="16503" ht="12" customHeight="1"/>
    <row r="16504" ht="12" customHeight="1"/>
    <row r="16505" ht="12" customHeight="1"/>
    <row r="16506" ht="12" customHeight="1"/>
    <row r="16507" ht="12" customHeight="1"/>
    <row r="16508" ht="12" customHeight="1"/>
    <row r="16509" ht="12" customHeight="1"/>
    <row r="16510" ht="12" customHeight="1"/>
    <row r="16511" ht="12" customHeight="1"/>
    <row r="16512" ht="12" customHeight="1"/>
    <row r="16513" ht="12" customHeight="1"/>
    <row r="16514" ht="12" customHeight="1"/>
    <row r="16515" ht="12" customHeight="1"/>
    <row r="16516" ht="12" customHeight="1"/>
    <row r="16517" ht="12" customHeight="1"/>
    <row r="16518" ht="12" customHeight="1"/>
    <row r="16519" ht="12" customHeight="1"/>
    <row r="16520" ht="12" customHeight="1"/>
    <row r="16521" ht="12" customHeight="1"/>
    <row r="16522" ht="12" customHeight="1"/>
    <row r="16523" ht="12" customHeight="1"/>
    <row r="16524" ht="12" customHeight="1"/>
    <row r="16525" ht="12" customHeight="1"/>
    <row r="16526" ht="12" customHeight="1"/>
    <row r="16527" ht="12" customHeight="1"/>
    <row r="16528" ht="12" customHeight="1"/>
    <row r="16529" ht="12" customHeight="1"/>
    <row r="16530" ht="12" customHeight="1"/>
    <row r="16531" ht="12" customHeight="1"/>
    <row r="16532" ht="12" customHeight="1"/>
    <row r="16533" ht="12" customHeight="1"/>
    <row r="16534" ht="12" customHeight="1"/>
    <row r="16535" ht="12" customHeight="1"/>
    <row r="16536" ht="12" customHeight="1"/>
    <row r="16537" ht="12" customHeight="1"/>
    <row r="16538" ht="12" customHeight="1"/>
    <row r="16539" ht="12" customHeight="1"/>
    <row r="16540" ht="12" customHeight="1"/>
    <row r="16541" ht="12" customHeight="1"/>
    <row r="16542" ht="12" customHeight="1"/>
    <row r="16543" ht="12" customHeight="1"/>
    <row r="16544" ht="12" customHeight="1"/>
    <row r="16545" ht="12" customHeight="1"/>
    <row r="16546" ht="12" customHeight="1"/>
    <row r="16547" ht="12" customHeight="1"/>
    <row r="16548" ht="12" customHeight="1"/>
    <row r="16549" ht="12" customHeight="1"/>
    <row r="16550" ht="12" customHeight="1"/>
    <row r="16551" ht="12" customHeight="1"/>
    <row r="16552" ht="12" customHeight="1"/>
    <row r="16553" ht="12" customHeight="1"/>
    <row r="16554" ht="12" customHeight="1"/>
    <row r="16555" ht="12" customHeight="1"/>
    <row r="16556" ht="12" customHeight="1"/>
    <row r="16557" ht="12" customHeight="1"/>
    <row r="16558" ht="12" customHeight="1"/>
    <row r="16559" ht="12" customHeight="1"/>
    <row r="16560" ht="12" customHeight="1"/>
    <row r="16561" ht="12" customHeight="1"/>
    <row r="16562" ht="12" customHeight="1"/>
    <row r="16563" ht="12" customHeight="1"/>
    <row r="16564" ht="12" customHeight="1"/>
    <row r="16565" ht="12" customHeight="1"/>
    <row r="16566" ht="12" customHeight="1"/>
    <row r="16567" ht="12" customHeight="1"/>
    <row r="16568" ht="12" customHeight="1"/>
    <row r="16569" ht="12" customHeight="1"/>
    <row r="16570" ht="12" customHeight="1"/>
    <row r="16571" ht="12" customHeight="1"/>
    <row r="16572" ht="12" customHeight="1"/>
    <row r="16573" ht="12" customHeight="1"/>
    <row r="16574" ht="12" customHeight="1"/>
    <row r="16575" ht="12" customHeight="1"/>
    <row r="16576" ht="12" customHeight="1"/>
    <row r="16577" ht="12" customHeight="1"/>
    <row r="16578" ht="12" customHeight="1"/>
    <row r="16579" ht="12" customHeight="1"/>
    <row r="16580" ht="12" customHeight="1"/>
    <row r="16581" ht="12" customHeight="1"/>
    <row r="16582" ht="12" customHeight="1"/>
    <row r="16583" ht="12" customHeight="1"/>
    <row r="16584" ht="12" customHeight="1"/>
    <row r="16585" ht="12" customHeight="1"/>
    <row r="16586" ht="12" customHeight="1"/>
    <row r="16587" ht="12" customHeight="1"/>
    <row r="16588" ht="12" customHeight="1"/>
    <row r="16589" ht="12" customHeight="1"/>
    <row r="16590" ht="12" customHeight="1"/>
    <row r="16591" ht="12" customHeight="1"/>
    <row r="16592" ht="12" customHeight="1"/>
    <row r="16593" ht="12" customHeight="1"/>
    <row r="16594" ht="12" customHeight="1"/>
    <row r="16595" ht="12" customHeight="1"/>
    <row r="16596" ht="12" customHeight="1"/>
    <row r="16597" ht="12" customHeight="1"/>
    <row r="16598" ht="12" customHeight="1"/>
    <row r="16599" ht="12" customHeight="1"/>
    <row r="16600" ht="12" customHeight="1"/>
    <row r="16601" ht="12" customHeight="1"/>
    <row r="16602" ht="12" customHeight="1"/>
    <row r="16603" ht="12" customHeight="1"/>
    <row r="16604" ht="12" customHeight="1"/>
    <row r="16605" ht="12" customHeight="1"/>
    <row r="16606" ht="12" customHeight="1"/>
    <row r="16607" ht="12" customHeight="1"/>
    <row r="16608" ht="12" customHeight="1"/>
    <row r="16609" ht="12" customHeight="1"/>
    <row r="16610" ht="12" customHeight="1"/>
    <row r="16611" ht="12" customHeight="1"/>
    <row r="16612" ht="12" customHeight="1"/>
    <row r="16613" ht="12" customHeight="1"/>
    <row r="16614" ht="12" customHeight="1"/>
    <row r="16615" ht="12" customHeight="1"/>
    <row r="16616" ht="12" customHeight="1"/>
    <row r="16617" ht="12" customHeight="1"/>
    <row r="16618" ht="12" customHeight="1"/>
    <row r="16619" ht="12" customHeight="1"/>
    <row r="16620" ht="12" customHeight="1"/>
    <row r="16621" ht="12" customHeight="1"/>
    <row r="16622" ht="12" customHeight="1"/>
    <row r="16623" ht="12" customHeight="1"/>
    <row r="16624" ht="12" customHeight="1"/>
    <row r="16625" ht="12" customHeight="1"/>
    <row r="16626" ht="12" customHeight="1"/>
    <row r="16627" ht="12" customHeight="1"/>
    <row r="16628" ht="12" customHeight="1"/>
    <row r="16629" ht="12" customHeight="1"/>
    <row r="16630" ht="12" customHeight="1"/>
    <row r="16631" ht="12" customHeight="1"/>
    <row r="16632" ht="12" customHeight="1"/>
    <row r="16633" ht="12" customHeight="1"/>
    <row r="16634" ht="12" customHeight="1"/>
    <row r="16635" ht="12" customHeight="1"/>
    <row r="16636" ht="12" customHeight="1"/>
    <row r="16637" ht="12" customHeight="1"/>
    <row r="16638" ht="12" customHeight="1"/>
    <row r="16639" ht="12" customHeight="1"/>
    <row r="16640" ht="12" customHeight="1"/>
    <row r="16641" ht="12" customHeight="1"/>
    <row r="16642" ht="12" customHeight="1"/>
    <row r="16643" ht="12" customHeight="1"/>
    <row r="16644" ht="12" customHeight="1"/>
    <row r="16645" ht="12" customHeight="1"/>
    <row r="16646" ht="12" customHeight="1"/>
    <row r="16647" ht="12" customHeight="1"/>
    <row r="16648" ht="12" customHeight="1"/>
    <row r="16649" ht="12" customHeight="1"/>
    <row r="16650" ht="12" customHeight="1"/>
    <row r="16651" ht="12" customHeight="1"/>
    <row r="16652" ht="12" customHeight="1"/>
    <row r="16653" ht="12" customHeight="1"/>
    <row r="16654" ht="12" customHeight="1"/>
    <row r="16655" ht="12" customHeight="1"/>
    <row r="16656" ht="12" customHeight="1"/>
    <row r="16657" ht="12" customHeight="1"/>
    <row r="16658" ht="12" customHeight="1"/>
    <row r="16659" ht="12" customHeight="1"/>
    <row r="16660" ht="12" customHeight="1"/>
    <row r="16661" ht="12" customHeight="1"/>
    <row r="16662" ht="12" customHeight="1"/>
    <row r="16663" ht="12" customHeight="1"/>
    <row r="16664" ht="12" customHeight="1"/>
    <row r="16665" ht="12" customHeight="1"/>
    <row r="16666" ht="12" customHeight="1"/>
    <row r="16667" ht="12" customHeight="1"/>
    <row r="16668" ht="12" customHeight="1"/>
    <row r="16669" ht="12" customHeight="1"/>
    <row r="16670" ht="12" customHeight="1"/>
    <row r="16671" ht="12" customHeight="1"/>
    <row r="16672" ht="12" customHeight="1"/>
    <row r="16673" ht="12" customHeight="1"/>
    <row r="16674" ht="12" customHeight="1"/>
    <row r="16675" ht="12" customHeight="1"/>
    <row r="16676" ht="12" customHeight="1"/>
    <row r="16677" ht="12" customHeight="1"/>
    <row r="16678" ht="12" customHeight="1"/>
    <row r="16679" ht="12" customHeight="1"/>
    <row r="16680" ht="12" customHeight="1"/>
    <row r="16681" ht="12" customHeight="1"/>
    <row r="16682" ht="12" customHeight="1"/>
    <row r="16683" ht="12" customHeight="1"/>
    <row r="16684" ht="12" customHeight="1"/>
    <row r="16685" ht="12" customHeight="1"/>
    <row r="16686" ht="12" customHeight="1"/>
    <row r="16687" ht="12" customHeight="1"/>
    <row r="16688" ht="12" customHeight="1"/>
    <row r="16689" ht="12" customHeight="1"/>
    <row r="16690" ht="12" customHeight="1"/>
    <row r="16691" ht="12" customHeight="1"/>
    <row r="16692" ht="12" customHeight="1"/>
    <row r="16693" ht="12" customHeight="1"/>
    <row r="16694" ht="12" customHeight="1"/>
    <row r="16695" ht="12" customHeight="1"/>
    <row r="16696" ht="12" customHeight="1"/>
    <row r="16697" ht="12" customHeight="1"/>
    <row r="16698" ht="12" customHeight="1"/>
    <row r="16699" ht="12" customHeight="1"/>
    <row r="16700" ht="12" customHeight="1"/>
    <row r="16701" ht="12" customHeight="1"/>
    <row r="16702" ht="12" customHeight="1"/>
    <row r="16703" ht="12" customHeight="1"/>
    <row r="16704" ht="12" customHeight="1"/>
    <row r="16705" ht="12" customHeight="1"/>
    <row r="16706" ht="12" customHeight="1"/>
    <row r="16707" ht="12" customHeight="1"/>
    <row r="16708" ht="12" customHeight="1"/>
    <row r="16709" ht="12" customHeight="1"/>
    <row r="16710" ht="12" customHeight="1"/>
    <row r="16711" ht="12" customHeight="1"/>
    <row r="16712" ht="12" customHeight="1"/>
    <row r="16713" ht="12" customHeight="1"/>
    <row r="16714" ht="12" customHeight="1"/>
    <row r="16715" ht="12" customHeight="1"/>
    <row r="16716" ht="12" customHeight="1"/>
    <row r="16717" ht="12" customHeight="1"/>
    <row r="16718" ht="12" customHeight="1"/>
    <row r="16719" ht="12" customHeight="1"/>
    <row r="16720" ht="12" customHeight="1"/>
    <row r="16721" ht="12" customHeight="1"/>
    <row r="16722" ht="12" customHeight="1"/>
    <row r="16723" ht="12" customHeight="1"/>
    <row r="16724" ht="12" customHeight="1"/>
    <row r="16725" ht="12" customHeight="1"/>
    <row r="16726" ht="12" customHeight="1"/>
    <row r="16727" ht="12" customHeight="1"/>
    <row r="16728" ht="12" customHeight="1"/>
    <row r="16729" ht="12" customHeight="1"/>
    <row r="16730" ht="12" customHeight="1"/>
    <row r="16731" ht="12" customHeight="1"/>
    <row r="16732" ht="12" customHeight="1"/>
    <row r="16733" ht="12" customHeight="1"/>
    <row r="16734" ht="12" customHeight="1"/>
    <row r="16735" ht="12" customHeight="1"/>
    <row r="16736" ht="12" customHeight="1"/>
    <row r="16737" ht="12" customHeight="1"/>
    <row r="16738" ht="12" customHeight="1"/>
    <row r="16739" ht="12" customHeight="1"/>
    <row r="16740" ht="12" customHeight="1"/>
    <row r="16741" ht="12" customHeight="1"/>
    <row r="16742" ht="12" customHeight="1"/>
    <row r="16743" ht="12" customHeight="1"/>
    <row r="16744" ht="12" customHeight="1"/>
    <row r="16745" ht="12" customHeight="1"/>
    <row r="16746" ht="12" customHeight="1"/>
    <row r="16747" ht="12" customHeight="1"/>
    <row r="16748" ht="12" customHeight="1"/>
    <row r="16749" ht="12" customHeight="1"/>
    <row r="16750" ht="12" customHeight="1"/>
    <row r="16751" ht="12" customHeight="1"/>
    <row r="16752" ht="12" customHeight="1"/>
    <row r="16753" ht="12" customHeight="1"/>
    <row r="16754" ht="12" customHeight="1"/>
    <row r="16755" ht="12" customHeight="1"/>
    <row r="16756" ht="12" customHeight="1"/>
    <row r="16757" ht="12" customHeight="1"/>
    <row r="16758" ht="12" customHeight="1"/>
    <row r="16759" ht="12" customHeight="1"/>
    <row r="16760" ht="12" customHeight="1"/>
    <row r="16761" ht="12" customHeight="1"/>
    <row r="16762" ht="12" customHeight="1"/>
    <row r="16763" ht="12" customHeight="1"/>
    <row r="16764" ht="12" customHeight="1"/>
    <row r="16765" ht="12" customHeight="1"/>
    <row r="16766" ht="12" customHeight="1"/>
    <row r="16767" ht="12" customHeight="1"/>
    <row r="16768" ht="12" customHeight="1"/>
    <row r="16769" ht="12" customHeight="1"/>
    <row r="16770" ht="12" customHeight="1"/>
    <row r="16771" ht="12" customHeight="1"/>
    <row r="16772" ht="12" customHeight="1"/>
    <row r="16773" ht="12" customHeight="1"/>
    <row r="16774" ht="12" customHeight="1"/>
    <row r="16775" ht="12" customHeight="1"/>
    <row r="16776" ht="12" customHeight="1"/>
    <row r="16777" ht="12" customHeight="1"/>
    <row r="16778" ht="12" customHeight="1"/>
    <row r="16779" ht="12" customHeight="1"/>
    <row r="16780" ht="12" customHeight="1"/>
    <row r="16781" ht="12" customHeight="1"/>
    <row r="16782" ht="12" customHeight="1"/>
    <row r="16783" ht="12" customHeight="1"/>
    <row r="16784" ht="12" customHeight="1"/>
    <row r="16785" ht="12" customHeight="1"/>
    <row r="16786" ht="12" customHeight="1"/>
    <row r="16787" ht="12" customHeight="1"/>
    <row r="16788" ht="12" customHeight="1"/>
    <row r="16789" ht="12" customHeight="1"/>
    <row r="16790" ht="12" customHeight="1"/>
    <row r="16791" ht="12" customHeight="1"/>
    <row r="16792" ht="12" customHeight="1"/>
    <row r="16793" ht="12" customHeight="1"/>
    <row r="16794" ht="12" customHeight="1"/>
    <row r="16795" ht="12" customHeight="1"/>
    <row r="16796" ht="12" customHeight="1"/>
    <row r="16797" ht="12" customHeight="1"/>
    <row r="16798" ht="12" customHeight="1"/>
    <row r="16799" ht="12" customHeight="1"/>
    <row r="16800" ht="12" customHeight="1"/>
    <row r="16801" ht="12" customHeight="1"/>
    <row r="16802" ht="12" customHeight="1"/>
    <row r="16803" ht="12" customHeight="1"/>
    <row r="16804" ht="12" customHeight="1"/>
    <row r="16805" ht="12" customHeight="1"/>
    <row r="16806" ht="12" customHeight="1"/>
    <row r="16807" ht="12" customHeight="1"/>
    <row r="16808" ht="12" customHeight="1"/>
    <row r="16809" ht="12" customHeight="1"/>
    <row r="16810" ht="12" customHeight="1"/>
    <row r="16811" ht="12" customHeight="1"/>
    <row r="16812" ht="12" customHeight="1"/>
    <row r="16813" ht="12" customHeight="1"/>
    <row r="16814" ht="12" customHeight="1"/>
    <row r="16815" ht="12" customHeight="1"/>
    <row r="16816" ht="12" customHeight="1"/>
    <row r="16817" ht="12" customHeight="1"/>
    <row r="16818" ht="12" customHeight="1"/>
    <row r="16819" ht="12" customHeight="1"/>
    <row r="16820" ht="12" customHeight="1"/>
    <row r="16821" ht="12" customHeight="1"/>
    <row r="16822" ht="12" customHeight="1"/>
    <row r="16823" ht="12" customHeight="1"/>
    <row r="16824" ht="12" customHeight="1"/>
    <row r="16825" ht="12" customHeight="1"/>
    <row r="16826" ht="12" customHeight="1"/>
    <row r="16827" ht="12" customHeight="1"/>
    <row r="16828" ht="12" customHeight="1"/>
    <row r="16829" ht="12" customHeight="1"/>
    <row r="16830" ht="12" customHeight="1"/>
    <row r="16831" ht="12" customHeight="1"/>
    <row r="16832" ht="12" customHeight="1"/>
    <row r="16833" ht="12" customHeight="1"/>
    <row r="16834" ht="12" customHeight="1"/>
    <row r="16835" ht="12" customHeight="1"/>
    <row r="16836" ht="12" customHeight="1"/>
    <row r="16837" ht="12" customHeight="1"/>
    <row r="16838" ht="12" customHeight="1"/>
    <row r="16839" ht="12" customHeight="1"/>
    <row r="16840" ht="12" customHeight="1"/>
    <row r="16841" ht="12" customHeight="1"/>
    <row r="16842" ht="12" customHeight="1"/>
    <row r="16843" ht="12" customHeight="1"/>
    <row r="16844" ht="12" customHeight="1"/>
    <row r="16845" ht="12" customHeight="1"/>
    <row r="16846" ht="12" customHeight="1"/>
    <row r="16847" ht="12" customHeight="1"/>
    <row r="16848" ht="12" customHeight="1"/>
    <row r="16849" ht="12" customHeight="1"/>
    <row r="16850" ht="12" customHeight="1"/>
    <row r="16851" ht="12" customHeight="1"/>
    <row r="16852" ht="12" customHeight="1"/>
    <row r="16853" ht="12" customHeight="1"/>
    <row r="16854" ht="12" customHeight="1"/>
    <row r="16855" ht="12" customHeight="1"/>
    <row r="16856" ht="12" customHeight="1"/>
    <row r="16857" ht="12" customHeight="1"/>
    <row r="16858" ht="12" customHeight="1"/>
    <row r="16859" ht="12" customHeight="1"/>
    <row r="16860" ht="12" customHeight="1"/>
    <row r="16861" ht="12" customHeight="1"/>
    <row r="16862" ht="12" customHeight="1"/>
    <row r="16863" ht="12" customHeight="1"/>
    <row r="16864" ht="12" customHeight="1"/>
    <row r="16865" ht="12" customHeight="1"/>
    <row r="16866" ht="12" customHeight="1"/>
    <row r="16867" ht="12" customHeight="1"/>
    <row r="16868" ht="12" customHeight="1"/>
    <row r="16869" ht="12" customHeight="1"/>
    <row r="16870" ht="12" customHeight="1"/>
    <row r="16871" ht="12" customHeight="1"/>
    <row r="16872" ht="12" customHeight="1"/>
    <row r="16873" ht="12" customHeight="1"/>
    <row r="16874" ht="12" customHeight="1"/>
    <row r="16875" ht="12" customHeight="1"/>
    <row r="16876" ht="12" customHeight="1"/>
    <row r="16877" ht="12" customHeight="1"/>
    <row r="16878" ht="12" customHeight="1"/>
    <row r="16879" ht="12" customHeight="1"/>
    <row r="16880" ht="12" customHeight="1"/>
    <row r="16881" ht="12" customHeight="1"/>
    <row r="16882" ht="12" customHeight="1"/>
    <row r="16883" ht="12" customHeight="1"/>
    <row r="16884" ht="12" customHeight="1"/>
    <row r="16885" ht="12" customHeight="1"/>
    <row r="16886" ht="12" customHeight="1"/>
    <row r="16887" ht="12" customHeight="1"/>
    <row r="16888" ht="12" customHeight="1"/>
    <row r="16889" ht="12" customHeight="1"/>
    <row r="16890" ht="12" customHeight="1"/>
    <row r="16891" ht="12" customHeight="1"/>
    <row r="16892" ht="12" customHeight="1"/>
    <row r="16893" ht="12" customHeight="1"/>
    <row r="16894" ht="12" customHeight="1"/>
    <row r="16895" ht="12" customHeight="1"/>
    <row r="16896" ht="12" customHeight="1"/>
    <row r="16897" ht="12" customHeight="1"/>
    <row r="16898" ht="12" customHeight="1"/>
    <row r="16899" ht="12" customHeight="1"/>
    <row r="16900" ht="12" customHeight="1"/>
    <row r="16901" ht="12" customHeight="1"/>
    <row r="16902" ht="12" customHeight="1"/>
    <row r="16903" ht="12" customHeight="1"/>
    <row r="16904" ht="12" customHeight="1"/>
    <row r="16905" ht="12" customHeight="1"/>
    <row r="16906" ht="12" customHeight="1"/>
    <row r="16907" ht="12" customHeight="1"/>
    <row r="16908" ht="12" customHeight="1"/>
    <row r="16909" ht="12" customHeight="1"/>
    <row r="16910" ht="12" customHeight="1"/>
    <row r="16911" ht="12" customHeight="1"/>
    <row r="16912" ht="12" customHeight="1"/>
    <row r="16913" ht="12" customHeight="1"/>
    <row r="16914" ht="12" customHeight="1"/>
    <row r="16915" ht="12" customHeight="1"/>
    <row r="16916" ht="12" customHeight="1"/>
    <row r="16917" ht="12" customHeight="1"/>
    <row r="16918" ht="12" customHeight="1"/>
    <row r="16919" ht="12" customHeight="1"/>
    <row r="16920" ht="12" customHeight="1"/>
    <row r="16921" ht="12" customHeight="1"/>
    <row r="16922" ht="12" customHeight="1"/>
    <row r="16923" ht="12" customHeight="1"/>
    <row r="16924" ht="12" customHeight="1"/>
    <row r="16925" ht="12" customHeight="1"/>
    <row r="16926" ht="12" customHeight="1"/>
    <row r="16927" ht="12" customHeight="1"/>
    <row r="16928" ht="12" customHeight="1"/>
    <row r="16929" ht="12" customHeight="1"/>
    <row r="16930" ht="12" customHeight="1"/>
    <row r="16931" ht="12" customHeight="1"/>
    <row r="16932" ht="12" customHeight="1"/>
    <row r="16933" ht="12" customHeight="1"/>
    <row r="16934" ht="12" customHeight="1"/>
    <row r="16935" ht="12" customHeight="1"/>
    <row r="16936" ht="12" customHeight="1"/>
    <row r="16937" ht="12" customHeight="1"/>
    <row r="16938" ht="12" customHeight="1"/>
    <row r="16939" ht="12" customHeight="1"/>
    <row r="16940" ht="12" customHeight="1"/>
    <row r="16941" ht="12" customHeight="1"/>
    <row r="16942" ht="12" customHeight="1"/>
    <row r="16943" ht="12" customHeight="1"/>
    <row r="16944" ht="12" customHeight="1"/>
    <row r="16945" ht="12" customHeight="1"/>
    <row r="16946" ht="12" customHeight="1"/>
    <row r="16947" ht="12" customHeight="1"/>
    <row r="16948" ht="12" customHeight="1"/>
    <row r="16949" ht="12" customHeight="1"/>
    <row r="16950" ht="12" customHeight="1"/>
    <row r="16951" ht="12" customHeight="1"/>
    <row r="16952" ht="12" customHeight="1"/>
    <row r="16953" ht="12" customHeight="1"/>
    <row r="16954" ht="12" customHeight="1"/>
    <row r="16955" ht="12" customHeight="1"/>
    <row r="16956" ht="12" customHeight="1"/>
    <row r="16957" ht="12" customHeight="1"/>
    <row r="16958" ht="12" customHeight="1"/>
    <row r="16959" ht="12" customHeight="1"/>
    <row r="16960" ht="12" customHeight="1"/>
    <row r="16961" ht="12" customHeight="1"/>
    <row r="16962" ht="12" customHeight="1"/>
    <row r="16963" ht="12" customHeight="1"/>
    <row r="16964" ht="12" customHeight="1"/>
    <row r="16965" ht="12" customHeight="1"/>
    <row r="16966" ht="12" customHeight="1"/>
    <row r="16967" ht="12" customHeight="1"/>
    <row r="16968" ht="12" customHeight="1"/>
    <row r="16969" ht="12" customHeight="1"/>
    <row r="16970" ht="12" customHeight="1"/>
    <row r="16971" ht="12" customHeight="1"/>
    <row r="16972" ht="12" customHeight="1"/>
    <row r="16973" ht="12" customHeight="1"/>
    <row r="16974" ht="12" customHeight="1"/>
    <row r="16975" ht="12" customHeight="1"/>
    <row r="16976" ht="12" customHeight="1"/>
    <row r="16977" ht="12" customHeight="1"/>
    <row r="16978" ht="12" customHeight="1"/>
    <row r="16979" ht="12" customHeight="1"/>
    <row r="16980" ht="12" customHeight="1"/>
    <row r="16981" ht="12" customHeight="1"/>
    <row r="16982" ht="12" customHeight="1"/>
    <row r="16983" ht="12" customHeight="1"/>
    <row r="16984" ht="12" customHeight="1"/>
    <row r="16985" ht="12" customHeight="1"/>
    <row r="16986" ht="12" customHeight="1"/>
    <row r="16987" ht="12" customHeight="1"/>
    <row r="16988" ht="12" customHeight="1"/>
    <row r="16989" ht="12" customHeight="1"/>
    <row r="16990" ht="12" customHeight="1"/>
    <row r="16991" ht="12" customHeight="1"/>
    <row r="16992" ht="12" customHeight="1"/>
    <row r="16993" ht="12" customHeight="1"/>
    <row r="16994" ht="12" customHeight="1"/>
    <row r="16995" ht="12" customHeight="1"/>
    <row r="16996" ht="12" customHeight="1"/>
    <row r="16997" ht="12" customHeight="1"/>
    <row r="16998" ht="12" customHeight="1"/>
    <row r="16999" ht="12" customHeight="1"/>
    <row r="17000" ht="12" customHeight="1"/>
    <row r="17001" ht="12" customHeight="1"/>
    <row r="17002" ht="12" customHeight="1"/>
    <row r="17003" ht="12" customHeight="1"/>
    <row r="17004" ht="12" customHeight="1"/>
    <row r="17005" ht="12" customHeight="1"/>
    <row r="17006" ht="12" customHeight="1"/>
    <row r="17007" ht="12" customHeight="1"/>
    <row r="17008" ht="12" customHeight="1"/>
    <row r="17009" ht="12" customHeight="1"/>
    <row r="17010" ht="12" customHeight="1"/>
    <row r="17011" ht="12" customHeight="1"/>
    <row r="17012" ht="12" customHeight="1"/>
    <row r="17013" ht="12" customHeight="1"/>
    <row r="17014" ht="12" customHeight="1"/>
    <row r="17015" ht="12" customHeight="1"/>
    <row r="17016" ht="12" customHeight="1"/>
    <row r="17017" ht="12" customHeight="1"/>
    <row r="17018" ht="12" customHeight="1"/>
    <row r="17019" ht="12" customHeight="1"/>
    <row r="17020" ht="12" customHeight="1"/>
    <row r="17021" ht="12" customHeight="1"/>
    <row r="17022" ht="12" customHeight="1"/>
    <row r="17023" ht="12" customHeight="1"/>
    <row r="17024" ht="12" customHeight="1"/>
    <row r="17025" ht="12" customHeight="1"/>
    <row r="17026" ht="12" customHeight="1"/>
    <row r="17027" ht="12" customHeight="1"/>
    <row r="17028" ht="12" customHeight="1"/>
    <row r="17029" ht="12" customHeight="1"/>
    <row r="17030" ht="12" customHeight="1"/>
    <row r="17031" ht="12" customHeight="1"/>
    <row r="17032" ht="12" customHeight="1"/>
    <row r="17033" ht="12" customHeight="1"/>
    <row r="17034" ht="12" customHeight="1"/>
    <row r="17035" ht="12" customHeight="1"/>
    <row r="17036" ht="12" customHeight="1"/>
    <row r="17037" ht="12" customHeight="1"/>
    <row r="17038" ht="12" customHeight="1"/>
    <row r="17039" ht="12" customHeight="1"/>
    <row r="17040" ht="12" customHeight="1"/>
    <row r="17041" ht="12" customHeight="1"/>
    <row r="17042" ht="12" customHeight="1"/>
    <row r="17043" ht="12" customHeight="1"/>
    <row r="17044" ht="12" customHeight="1"/>
    <row r="17045" ht="12" customHeight="1"/>
    <row r="17046" ht="12" customHeight="1"/>
    <row r="17047" ht="12" customHeight="1"/>
    <row r="17048" ht="12" customHeight="1"/>
    <row r="17049" ht="12" customHeight="1"/>
    <row r="17050" ht="12" customHeight="1"/>
    <row r="17051" ht="12" customHeight="1"/>
    <row r="17052" ht="12" customHeight="1"/>
    <row r="17053" ht="12" customHeight="1"/>
    <row r="17054" ht="12" customHeight="1"/>
    <row r="17055" ht="12" customHeight="1"/>
    <row r="17056" ht="12" customHeight="1"/>
    <row r="17057" ht="12" customHeight="1"/>
    <row r="17058" ht="12" customHeight="1"/>
    <row r="17059" ht="12" customHeight="1"/>
    <row r="17060" ht="12" customHeight="1"/>
    <row r="17061" ht="12" customHeight="1"/>
    <row r="17062" ht="12" customHeight="1"/>
    <row r="17063" ht="12" customHeight="1"/>
    <row r="17064" ht="12" customHeight="1"/>
    <row r="17065" ht="12" customHeight="1"/>
    <row r="17066" ht="12" customHeight="1"/>
    <row r="17067" ht="12" customHeight="1"/>
    <row r="17068" ht="12" customHeight="1"/>
    <row r="17069" ht="12" customHeight="1"/>
    <row r="17070" ht="12" customHeight="1"/>
    <row r="17071" ht="12" customHeight="1"/>
    <row r="17072" ht="12" customHeight="1"/>
    <row r="17073" ht="12" customHeight="1"/>
    <row r="17074" ht="12" customHeight="1"/>
    <row r="17075" ht="12" customHeight="1"/>
    <row r="17076" ht="12" customHeight="1"/>
    <row r="17077" ht="12" customHeight="1"/>
    <row r="17078" ht="12" customHeight="1"/>
    <row r="17079" ht="12" customHeight="1"/>
    <row r="17080" ht="12" customHeight="1"/>
    <row r="17081" ht="12" customHeight="1"/>
    <row r="17082" ht="12" customHeight="1"/>
    <row r="17083" ht="12" customHeight="1"/>
    <row r="17084" ht="12" customHeight="1"/>
    <row r="17085" ht="12" customHeight="1"/>
    <row r="17086" ht="12" customHeight="1"/>
    <row r="17087" ht="12" customHeight="1"/>
    <row r="17088" ht="12" customHeight="1"/>
    <row r="17089" ht="12" customHeight="1"/>
    <row r="17090" ht="12" customHeight="1"/>
    <row r="17091" ht="12" customHeight="1"/>
    <row r="17092" ht="12" customHeight="1"/>
    <row r="17093" ht="12" customHeight="1"/>
    <row r="17094" ht="12" customHeight="1"/>
    <row r="17095" ht="12" customHeight="1"/>
    <row r="17096" ht="12" customHeight="1"/>
    <row r="17097" ht="12" customHeight="1"/>
    <row r="17098" ht="12" customHeight="1"/>
    <row r="17099" ht="12" customHeight="1"/>
    <row r="17100" ht="12" customHeight="1"/>
    <row r="17101" ht="12" customHeight="1"/>
    <row r="17102" ht="12" customHeight="1"/>
    <row r="17103" ht="12" customHeight="1"/>
    <row r="17104" ht="12" customHeight="1"/>
    <row r="17105" ht="12" customHeight="1"/>
    <row r="17106" ht="12" customHeight="1"/>
    <row r="17107" ht="12" customHeight="1"/>
    <row r="17108" ht="12" customHeight="1"/>
    <row r="17109" ht="12" customHeight="1"/>
    <row r="17110" ht="12" customHeight="1"/>
    <row r="17111" ht="12" customHeight="1"/>
    <row r="17112" ht="12" customHeight="1"/>
    <row r="17113" ht="12" customHeight="1"/>
    <row r="17114" ht="12" customHeight="1"/>
    <row r="17115" ht="12" customHeight="1"/>
    <row r="17116" ht="12" customHeight="1"/>
    <row r="17117" ht="12" customHeight="1"/>
    <row r="17118" ht="12" customHeight="1"/>
    <row r="17119" ht="12" customHeight="1"/>
    <row r="17120" ht="12" customHeight="1"/>
    <row r="17121" ht="12" customHeight="1"/>
    <row r="17122" ht="12" customHeight="1"/>
    <row r="17123" ht="12" customHeight="1"/>
    <row r="17124" ht="12" customHeight="1"/>
    <row r="17125" ht="12" customHeight="1"/>
    <row r="17126" ht="12" customHeight="1"/>
    <row r="17127" ht="12" customHeight="1"/>
    <row r="17128" ht="12" customHeight="1"/>
    <row r="17129" ht="12" customHeight="1"/>
    <row r="17130" ht="12" customHeight="1"/>
    <row r="17131" ht="12" customHeight="1"/>
    <row r="17132" ht="12" customHeight="1"/>
    <row r="17133" ht="12" customHeight="1"/>
    <row r="17134" ht="12" customHeight="1"/>
    <row r="17135" ht="12" customHeight="1"/>
    <row r="17136" ht="12" customHeight="1"/>
    <row r="17137" ht="12" customHeight="1"/>
    <row r="17138" ht="12" customHeight="1"/>
    <row r="17139" ht="12" customHeight="1"/>
    <row r="17140" ht="12" customHeight="1"/>
    <row r="17141" ht="12" customHeight="1"/>
    <row r="17142" ht="12" customHeight="1"/>
    <row r="17143" ht="12" customHeight="1"/>
    <row r="17144" ht="12" customHeight="1"/>
    <row r="17145" ht="12" customHeight="1"/>
    <row r="17146" ht="12" customHeight="1"/>
    <row r="17147" ht="12" customHeight="1"/>
    <row r="17148" ht="12" customHeight="1"/>
    <row r="17149" ht="12" customHeight="1"/>
    <row r="17150" ht="12" customHeight="1"/>
    <row r="17151" ht="12" customHeight="1"/>
    <row r="17152" ht="12" customHeight="1"/>
    <row r="17153" ht="12" customHeight="1"/>
    <row r="17154" ht="12" customHeight="1"/>
    <row r="17155" ht="12" customHeight="1"/>
    <row r="17156" ht="12" customHeight="1"/>
    <row r="17157" ht="12" customHeight="1"/>
    <row r="17158" ht="12" customHeight="1"/>
    <row r="17159" ht="12" customHeight="1"/>
    <row r="17160" ht="12" customHeight="1"/>
    <row r="17161" ht="12" customHeight="1"/>
    <row r="17162" ht="12" customHeight="1"/>
    <row r="17163" ht="12" customHeight="1"/>
    <row r="17164" ht="12" customHeight="1"/>
    <row r="17165" ht="12" customHeight="1"/>
    <row r="17166" ht="12" customHeight="1"/>
    <row r="17167" ht="12" customHeight="1"/>
    <row r="17168" ht="12" customHeight="1"/>
    <row r="17169" ht="12" customHeight="1"/>
    <row r="17170" ht="12" customHeight="1"/>
    <row r="17171" ht="12" customHeight="1"/>
    <row r="17172" ht="12" customHeight="1"/>
    <row r="17173" ht="12" customHeight="1"/>
    <row r="17174" ht="12" customHeight="1"/>
    <row r="17175" ht="12" customHeight="1"/>
    <row r="17176" ht="12" customHeight="1"/>
    <row r="17177" ht="12" customHeight="1"/>
    <row r="17178" ht="12" customHeight="1"/>
    <row r="17179" ht="12" customHeight="1"/>
    <row r="17180" ht="12" customHeight="1"/>
    <row r="17181" ht="12" customHeight="1"/>
    <row r="17182" ht="12" customHeight="1"/>
    <row r="17183" ht="12" customHeight="1"/>
    <row r="17184" ht="12" customHeight="1"/>
    <row r="17185" ht="12" customHeight="1"/>
    <row r="17186" ht="12" customHeight="1"/>
    <row r="17187" ht="12" customHeight="1"/>
    <row r="17188" ht="12" customHeight="1"/>
    <row r="17189" ht="12" customHeight="1"/>
    <row r="17190" ht="12" customHeight="1"/>
    <row r="17191" ht="12" customHeight="1"/>
    <row r="17192" ht="12" customHeight="1"/>
    <row r="17193" ht="12" customHeight="1"/>
    <row r="17194" ht="12" customHeight="1"/>
    <row r="17195" ht="12" customHeight="1"/>
    <row r="17196" ht="12" customHeight="1"/>
    <row r="17197" ht="12" customHeight="1"/>
    <row r="17198" ht="12" customHeight="1"/>
    <row r="17199" ht="12" customHeight="1"/>
    <row r="17200" ht="12" customHeight="1"/>
    <row r="17201" ht="12" customHeight="1"/>
    <row r="17202" ht="12" customHeight="1"/>
    <row r="17203" ht="12" customHeight="1"/>
    <row r="17204" ht="12" customHeight="1"/>
    <row r="17205" ht="12" customHeight="1"/>
    <row r="17206" ht="12" customHeight="1"/>
    <row r="17207" ht="12" customHeight="1"/>
    <row r="17208" ht="12" customHeight="1"/>
    <row r="17209" ht="12" customHeight="1"/>
    <row r="17210" ht="12" customHeight="1"/>
    <row r="17211" ht="12" customHeight="1"/>
    <row r="17212" ht="12" customHeight="1"/>
    <row r="17213" ht="12" customHeight="1"/>
    <row r="17214" ht="12" customHeight="1"/>
    <row r="17215" ht="12" customHeight="1"/>
    <row r="17216" ht="12" customHeight="1"/>
    <row r="17217" ht="12" customHeight="1"/>
    <row r="17218" ht="12" customHeight="1"/>
    <row r="17219" ht="12" customHeight="1"/>
    <row r="17220" ht="12" customHeight="1"/>
    <row r="17221" ht="12" customHeight="1"/>
    <row r="17222" ht="12" customHeight="1"/>
    <row r="17223" ht="12" customHeight="1"/>
    <row r="17224" ht="12" customHeight="1"/>
    <row r="17225" ht="12" customHeight="1"/>
    <row r="17226" ht="12" customHeight="1"/>
    <row r="17227" ht="12" customHeight="1"/>
    <row r="17228" ht="12" customHeight="1"/>
    <row r="17229" ht="12" customHeight="1"/>
    <row r="17230" ht="12" customHeight="1"/>
    <row r="17231" ht="12" customHeight="1"/>
    <row r="17232" ht="12" customHeight="1"/>
    <row r="17233" ht="12" customHeight="1"/>
    <row r="17234" ht="12" customHeight="1"/>
    <row r="17235" ht="12" customHeight="1"/>
    <row r="17236" ht="12" customHeight="1"/>
    <row r="17237" ht="12" customHeight="1"/>
    <row r="17238" ht="12" customHeight="1"/>
    <row r="17239" ht="12" customHeight="1"/>
    <row r="17240" ht="12" customHeight="1"/>
    <row r="17241" ht="12" customHeight="1"/>
    <row r="17242" ht="12" customHeight="1"/>
    <row r="17243" ht="12" customHeight="1"/>
    <row r="17244" ht="12" customHeight="1"/>
    <row r="17245" ht="12" customHeight="1"/>
    <row r="17246" ht="12" customHeight="1"/>
    <row r="17247" ht="12" customHeight="1"/>
    <row r="17248" ht="12" customHeight="1"/>
    <row r="17249" ht="12" customHeight="1"/>
    <row r="17250" ht="12" customHeight="1"/>
    <row r="17251" ht="12" customHeight="1"/>
    <row r="17252" ht="12" customHeight="1"/>
    <row r="17253" ht="12" customHeight="1"/>
    <row r="17254" ht="12" customHeight="1"/>
    <row r="17255" ht="12" customHeight="1"/>
    <row r="17256" ht="12" customHeight="1"/>
    <row r="17257" ht="12" customHeight="1"/>
    <row r="17258" ht="12" customHeight="1"/>
    <row r="17259" ht="12" customHeight="1"/>
    <row r="17260" ht="12" customHeight="1"/>
    <row r="17261" ht="12" customHeight="1"/>
    <row r="17262" ht="12" customHeight="1"/>
    <row r="17263" ht="12" customHeight="1"/>
    <row r="17264" ht="12" customHeight="1"/>
    <row r="17265" ht="12" customHeight="1"/>
    <row r="17266" ht="12" customHeight="1"/>
    <row r="17267" ht="12" customHeight="1"/>
    <row r="17268" ht="12" customHeight="1"/>
    <row r="17269" ht="12" customHeight="1"/>
    <row r="17270" ht="12" customHeight="1"/>
    <row r="17271" ht="12" customHeight="1"/>
    <row r="17272" ht="12" customHeight="1"/>
    <row r="17273" ht="12" customHeight="1"/>
    <row r="17274" ht="12" customHeight="1"/>
    <row r="17275" ht="12" customHeight="1"/>
    <row r="17276" ht="12" customHeight="1"/>
    <row r="17277" ht="12" customHeight="1"/>
    <row r="17278" ht="12" customHeight="1"/>
    <row r="17279" ht="12" customHeight="1"/>
    <row r="17280" ht="12" customHeight="1"/>
    <row r="17281" ht="12" customHeight="1"/>
    <row r="17282" ht="12" customHeight="1"/>
    <row r="17283" ht="12" customHeight="1"/>
    <row r="17284" ht="12" customHeight="1"/>
    <row r="17285" ht="12" customHeight="1"/>
    <row r="17286" ht="12" customHeight="1"/>
    <row r="17287" ht="12" customHeight="1"/>
    <row r="17288" ht="12" customHeight="1"/>
    <row r="17289" ht="12" customHeight="1"/>
    <row r="17290" ht="12" customHeight="1"/>
    <row r="17291" ht="12" customHeight="1"/>
    <row r="17292" ht="12" customHeight="1"/>
    <row r="17293" ht="12" customHeight="1"/>
    <row r="17294" ht="12" customHeight="1"/>
    <row r="17295" ht="12" customHeight="1"/>
    <row r="17296" ht="12" customHeight="1"/>
    <row r="17297" ht="12" customHeight="1"/>
    <row r="17298" ht="12" customHeight="1"/>
    <row r="17299" ht="12" customHeight="1"/>
    <row r="17300" ht="12" customHeight="1"/>
    <row r="17301" ht="12" customHeight="1"/>
    <row r="17302" ht="12" customHeight="1"/>
    <row r="17303" ht="12" customHeight="1"/>
    <row r="17304" ht="12" customHeight="1"/>
    <row r="17305" ht="12" customHeight="1"/>
    <row r="17306" ht="12" customHeight="1"/>
    <row r="17307" ht="12" customHeight="1"/>
    <row r="17308" ht="12" customHeight="1"/>
    <row r="17309" ht="12" customHeight="1"/>
    <row r="17310" ht="12" customHeight="1"/>
    <row r="17311" ht="12" customHeight="1"/>
    <row r="17312" ht="12" customHeight="1"/>
    <row r="17313" ht="12" customHeight="1"/>
    <row r="17314" ht="12" customHeight="1"/>
    <row r="17315" ht="12" customHeight="1"/>
    <row r="17316" ht="12" customHeight="1"/>
    <row r="17317" ht="12" customHeight="1"/>
    <row r="17318" ht="12" customHeight="1"/>
    <row r="17319" ht="12" customHeight="1"/>
    <row r="17320" ht="12" customHeight="1"/>
    <row r="17321" ht="12" customHeight="1"/>
    <row r="17322" ht="12" customHeight="1"/>
    <row r="17323" ht="12" customHeight="1"/>
    <row r="17324" ht="12" customHeight="1"/>
    <row r="17325" ht="12" customHeight="1"/>
    <row r="17326" ht="12" customHeight="1"/>
    <row r="17327" ht="12" customHeight="1"/>
    <row r="17328" ht="12" customHeight="1"/>
    <row r="17329" ht="12" customHeight="1"/>
    <row r="17330" ht="12" customHeight="1"/>
    <row r="17331" ht="12" customHeight="1"/>
    <row r="17332" ht="12" customHeight="1"/>
    <row r="17333" ht="12" customHeight="1"/>
    <row r="17334" ht="12" customHeight="1"/>
    <row r="17335" ht="12" customHeight="1"/>
    <row r="17336" ht="12" customHeight="1"/>
    <row r="17337" ht="12" customHeight="1"/>
    <row r="17338" ht="12" customHeight="1"/>
    <row r="17339" ht="12" customHeight="1"/>
    <row r="17340" ht="12" customHeight="1"/>
    <row r="17341" ht="12" customHeight="1"/>
    <row r="17342" ht="12" customHeight="1"/>
    <row r="17343" ht="12" customHeight="1"/>
    <row r="17344" ht="12" customHeight="1"/>
    <row r="17345" ht="12" customHeight="1"/>
    <row r="17346" ht="12" customHeight="1"/>
    <row r="17347" ht="12" customHeight="1"/>
    <row r="17348" ht="12" customHeight="1"/>
    <row r="17349" ht="12" customHeight="1"/>
    <row r="17350" ht="12" customHeight="1"/>
    <row r="17351" ht="12" customHeight="1"/>
    <row r="17352" ht="12" customHeight="1"/>
    <row r="17353" ht="12" customHeight="1"/>
    <row r="17354" ht="12" customHeight="1"/>
    <row r="17355" ht="12" customHeight="1"/>
    <row r="17356" ht="12" customHeight="1"/>
    <row r="17357" ht="12" customHeight="1"/>
    <row r="17358" ht="12" customHeight="1"/>
    <row r="17359" ht="12" customHeight="1"/>
    <row r="17360" ht="12" customHeight="1"/>
    <row r="17361" ht="12" customHeight="1"/>
    <row r="17362" ht="12" customHeight="1"/>
    <row r="17363" ht="12" customHeight="1"/>
    <row r="17364" ht="12" customHeight="1"/>
    <row r="17365" ht="12" customHeight="1"/>
    <row r="17366" ht="12" customHeight="1"/>
    <row r="17367" ht="12" customHeight="1"/>
    <row r="17368" ht="12" customHeight="1"/>
    <row r="17369" ht="12" customHeight="1"/>
    <row r="17370" ht="12" customHeight="1"/>
    <row r="17371" ht="12" customHeight="1"/>
    <row r="17372" ht="12" customHeight="1"/>
    <row r="17373" ht="12" customHeight="1"/>
    <row r="17374" ht="12" customHeight="1"/>
    <row r="17375" ht="12" customHeight="1"/>
    <row r="17376" ht="12" customHeight="1"/>
    <row r="17377" ht="12" customHeight="1"/>
    <row r="17378" ht="12" customHeight="1"/>
    <row r="17379" ht="12" customHeight="1"/>
    <row r="17380" ht="12" customHeight="1"/>
    <row r="17381" ht="12" customHeight="1"/>
    <row r="17382" ht="12" customHeight="1"/>
    <row r="17383" ht="12" customHeight="1"/>
    <row r="17384" ht="12" customHeight="1"/>
    <row r="17385" ht="12" customHeight="1"/>
    <row r="17386" ht="12" customHeight="1"/>
    <row r="17387" ht="12" customHeight="1"/>
    <row r="17388" ht="12" customHeight="1"/>
    <row r="17389" ht="12" customHeight="1"/>
    <row r="17390" ht="12" customHeight="1"/>
    <row r="17391" ht="12" customHeight="1"/>
    <row r="17392" ht="12" customHeight="1"/>
    <row r="17393" ht="12" customHeight="1"/>
    <row r="17394" ht="12" customHeight="1"/>
    <row r="17395" ht="12" customHeight="1"/>
    <row r="17396" ht="12" customHeight="1"/>
    <row r="17397" ht="12" customHeight="1"/>
    <row r="17398" ht="12" customHeight="1"/>
    <row r="17399" ht="12" customHeight="1"/>
    <row r="17400" ht="12" customHeight="1"/>
    <row r="17401" ht="12" customHeight="1"/>
    <row r="17402" ht="12" customHeight="1"/>
    <row r="17403" ht="12" customHeight="1"/>
    <row r="17404" ht="12" customHeight="1"/>
    <row r="17405" ht="12" customHeight="1"/>
    <row r="17406" ht="12" customHeight="1"/>
    <row r="17407" ht="12" customHeight="1"/>
    <row r="17408" ht="12" customHeight="1"/>
    <row r="17409" ht="12" customHeight="1"/>
    <row r="17410" ht="12" customHeight="1"/>
    <row r="17411" ht="12" customHeight="1"/>
    <row r="17412" ht="12" customHeight="1"/>
    <row r="17413" ht="12" customHeight="1"/>
    <row r="17414" ht="12" customHeight="1"/>
    <row r="17415" ht="12" customHeight="1"/>
    <row r="17416" ht="12" customHeight="1"/>
    <row r="17417" ht="12" customHeight="1"/>
    <row r="17418" ht="12" customHeight="1"/>
    <row r="17419" ht="12" customHeight="1"/>
    <row r="17420" ht="12" customHeight="1"/>
    <row r="17421" ht="12" customHeight="1"/>
    <row r="17422" ht="12" customHeight="1"/>
    <row r="17423" ht="12" customHeight="1"/>
    <row r="17424" ht="12" customHeight="1"/>
    <row r="17425" ht="12" customHeight="1"/>
    <row r="17426" ht="12" customHeight="1"/>
    <row r="17427" ht="12" customHeight="1"/>
    <row r="17428" ht="12" customHeight="1"/>
    <row r="17429" ht="12" customHeight="1"/>
    <row r="17430" ht="12" customHeight="1"/>
    <row r="17431" ht="12" customHeight="1"/>
    <row r="17432" ht="12" customHeight="1"/>
    <row r="17433" ht="12" customHeight="1"/>
    <row r="17434" ht="12" customHeight="1"/>
    <row r="17435" ht="12" customHeight="1"/>
    <row r="17436" ht="12" customHeight="1"/>
    <row r="17437" ht="12" customHeight="1"/>
    <row r="17438" ht="12" customHeight="1"/>
    <row r="17439" ht="12" customHeight="1"/>
    <row r="17440" ht="12" customHeight="1"/>
    <row r="17441" ht="12" customHeight="1"/>
    <row r="17442" ht="12" customHeight="1"/>
    <row r="17443" ht="12" customHeight="1"/>
    <row r="17444" ht="12" customHeight="1"/>
    <row r="17445" ht="12" customHeight="1"/>
    <row r="17446" ht="12" customHeight="1"/>
    <row r="17447" ht="12" customHeight="1"/>
    <row r="17448" ht="12" customHeight="1"/>
    <row r="17449" ht="12" customHeight="1"/>
    <row r="17450" ht="12" customHeight="1"/>
    <row r="17451" ht="12" customHeight="1"/>
    <row r="17452" ht="12" customHeight="1"/>
    <row r="17453" ht="12" customHeight="1"/>
    <row r="17454" ht="12" customHeight="1"/>
    <row r="17455" ht="12" customHeight="1"/>
    <row r="17456" ht="12" customHeight="1"/>
    <row r="17457" ht="12" customHeight="1"/>
    <row r="17458" ht="12" customHeight="1"/>
    <row r="17459" ht="12" customHeight="1"/>
    <row r="17460" ht="12" customHeight="1"/>
    <row r="17461" ht="12" customHeight="1"/>
    <row r="17462" ht="12" customHeight="1"/>
    <row r="17463" ht="12" customHeight="1"/>
    <row r="17464" ht="12" customHeight="1"/>
    <row r="17465" ht="12" customHeight="1"/>
    <row r="17466" ht="12" customHeight="1"/>
    <row r="17467" ht="12" customHeight="1"/>
    <row r="17468" ht="12" customHeight="1"/>
    <row r="17469" ht="12" customHeight="1"/>
    <row r="17470" ht="12" customHeight="1"/>
    <row r="17471" ht="12" customHeight="1"/>
    <row r="17472" ht="12" customHeight="1"/>
    <row r="17473" ht="12" customHeight="1"/>
    <row r="17474" ht="12" customHeight="1"/>
    <row r="17475" ht="12" customHeight="1"/>
    <row r="17476" ht="12" customHeight="1"/>
    <row r="17477" ht="12" customHeight="1"/>
    <row r="17478" ht="12" customHeight="1"/>
    <row r="17479" ht="12" customHeight="1"/>
    <row r="17480" ht="12" customHeight="1"/>
    <row r="17481" ht="12" customHeight="1"/>
    <row r="17482" ht="12" customHeight="1"/>
    <row r="17483" ht="12" customHeight="1"/>
    <row r="17484" ht="12" customHeight="1"/>
    <row r="17485" ht="12" customHeight="1"/>
    <row r="17486" ht="12" customHeight="1"/>
    <row r="17487" ht="12" customHeight="1"/>
    <row r="17488" ht="12" customHeight="1"/>
    <row r="17489" ht="12" customHeight="1"/>
    <row r="17490" ht="12" customHeight="1"/>
    <row r="17491" ht="12" customHeight="1"/>
    <row r="17492" ht="12" customHeight="1"/>
    <row r="17493" ht="12" customHeight="1"/>
    <row r="17494" ht="12" customHeight="1"/>
    <row r="17495" ht="12" customHeight="1"/>
    <row r="17496" ht="12" customHeight="1"/>
    <row r="17497" ht="12" customHeight="1"/>
    <row r="17498" ht="12" customHeight="1"/>
    <row r="17499" ht="12" customHeight="1"/>
    <row r="17500" ht="12" customHeight="1"/>
    <row r="17501" ht="12" customHeight="1"/>
    <row r="17502" ht="12" customHeight="1"/>
    <row r="17503" ht="12" customHeight="1"/>
    <row r="17504" ht="12" customHeight="1"/>
    <row r="17505" ht="12" customHeight="1"/>
    <row r="17506" ht="12" customHeight="1"/>
    <row r="17507" ht="12" customHeight="1"/>
    <row r="17508" ht="12" customHeight="1"/>
    <row r="17509" ht="12" customHeight="1"/>
    <row r="17510" ht="12" customHeight="1"/>
    <row r="17511" ht="12" customHeight="1"/>
    <row r="17512" ht="12" customHeight="1"/>
    <row r="17513" ht="12" customHeight="1"/>
    <row r="17514" ht="12" customHeight="1"/>
    <row r="17515" ht="12" customHeight="1"/>
    <row r="17516" ht="12" customHeight="1"/>
    <row r="17517" ht="12" customHeight="1"/>
    <row r="17518" ht="12" customHeight="1"/>
    <row r="17519" ht="12" customHeight="1"/>
    <row r="17520" ht="12" customHeight="1"/>
    <row r="17521" ht="12" customHeight="1"/>
    <row r="17522" ht="12" customHeight="1"/>
    <row r="17523" ht="12" customHeight="1"/>
    <row r="17524" ht="12" customHeight="1"/>
    <row r="17525" ht="12" customHeight="1"/>
    <row r="17526" ht="12" customHeight="1"/>
    <row r="17527" ht="12" customHeight="1"/>
    <row r="17528" ht="12" customHeight="1"/>
    <row r="17529" ht="12" customHeight="1"/>
    <row r="17530" ht="12" customHeight="1"/>
    <row r="17531" ht="12" customHeight="1"/>
    <row r="17532" ht="12" customHeight="1"/>
    <row r="17533" ht="12" customHeight="1"/>
    <row r="17534" ht="12" customHeight="1"/>
    <row r="17535" ht="12" customHeight="1"/>
    <row r="17536" ht="12" customHeight="1"/>
    <row r="17537" ht="12" customHeight="1"/>
    <row r="17538" ht="12" customHeight="1"/>
    <row r="17539" ht="12" customHeight="1"/>
    <row r="17540" ht="12" customHeight="1"/>
    <row r="17541" ht="12" customHeight="1"/>
    <row r="17542" ht="12" customHeight="1"/>
    <row r="17543" ht="12" customHeight="1"/>
    <row r="17544" ht="12" customHeight="1"/>
    <row r="17545" ht="12" customHeight="1"/>
    <row r="17546" ht="12" customHeight="1"/>
    <row r="17547" ht="12" customHeight="1"/>
    <row r="17548" ht="12" customHeight="1"/>
    <row r="17549" ht="12" customHeight="1"/>
    <row r="17550" ht="12" customHeight="1"/>
    <row r="17551" ht="12" customHeight="1"/>
    <row r="17552" ht="12" customHeight="1"/>
    <row r="17553" ht="12" customHeight="1"/>
    <row r="17554" ht="12" customHeight="1"/>
    <row r="17555" ht="12" customHeight="1"/>
    <row r="17556" ht="12" customHeight="1"/>
    <row r="17557" ht="12" customHeight="1"/>
    <row r="17558" ht="12" customHeight="1"/>
    <row r="17559" ht="12" customHeight="1"/>
    <row r="17560" ht="12" customHeight="1"/>
    <row r="17561" ht="12" customHeight="1"/>
    <row r="17562" ht="12" customHeight="1"/>
    <row r="17563" ht="12" customHeight="1"/>
    <row r="17564" ht="12" customHeight="1"/>
    <row r="17565" ht="12" customHeight="1"/>
    <row r="17566" ht="12" customHeight="1"/>
    <row r="17567" ht="12" customHeight="1"/>
    <row r="17568" ht="12" customHeight="1"/>
    <row r="17569" ht="12" customHeight="1"/>
    <row r="17570" ht="12" customHeight="1"/>
    <row r="17571" ht="12" customHeight="1"/>
    <row r="17572" ht="12" customHeight="1"/>
    <row r="17573" ht="12" customHeight="1"/>
    <row r="17574" ht="12" customHeight="1"/>
    <row r="17575" ht="12" customHeight="1"/>
    <row r="17576" ht="12" customHeight="1"/>
    <row r="17577" ht="12" customHeight="1"/>
    <row r="17578" ht="12" customHeight="1"/>
    <row r="17579" ht="12" customHeight="1"/>
    <row r="17580" ht="12" customHeight="1"/>
    <row r="17581" ht="12" customHeight="1"/>
    <row r="17582" ht="12" customHeight="1"/>
    <row r="17583" ht="12" customHeight="1"/>
    <row r="17584" ht="12" customHeight="1"/>
    <row r="17585" ht="12" customHeight="1"/>
    <row r="17586" ht="12" customHeight="1"/>
    <row r="17587" ht="12" customHeight="1"/>
    <row r="17588" ht="12" customHeight="1"/>
    <row r="17589" ht="12" customHeight="1"/>
    <row r="17590" ht="12" customHeight="1"/>
    <row r="17591" ht="12" customHeight="1"/>
    <row r="17592" ht="12" customHeight="1"/>
    <row r="17593" ht="12" customHeight="1"/>
    <row r="17594" ht="12" customHeight="1"/>
    <row r="17595" ht="12" customHeight="1"/>
    <row r="17596" ht="12" customHeight="1"/>
    <row r="17597" ht="12" customHeight="1"/>
    <row r="17598" ht="12" customHeight="1"/>
    <row r="17599" ht="12" customHeight="1"/>
    <row r="17600" ht="12" customHeight="1"/>
    <row r="17601" ht="12" customHeight="1"/>
    <row r="17602" ht="12" customHeight="1"/>
    <row r="17603" ht="12" customHeight="1"/>
    <row r="17604" ht="12" customHeight="1"/>
    <row r="17605" ht="12" customHeight="1"/>
    <row r="17606" ht="12" customHeight="1"/>
    <row r="17607" ht="12" customHeight="1"/>
    <row r="17608" ht="12" customHeight="1"/>
    <row r="17609" ht="12" customHeight="1"/>
    <row r="17610" ht="12" customHeight="1"/>
    <row r="17611" ht="12" customHeight="1"/>
    <row r="17612" ht="12" customHeight="1"/>
    <row r="17613" ht="12" customHeight="1"/>
    <row r="17614" ht="12" customHeight="1"/>
    <row r="17615" ht="12" customHeight="1"/>
    <row r="17616" ht="12" customHeight="1"/>
    <row r="17617" ht="12" customHeight="1"/>
    <row r="17618" ht="12" customHeight="1"/>
    <row r="17619" ht="12" customHeight="1"/>
    <row r="17620" ht="12" customHeight="1"/>
    <row r="17621" ht="12" customHeight="1"/>
    <row r="17622" ht="12" customHeight="1"/>
    <row r="17623" ht="12" customHeight="1"/>
    <row r="17624" ht="12" customHeight="1"/>
    <row r="17625" ht="12" customHeight="1"/>
    <row r="17626" ht="12" customHeight="1"/>
    <row r="17627" ht="12" customHeight="1"/>
    <row r="17628" ht="12" customHeight="1"/>
    <row r="17629" ht="12" customHeight="1"/>
    <row r="17630" ht="12" customHeight="1"/>
    <row r="17631" ht="12" customHeight="1"/>
    <row r="17632" ht="12" customHeight="1"/>
    <row r="17633" ht="12" customHeight="1"/>
    <row r="17634" ht="12" customHeight="1"/>
    <row r="17635" ht="12" customHeight="1"/>
    <row r="17636" ht="12" customHeight="1"/>
    <row r="17637" ht="12" customHeight="1"/>
    <row r="17638" ht="12" customHeight="1"/>
    <row r="17639" ht="12" customHeight="1"/>
    <row r="17640" ht="12" customHeight="1"/>
    <row r="17641" ht="12" customHeight="1"/>
    <row r="17642" ht="12" customHeight="1"/>
    <row r="17643" ht="12" customHeight="1"/>
    <row r="17644" ht="12" customHeight="1"/>
    <row r="17645" ht="12" customHeight="1"/>
    <row r="17646" ht="12" customHeight="1"/>
    <row r="17647" ht="12" customHeight="1"/>
    <row r="17648" ht="12" customHeight="1"/>
    <row r="17649" ht="12" customHeight="1"/>
    <row r="17650" ht="12" customHeight="1"/>
    <row r="17651" ht="12" customHeight="1"/>
    <row r="17652" ht="12" customHeight="1"/>
    <row r="17653" ht="12" customHeight="1"/>
    <row r="17654" ht="12" customHeight="1"/>
    <row r="17655" ht="12" customHeight="1"/>
    <row r="17656" ht="12" customHeight="1"/>
    <row r="17657" ht="12" customHeight="1"/>
    <row r="17658" ht="12" customHeight="1"/>
    <row r="17659" ht="12" customHeight="1"/>
    <row r="17660" ht="12" customHeight="1"/>
    <row r="17661" ht="12" customHeight="1"/>
    <row r="17662" ht="12" customHeight="1"/>
    <row r="17663" ht="12" customHeight="1"/>
    <row r="17664" ht="12" customHeight="1"/>
    <row r="17665" ht="12" customHeight="1"/>
    <row r="17666" ht="12" customHeight="1"/>
    <row r="17667" ht="12" customHeight="1"/>
    <row r="17668" ht="12" customHeight="1"/>
    <row r="17669" ht="12" customHeight="1"/>
    <row r="17670" ht="12" customHeight="1"/>
    <row r="17671" ht="12" customHeight="1"/>
    <row r="17672" ht="12" customHeight="1"/>
    <row r="17673" ht="12" customHeight="1"/>
    <row r="17674" ht="12" customHeight="1"/>
    <row r="17675" ht="12" customHeight="1"/>
    <row r="17676" ht="12" customHeight="1"/>
    <row r="17677" ht="12" customHeight="1"/>
    <row r="17678" ht="12" customHeight="1"/>
    <row r="17679" ht="12" customHeight="1"/>
    <row r="17680" ht="12" customHeight="1"/>
    <row r="17681" ht="12" customHeight="1"/>
    <row r="17682" ht="12" customHeight="1"/>
    <row r="17683" ht="12" customHeight="1"/>
    <row r="17684" ht="12" customHeight="1"/>
    <row r="17685" ht="12" customHeight="1"/>
    <row r="17686" ht="12" customHeight="1"/>
    <row r="17687" ht="12" customHeight="1"/>
    <row r="17688" ht="12" customHeight="1"/>
    <row r="17689" ht="12" customHeight="1"/>
    <row r="17690" ht="12" customHeight="1"/>
    <row r="17691" ht="12" customHeight="1"/>
    <row r="17692" ht="12" customHeight="1"/>
    <row r="17693" ht="12" customHeight="1"/>
    <row r="17694" ht="12" customHeight="1"/>
    <row r="17695" ht="12" customHeight="1"/>
    <row r="17696" ht="12" customHeight="1"/>
    <row r="17697" ht="12" customHeight="1"/>
    <row r="17698" ht="12" customHeight="1"/>
    <row r="17699" ht="12" customHeight="1"/>
    <row r="17700" ht="12" customHeight="1"/>
    <row r="17701" ht="12" customHeight="1"/>
    <row r="17702" ht="12" customHeight="1"/>
    <row r="17703" ht="12" customHeight="1"/>
    <row r="17704" ht="12" customHeight="1"/>
    <row r="17705" ht="12" customHeight="1"/>
    <row r="17706" ht="12" customHeight="1"/>
    <row r="17707" ht="12" customHeight="1"/>
    <row r="17708" ht="12" customHeight="1"/>
    <row r="17709" ht="12" customHeight="1"/>
    <row r="17710" ht="12" customHeight="1"/>
    <row r="17711" ht="12" customHeight="1"/>
    <row r="17712" ht="12" customHeight="1"/>
    <row r="17713" ht="12" customHeight="1"/>
    <row r="17714" ht="12" customHeight="1"/>
    <row r="17715" ht="12" customHeight="1"/>
    <row r="17716" ht="12" customHeight="1"/>
    <row r="17717" ht="12" customHeight="1"/>
    <row r="17718" ht="12" customHeight="1"/>
    <row r="17719" ht="12" customHeight="1"/>
    <row r="17720" ht="12" customHeight="1"/>
    <row r="17721" ht="12" customHeight="1"/>
    <row r="17722" ht="12" customHeight="1"/>
    <row r="17723" ht="12" customHeight="1"/>
    <row r="17724" ht="12" customHeight="1"/>
    <row r="17725" ht="12" customHeight="1"/>
    <row r="17726" ht="12" customHeight="1"/>
    <row r="17727" ht="12" customHeight="1"/>
    <row r="17728" ht="12" customHeight="1"/>
    <row r="17729" ht="12" customHeight="1"/>
    <row r="17730" ht="12" customHeight="1"/>
    <row r="17731" ht="12" customHeight="1"/>
    <row r="17732" ht="12" customHeight="1"/>
    <row r="17733" ht="12" customHeight="1"/>
    <row r="17734" ht="12" customHeight="1"/>
    <row r="17735" ht="12" customHeight="1"/>
    <row r="17736" ht="12" customHeight="1"/>
    <row r="17737" ht="12" customHeight="1"/>
    <row r="17738" ht="12" customHeight="1"/>
    <row r="17739" ht="12" customHeight="1"/>
    <row r="17740" ht="12" customHeight="1"/>
    <row r="17741" ht="12" customHeight="1"/>
    <row r="17742" ht="12" customHeight="1"/>
    <row r="17743" ht="12" customHeight="1"/>
    <row r="17744" ht="12" customHeight="1"/>
    <row r="17745" ht="12" customHeight="1"/>
    <row r="17746" ht="12" customHeight="1"/>
    <row r="17747" ht="12" customHeight="1"/>
    <row r="17748" ht="12" customHeight="1"/>
    <row r="17749" ht="12" customHeight="1"/>
    <row r="17750" ht="12" customHeight="1"/>
    <row r="17751" ht="12" customHeight="1"/>
    <row r="17752" ht="12" customHeight="1"/>
    <row r="17753" ht="12" customHeight="1"/>
    <row r="17754" ht="12" customHeight="1"/>
    <row r="17755" ht="12" customHeight="1"/>
    <row r="17756" ht="12" customHeight="1"/>
    <row r="17757" ht="12" customHeight="1"/>
    <row r="17758" ht="12" customHeight="1"/>
    <row r="17759" ht="12" customHeight="1"/>
    <row r="17760" ht="12" customHeight="1"/>
    <row r="17761" ht="12" customHeight="1"/>
    <row r="17762" ht="12" customHeight="1"/>
    <row r="17763" ht="12" customHeight="1"/>
    <row r="17764" ht="12" customHeight="1"/>
    <row r="17765" ht="12" customHeight="1"/>
    <row r="17766" ht="12" customHeight="1"/>
    <row r="17767" ht="12" customHeight="1"/>
    <row r="17768" ht="12" customHeight="1"/>
    <row r="17769" ht="12" customHeight="1"/>
    <row r="17770" ht="12" customHeight="1"/>
    <row r="17771" ht="12" customHeight="1"/>
    <row r="17772" ht="12" customHeight="1"/>
    <row r="17773" ht="12" customHeight="1"/>
    <row r="17774" ht="12" customHeight="1"/>
    <row r="17775" ht="12" customHeight="1"/>
    <row r="17776" ht="12" customHeight="1"/>
    <row r="17777" ht="12" customHeight="1"/>
    <row r="17778" ht="12" customHeight="1"/>
    <row r="17779" ht="12" customHeight="1"/>
    <row r="17780" ht="12" customHeight="1"/>
    <row r="17781" ht="12" customHeight="1"/>
    <row r="17782" ht="12" customHeight="1"/>
    <row r="17783" ht="12" customHeight="1"/>
    <row r="17784" ht="12" customHeight="1"/>
    <row r="17785" ht="12" customHeight="1"/>
    <row r="17786" ht="12" customHeight="1"/>
    <row r="17787" ht="12" customHeight="1"/>
    <row r="17788" ht="12" customHeight="1"/>
    <row r="17789" ht="12" customHeight="1"/>
    <row r="17790" ht="12" customHeight="1"/>
    <row r="17791" ht="12" customHeight="1"/>
    <row r="17792" ht="12" customHeight="1"/>
    <row r="17793" ht="12" customHeight="1"/>
    <row r="17794" ht="12" customHeight="1"/>
    <row r="17795" ht="12" customHeight="1"/>
    <row r="17796" ht="12" customHeight="1"/>
    <row r="17797" ht="12" customHeight="1"/>
    <row r="17798" ht="12" customHeight="1"/>
    <row r="17799" ht="12" customHeight="1"/>
    <row r="17800" ht="12" customHeight="1"/>
    <row r="17801" ht="12" customHeight="1"/>
    <row r="17802" ht="12" customHeight="1"/>
    <row r="17803" ht="12" customHeight="1"/>
    <row r="17804" ht="12" customHeight="1"/>
    <row r="17805" ht="12" customHeight="1"/>
    <row r="17806" ht="12" customHeight="1"/>
    <row r="17807" ht="12" customHeight="1"/>
    <row r="17808" ht="12" customHeight="1"/>
    <row r="17809" ht="12" customHeight="1"/>
    <row r="17810" ht="12" customHeight="1"/>
    <row r="17811" ht="12" customHeight="1"/>
    <row r="17812" ht="12" customHeight="1"/>
    <row r="17813" ht="12" customHeight="1"/>
    <row r="17814" ht="12" customHeight="1"/>
    <row r="17815" ht="12" customHeight="1"/>
    <row r="17816" ht="12" customHeight="1"/>
    <row r="17817" ht="12" customHeight="1"/>
    <row r="17818" ht="12" customHeight="1"/>
    <row r="17819" ht="12" customHeight="1"/>
    <row r="17820" ht="12" customHeight="1"/>
    <row r="17821" ht="12" customHeight="1"/>
    <row r="17822" ht="12" customHeight="1"/>
    <row r="17823" ht="12" customHeight="1"/>
    <row r="17824" ht="12" customHeight="1"/>
    <row r="17825" ht="12" customHeight="1"/>
    <row r="17826" ht="12" customHeight="1"/>
    <row r="17827" ht="12" customHeight="1"/>
    <row r="17828" ht="12" customHeight="1"/>
    <row r="17829" ht="12" customHeight="1"/>
    <row r="17830" ht="12" customHeight="1"/>
    <row r="17831" ht="12" customHeight="1"/>
    <row r="17832" ht="12" customHeight="1"/>
    <row r="17833" ht="12" customHeight="1"/>
    <row r="17834" ht="12" customHeight="1"/>
    <row r="17835" ht="12" customHeight="1"/>
    <row r="17836" ht="12" customHeight="1"/>
    <row r="17837" ht="12" customHeight="1"/>
    <row r="17838" ht="12" customHeight="1"/>
    <row r="17839" ht="12" customHeight="1"/>
    <row r="17840" ht="12" customHeight="1"/>
    <row r="17841" ht="12" customHeight="1"/>
    <row r="17842" ht="12" customHeight="1"/>
    <row r="17843" ht="12" customHeight="1"/>
    <row r="17844" ht="12" customHeight="1"/>
    <row r="17845" ht="12" customHeight="1"/>
    <row r="17846" ht="12" customHeight="1"/>
    <row r="17847" ht="12" customHeight="1"/>
    <row r="17848" ht="12" customHeight="1"/>
    <row r="17849" ht="12" customHeight="1"/>
    <row r="17850" ht="12" customHeight="1"/>
    <row r="17851" ht="12" customHeight="1"/>
    <row r="17852" ht="12" customHeight="1"/>
    <row r="17853" ht="12" customHeight="1"/>
    <row r="17854" ht="12" customHeight="1"/>
    <row r="17855" ht="12" customHeight="1"/>
    <row r="17856" ht="12" customHeight="1"/>
    <row r="17857" ht="12" customHeight="1"/>
    <row r="17858" ht="12" customHeight="1"/>
    <row r="17859" ht="12" customHeight="1"/>
    <row r="17860" ht="12" customHeight="1"/>
    <row r="17861" ht="12" customHeight="1"/>
    <row r="17862" ht="12" customHeight="1"/>
    <row r="17863" ht="12" customHeight="1"/>
    <row r="17864" ht="12" customHeight="1"/>
    <row r="17865" ht="12" customHeight="1"/>
    <row r="17866" ht="12" customHeight="1"/>
    <row r="17867" ht="12" customHeight="1"/>
    <row r="17868" ht="12" customHeight="1"/>
    <row r="17869" ht="12" customHeight="1"/>
    <row r="17870" ht="12" customHeight="1"/>
    <row r="17871" ht="12" customHeight="1"/>
    <row r="17872" ht="12" customHeight="1"/>
    <row r="17873" ht="12" customHeight="1"/>
    <row r="17874" ht="12" customHeight="1"/>
    <row r="17875" ht="12" customHeight="1"/>
    <row r="17876" ht="12" customHeight="1"/>
    <row r="17877" ht="12" customHeight="1"/>
    <row r="17878" ht="12" customHeight="1"/>
    <row r="17879" ht="12" customHeight="1"/>
    <row r="17880" ht="12" customHeight="1"/>
    <row r="17881" ht="12" customHeight="1"/>
    <row r="17882" ht="12" customHeight="1"/>
    <row r="17883" ht="12" customHeight="1"/>
    <row r="17884" ht="12" customHeight="1"/>
    <row r="17885" ht="12" customHeight="1"/>
    <row r="17886" ht="12" customHeight="1"/>
    <row r="17887" ht="12" customHeight="1"/>
    <row r="17888" ht="12" customHeight="1"/>
    <row r="17889" ht="12" customHeight="1"/>
    <row r="17890" ht="12" customHeight="1"/>
    <row r="17891" ht="12" customHeight="1"/>
    <row r="17892" ht="12" customHeight="1"/>
    <row r="17893" ht="12" customHeight="1"/>
    <row r="17894" ht="12" customHeight="1"/>
    <row r="17895" ht="12" customHeight="1"/>
    <row r="17896" ht="12" customHeight="1"/>
    <row r="17897" ht="12" customHeight="1"/>
    <row r="17898" ht="12" customHeight="1"/>
    <row r="17899" ht="12" customHeight="1"/>
    <row r="17900" ht="12" customHeight="1"/>
    <row r="17901" ht="12" customHeight="1"/>
    <row r="17902" ht="12" customHeight="1"/>
    <row r="17903" ht="12" customHeight="1"/>
    <row r="17904" ht="12" customHeight="1"/>
    <row r="17905" ht="12" customHeight="1"/>
    <row r="17906" ht="12" customHeight="1"/>
    <row r="17907" ht="12" customHeight="1"/>
    <row r="17908" ht="12" customHeight="1"/>
    <row r="17909" ht="12" customHeight="1"/>
    <row r="17910" ht="12" customHeight="1"/>
    <row r="17911" ht="12" customHeight="1"/>
    <row r="17912" ht="12" customHeight="1"/>
    <row r="17913" ht="12" customHeight="1"/>
    <row r="17914" ht="12" customHeight="1"/>
    <row r="17915" ht="12" customHeight="1"/>
    <row r="17916" ht="12" customHeight="1"/>
    <row r="17917" ht="12" customHeight="1"/>
    <row r="17918" ht="12" customHeight="1"/>
    <row r="17919" ht="12" customHeight="1"/>
    <row r="17920" ht="12" customHeight="1"/>
    <row r="17921" ht="12" customHeight="1"/>
    <row r="17922" ht="12" customHeight="1"/>
    <row r="17923" ht="12" customHeight="1"/>
    <row r="17924" ht="12" customHeight="1"/>
    <row r="17925" ht="12" customHeight="1"/>
    <row r="17926" ht="12" customHeight="1"/>
    <row r="17927" ht="12" customHeight="1"/>
    <row r="17928" ht="12" customHeight="1"/>
    <row r="17929" ht="12" customHeight="1"/>
    <row r="17930" ht="12" customHeight="1"/>
    <row r="17931" ht="12" customHeight="1"/>
    <row r="17932" ht="12" customHeight="1"/>
    <row r="17933" ht="12" customHeight="1"/>
    <row r="17934" ht="12" customHeight="1"/>
    <row r="17935" ht="12" customHeight="1"/>
    <row r="17936" ht="12" customHeight="1"/>
    <row r="17937" ht="12" customHeight="1"/>
    <row r="17938" ht="12" customHeight="1"/>
    <row r="17939" ht="12" customHeight="1"/>
    <row r="17940" ht="12" customHeight="1"/>
    <row r="17941" ht="12" customHeight="1"/>
    <row r="17942" ht="12" customHeight="1"/>
    <row r="17943" ht="12" customHeight="1"/>
    <row r="17944" ht="12" customHeight="1"/>
    <row r="17945" ht="12" customHeight="1"/>
    <row r="17946" ht="12" customHeight="1"/>
    <row r="17947" ht="12" customHeight="1"/>
    <row r="17948" ht="12" customHeight="1"/>
    <row r="17949" ht="12" customHeight="1"/>
    <row r="17950" ht="12" customHeight="1"/>
    <row r="17951" ht="12" customHeight="1"/>
    <row r="17952" ht="12" customHeight="1"/>
    <row r="17953" ht="12" customHeight="1"/>
    <row r="17954" ht="12" customHeight="1"/>
    <row r="17955" ht="12" customHeight="1"/>
    <row r="17956" ht="12" customHeight="1"/>
    <row r="17957" ht="12" customHeight="1"/>
    <row r="17958" ht="12" customHeight="1"/>
    <row r="17959" ht="12" customHeight="1"/>
    <row r="17960" ht="12" customHeight="1"/>
    <row r="17961" ht="12" customHeight="1"/>
    <row r="17962" ht="12" customHeight="1"/>
    <row r="17963" ht="12" customHeight="1"/>
    <row r="17964" ht="12" customHeight="1"/>
    <row r="17965" ht="12" customHeight="1"/>
    <row r="17966" ht="12" customHeight="1"/>
    <row r="17967" ht="12" customHeight="1"/>
    <row r="17968" ht="12" customHeight="1"/>
    <row r="17969" ht="12" customHeight="1"/>
    <row r="17970" ht="12" customHeight="1"/>
    <row r="17971" ht="12" customHeight="1"/>
    <row r="17972" ht="12" customHeight="1"/>
    <row r="17973" ht="12" customHeight="1"/>
    <row r="17974" ht="12" customHeight="1"/>
    <row r="17975" ht="12" customHeight="1"/>
    <row r="17976" ht="12" customHeight="1"/>
    <row r="17977" ht="12" customHeight="1"/>
    <row r="17978" ht="12" customHeight="1"/>
    <row r="17979" ht="12" customHeight="1"/>
    <row r="17980" ht="12" customHeight="1"/>
    <row r="17981" ht="12" customHeight="1"/>
    <row r="17982" ht="12" customHeight="1"/>
    <row r="17983" ht="12" customHeight="1"/>
    <row r="17984" ht="12" customHeight="1"/>
    <row r="17985" ht="12" customHeight="1"/>
    <row r="17986" ht="12" customHeight="1"/>
    <row r="17987" ht="12" customHeight="1"/>
    <row r="17988" ht="12" customHeight="1"/>
    <row r="17989" ht="12" customHeight="1"/>
    <row r="17990" ht="12" customHeight="1"/>
    <row r="17991" ht="12" customHeight="1"/>
    <row r="17992" ht="12" customHeight="1"/>
    <row r="17993" ht="12" customHeight="1"/>
    <row r="17994" ht="12" customHeight="1"/>
    <row r="17995" ht="12" customHeight="1"/>
    <row r="17996" ht="12" customHeight="1"/>
    <row r="17997" ht="12" customHeight="1"/>
    <row r="17998" ht="12" customHeight="1"/>
    <row r="17999" ht="12" customHeight="1"/>
    <row r="18000" ht="12" customHeight="1"/>
    <row r="18001" ht="12" customHeight="1"/>
    <row r="18002" ht="12" customHeight="1"/>
    <row r="18003" ht="12" customHeight="1"/>
    <row r="18004" ht="12" customHeight="1"/>
    <row r="18005" ht="12" customHeight="1"/>
    <row r="18006" ht="12" customHeight="1"/>
    <row r="18007" ht="12" customHeight="1"/>
    <row r="18008" ht="12" customHeight="1"/>
    <row r="18009" ht="12" customHeight="1"/>
    <row r="18010" ht="12" customHeight="1"/>
    <row r="18011" ht="12" customHeight="1"/>
    <row r="18012" ht="12" customHeight="1"/>
    <row r="18013" ht="12" customHeight="1"/>
    <row r="18014" ht="12" customHeight="1"/>
    <row r="18015" ht="12" customHeight="1"/>
    <row r="18016" ht="12" customHeight="1"/>
    <row r="18017" ht="12" customHeight="1"/>
    <row r="18018" ht="12" customHeight="1"/>
    <row r="18019" ht="12" customHeight="1"/>
    <row r="18020" ht="12" customHeight="1"/>
    <row r="18021" ht="12" customHeight="1"/>
    <row r="18022" ht="12" customHeight="1"/>
    <row r="18023" ht="12" customHeight="1"/>
    <row r="18024" ht="12" customHeight="1"/>
    <row r="18025" ht="12" customHeight="1"/>
    <row r="18026" ht="12" customHeight="1"/>
    <row r="18027" ht="12" customHeight="1"/>
    <row r="18028" ht="12" customHeight="1"/>
    <row r="18029" ht="12" customHeight="1"/>
    <row r="18030" ht="12" customHeight="1"/>
    <row r="18031" ht="12" customHeight="1"/>
    <row r="18032" ht="12" customHeight="1"/>
    <row r="18033" ht="12" customHeight="1"/>
    <row r="18034" ht="12" customHeight="1"/>
    <row r="18035" ht="12" customHeight="1"/>
    <row r="18036" ht="12" customHeight="1"/>
    <row r="18037" ht="12" customHeight="1"/>
    <row r="18038" ht="12" customHeight="1"/>
    <row r="18039" ht="12" customHeight="1"/>
    <row r="18040" ht="12" customHeight="1"/>
    <row r="18041" ht="12" customHeight="1"/>
    <row r="18042" ht="12" customHeight="1"/>
    <row r="18043" ht="12" customHeight="1"/>
    <row r="18044" ht="12" customHeight="1"/>
    <row r="18045" ht="12" customHeight="1"/>
    <row r="18046" ht="12" customHeight="1"/>
    <row r="18047" ht="12" customHeight="1"/>
    <row r="18048" ht="12" customHeight="1"/>
    <row r="18049" ht="12" customHeight="1"/>
    <row r="18050" ht="12" customHeight="1"/>
    <row r="18051" ht="12" customHeight="1"/>
    <row r="18052" ht="12" customHeight="1"/>
    <row r="18053" ht="12" customHeight="1"/>
    <row r="18054" ht="12" customHeight="1"/>
    <row r="18055" ht="12" customHeight="1"/>
    <row r="18056" ht="12" customHeight="1"/>
    <row r="18057" ht="12" customHeight="1"/>
    <row r="18058" ht="12" customHeight="1"/>
    <row r="18059" ht="12" customHeight="1"/>
    <row r="18060" ht="12" customHeight="1"/>
    <row r="18061" ht="12" customHeight="1"/>
    <row r="18062" ht="12" customHeight="1"/>
    <row r="18063" ht="12" customHeight="1"/>
    <row r="18064" ht="12" customHeight="1"/>
    <row r="18065" ht="12" customHeight="1"/>
    <row r="18066" ht="12" customHeight="1"/>
    <row r="18067" ht="12" customHeight="1"/>
    <row r="18068" ht="12" customHeight="1"/>
    <row r="18069" ht="12" customHeight="1"/>
    <row r="18070" ht="12" customHeight="1"/>
    <row r="18071" ht="12" customHeight="1"/>
    <row r="18072" ht="12" customHeight="1"/>
    <row r="18073" ht="12" customHeight="1"/>
    <row r="18074" ht="12" customHeight="1"/>
    <row r="18075" ht="12" customHeight="1"/>
    <row r="18076" ht="12" customHeight="1"/>
    <row r="18077" ht="12" customHeight="1"/>
    <row r="18078" ht="12" customHeight="1"/>
    <row r="18079" ht="12" customHeight="1"/>
    <row r="18080" ht="12" customHeight="1"/>
    <row r="18081" ht="12" customHeight="1"/>
    <row r="18082" ht="12" customHeight="1"/>
    <row r="18083" ht="12" customHeight="1"/>
    <row r="18084" ht="12" customHeight="1"/>
    <row r="18085" ht="12" customHeight="1"/>
    <row r="18086" ht="12" customHeight="1"/>
    <row r="18087" ht="12" customHeight="1"/>
    <row r="18088" ht="12" customHeight="1"/>
    <row r="18089" ht="12" customHeight="1"/>
    <row r="18090" ht="12" customHeight="1"/>
    <row r="18091" ht="12" customHeight="1"/>
    <row r="18092" ht="12" customHeight="1"/>
    <row r="18093" ht="12" customHeight="1"/>
    <row r="18094" ht="12" customHeight="1"/>
    <row r="18095" ht="12" customHeight="1"/>
    <row r="18096" ht="12" customHeight="1"/>
    <row r="18097" ht="12" customHeight="1"/>
    <row r="18098" ht="12" customHeight="1"/>
    <row r="18099" ht="12" customHeight="1"/>
    <row r="18100" ht="12" customHeight="1"/>
    <row r="18101" ht="12" customHeight="1"/>
    <row r="18102" ht="12" customHeight="1"/>
    <row r="18103" ht="12" customHeight="1"/>
    <row r="18104" ht="12" customHeight="1"/>
    <row r="18105" ht="12" customHeight="1"/>
    <row r="18106" ht="12" customHeight="1"/>
    <row r="18107" ht="12" customHeight="1"/>
    <row r="18108" ht="12" customHeight="1"/>
    <row r="18109" ht="12" customHeight="1"/>
    <row r="18110" ht="12" customHeight="1"/>
    <row r="18111" ht="12" customHeight="1"/>
    <row r="18112" ht="12" customHeight="1"/>
    <row r="18113" ht="12" customHeight="1"/>
    <row r="18114" ht="12" customHeight="1"/>
    <row r="18115" ht="12" customHeight="1"/>
    <row r="18116" ht="12" customHeight="1"/>
    <row r="18117" ht="12" customHeight="1"/>
    <row r="18118" ht="12" customHeight="1"/>
    <row r="18119" ht="12" customHeight="1"/>
    <row r="18120" ht="12" customHeight="1"/>
    <row r="18121" ht="12" customHeight="1"/>
    <row r="18122" ht="12" customHeight="1"/>
    <row r="18123" ht="12" customHeight="1"/>
    <row r="18124" ht="12" customHeight="1"/>
    <row r="18125" ht="12" customHeight="1"/>
    <row r="18126" ht="12" customHeight="1"/>
    <row r="18127" ht="12" customHeight="1"/>
    <row r="18128" ht="12" customHeight="1"/>
    <row r="18129" ht="12" customHeight="1"/>
    <row r="18130" ht="12" customHeight="1"/>
    <row r="18131" ht="12" customHeight="1"/>
    <row r="18132" ht="12" customHeight="1"/>
    <row r="18133" ht="12" customHeight="1"/>
    <row r="18134" ht="12" customHeight="1"/>
    <row r="18135" ht="12" customHeight="1"/>
    <row r="18136" ht="12" customHeight="1"/>
    <row r="18137" ht="12" customHeight="1"/>
    <row r="18138" ht="12" customHeight="1"/>
    <row r="18139" ht="12" customHeight="1"/>
    <row r="18140" ht="12" customHeight="1"/>
    <row r="18141" ht="12" customHeight="1"/>
    <row r="18142" ht="12" customHeight="1"/>
    <row r="18143" ht="12" customHeight="1"/>
    <row r="18144" ht="12" customHeight="1"/>
    <row r="18145" ht="12" customHeight="1"/>
    <row r="18146" ht="12" customHeight="1"/>
    <row r="18147" ht="12" customHeight="1"/>
    <row r="18148" ht="12" customHeight="1"/>
    <row r="18149" ht="12" customHeight="1"/>
    <row r="18150" ht="12" customHeight="1"/>
    <row r="18151" ht="12" customHeight="1"/>
    <row r="18152" ht="12" customHeight="1"/>
    <row r="18153" ht="12" customHeight="1"/>
    <row r="18154" ht="12" customHeight="1"/>
    <row r="18155" ht="12" customHeight="1"/>
    <row r="18156" ht="12" customHeight="1"/>
    <row r="18157" ht="12" customHeight="1"/>
    <row r="18158" ht="12" customHeight="1"/>
    <row r="18159" ht="12" customHeight="1"/>
    <row r="18160" ht="12" customHeight="1"/>
    <row r="18161" ht="12" customHeight="1"/>
    <row r="18162" ht="12" customHeight="1"/>
    <row r="18163" ht="12" customHeight="1"/>
    <row r="18164" ht="12" customHeight="1"/>
    <row r="18165" ht="12" customHeight="1"/>
    <row r="18166" ht="12" customHeight="1"/>
    <row r="18167" ht="12" customHeight="1"/>
    <row r="18168" ht="12" customHeight="1"/>
    <row r="18169" ht="12" customHeight="1"/>
    <row r="18170" ht="12" customHeight="1"/>
    <row r="18171" ht="12" customHeight="1"/>
    <row r="18172" ht="12" customHeight="1"/>
    <row r="18173" ht="12" customHeight="1"/>
    <row r="18174" ht="12" customHeight="1"/>
    <row r="18175" ht="12" customHeight="1"/>
    <row r="18176" ht="12" customHeight="1"/>
    <row r="18177" ht="12" customHeight="1"/>
    <row r="18178" ht="12" customHeight="1"/>
    <row r="18179" ht="12" customHeight="1"/>
    <row r="18180" ht="12" customHeight="1"/>
    <row r="18181" ht="12" customHeight="1"/>
    <row r="18182" ht="12" customHeight="1"/>
    <row r="18183" ht="12" customHeight="1"/>
    <row r="18184" ht="12" customHeight="1"/>
    <row r="18185" ht="12" customHeight="1"/>
    <row r="18186" ht="12" customHeight="1"/>
    <row r="18187" ht="12" customHeight="1"/>
    <row r="18188" ht="12" customHeight="1"/>
    <row r="18189" ht="12" customHeight="1"/>
    <row r="18190" ht="12" customHeight="1"/>
    <row r="18191" ht="12" customHeight="1"/>
    <row r="18192" ht="12" customHeight="1"/>
    <row r="18193" ht="12" customHeight="1"/>
    <row r="18194" ht="12" customHeight="1"/>
    <row r="18195" ht="12" customHeight="1"/>
    <row r="18196" ht="12" customHeight="1"/>
    <row r="18197" ht="12" customHeight="1"/>
    <row r="18198" ht="12" customHeight="1"/>
    <row r="18199" ht="12" customHeight="1"/>
    <row r="18200" ht="12" customHeight="1"/>
    <row r="18201" ht="12" customHeight="1"/>
    <row r="18202" ht="12" customHeight="1"/>
    <row r="18203" ht="12" customHeight="1"/>
    <row r="18204" ht="12" customHeight="1"/>
    <row r="18205" ht="12" customHeight="1"/>
    <row r="18206" ht="12" customHeight="1"/>
    <row r="18207" ht="12" customHeight="1"/>
    <row r="18208" ht="12" customHeight="1"/>
    <row r="18209" ht="12" customHeight="1"/>
    <row r="18210" ht="12" customHeight="1"/>
    <row r="18211" ht="12" customHeight="1"/>
    <row r="18212" ht="12" customHeight="1"/>
    <row r="18213" ht="12" customHeight="1"/>
    <row r="18214" ht="12" customHeight="1"/>
    <row r="18215" ht="12" customHeight="1"/>
    <row r="18216" ht="12" customHeight="1"/>
    <row r="18217" ht="12" customHeight="1"/>
    <row r="18218" ht="12" customHeight="1"/>
    <row r="18219" ht="12" customHeight="1"/>
    <row r="18220" ht="12" customHeight="1"/>
    <row r="18221" ht="12" customHeight="1"/>
    <row r="18222" ht="12" customHeight="1"/>
    <row r="18223" ht="12" customHeight="1"/>
    <row r="18224" ht="12" customHeight="1"/>
    <row r="18225" ht="12" customHeight="1"/>
    <row r="18226" ht="12" customHeight="1"/>
    <row r="18227" ht="12" customHeight="1"/>
    <row r="18228" ht="12" customHeight="1"/>
    <row r="18229" ht="12" customHeight="1"/>
    <row r="18230" ht="12" customHeight="1"/>
    <row r="18231" ht="12" customHeight="1"/>
    <row r="18232" ht="12" customHeight="1"/>
    <row r="18233" ht="12" customHeight="1"/>
    <row r="18234" ht="12" customHeight="1"/>
    <row r="18235" ht="12" customHeight="1"/>
    <row r="18236" ht="12" customHeight="1"/>
    <row r="18237" ht="12" customHeight="1"/>
    <row r="18238" ht="12" customHeight="1"/>
    <row r="18239" ht="12" customHeight="1"/>
    <row r="18240" ht="12" customHeight="1"/>
    <row r="18241" ht="12" customHeight="1"/>
    <row r="18242" ht="12" customHeight="1"/>
    <row r="18243" ht="12" customHeight="1"/>
    <row r="18244" ht="12" customHeight="1"/>
    <row r="18245" ht="12" customHeight="1"/>
    <row r="18246" ht="12" customHeight="1"/>
    <row r="18247" ht="12" customHeight="1"/>
    <row r="18248" ht="12" customHeight="1"/>
    <row r="18249" ht="12" customHeight="1"/>
    <row r="18250" ht="12" customHeight="1"/>
    <row r="18251" ht="12" customHeight="1"/>
    <row r="18252" ht="12" customHeight="1"/>
    <row r="18253" ht="12" customHeight="1"/>
    <row r="18254" ht="12" customHeight="1"/>
    <row r="18255" ht="12" customHeight="1"/>
    <row r="18256" ht="12" customHeight="1"/>
    <row r="18257" ht="12" customHeight="1"/>
    <row r="18258" ht="12" customHeight="1"/>
    <row r="18259" ht="12" customHeight="1"/>
    <row r="18260" ht="12" customHeight="1"/>
    <row r="18261" ht="12" customHeight="1"/>
    <row r="18262" ht="12" customHeight="1"/>
    <row r="18263" ht="12" customHeight="1"/>
    <row r="18264" ht="12" customHeight="1"/>
    <row r="18265" ht="12" customHeight="1"/>
    <row r="18266" ht="12" customHeight="1"/>
    <row r="18267" ht="12" customHeight="1"/>
    <row r="18268" ht="12" customHeight="1"/>
    <row r="18269" ht="12" customHeight="1"/>
    <row r="18270" ht="12" customHeight="1"/>
    <row r="18271" ht="12" customHeight="1"/>
    <row r="18272" ht="12" customHeight="1"/>
    <row r="18273" ht="12" customHeight="1"/>
    <row r="18274" ht="12" customHeight="1"/>
    <row r="18275" ht="12" customHeight="1"/>
    <row r="18276" ht="12" customHeight="1"/>
    <row r="18277" ht="12" customHeight="1"/>
    <row r="18278" ht="12" customHeight="1"/>
    <row r="18279" ht="12" customHeight="1"/>
    <row r="18280" ht="12" customHeight="1"/>
    <row r="18281" ht="12" customHeight="1"/>
    <row r="18282" ht="12" customHeight="1"/>
    <row r="18283" ht="12" customHeight="1"/>
    <row r="18284" ht="12" customHeight="1"/>
    <row r="18285" ht="12" customHeight="1"/>
    <row r="18286" ht="12" customHeight="1"/>
    <row r="18287" ht="12" customHeight="1"/>
    <row r="18288" ht="12" customHeight="1"/>
    <row r="18289" ht="12" customHeight="1"/>
    <row r="18290" ht="12" customHeight="1"/>
    <row r="18291" ht="12" customHeight="1"/>
    <row r="18292" ht="12" customHeight="1"/>
    <row r="18293" ht="12" customHeight="1"/>
    <row r="18294" ht="12" customHeight="1"/>
    <row r="18295" ht="12" customHeight="1"/>
    <row r="18296" ht="12" customHeight="1"/>
    <row r="18297" ht="12" customHeight="1"/>
    <row r="18298" ht="12" customHeight="1"/>
    <row r="18299" ht="12" customHeight="1"/>
    <row r="18300" ht="12" customHeight="1"/>
    <row r="18301" ht="12" customHeight="1"/>
    <row r="18302" ht="12" customHeight="1"/>
    <row r="18303" ht="12" customHeight="1"/>
    <row r="18304" ht="12" customHeight="1"/>
    <row r="18305" ht="12" customHeight="1"/>
    <row r="18306" ht="12" customHeight="1"/>
    <row r="18307" ht="12" customHeight="1"/>
    <row r="18308" ht="12" customHeight="1"/>
    <row r="18309" ht="12" customHeight="1"/>
    <row r="18310" ht="12" customHeight="1"/>
    <row r="18311" ht="12" customHeight="1"/>
    <row r="18312" ht="12" customHeight="1"/>
    <row r="18313" ht="12" customHeight="1"/>
    <row r="18314" ht="12" customHeight="1"/>
    <row r="18315" ht="12" customHeight="1"/>
    <row r="18316" ht="12" customHeight="1"/>
    <row r="18317" ht="12" customHeight="1"/>
    <row r="18318" ht="12" customHeight="1"/>
    <row r="18319" ht="12" customHeight="1"/>
    <row r="18320" ht="12" customHeight="1"/>
    <row r="18321" ht="12" customHeight="1"/>
    <row r="18322" ht="12" customHeight="1"/>
    <row r="18323" ht="12" customHeight="1"/>
    <row r="18324" ht="12" customHeight="1"/>
    <row r="18325" ht="12" customHeight="1"/>
    <row r="18326" ht="12" customHeight="1"/>
    <row r="18327" ht="12" customHeight="1"/>
    <row r="18328" ht="12" customHeight="1"/>
    <row r="18329" ht="12" customHeight="1"/>
    <row r="18330" ht="12" customHeight="1"/>
    <row r="18331" ht="12" customHeight="1"/>
    <row r="18332" ht="12" customHeight="1"/>
    <row r="18333" ht="12" customHeight="1"/>
    <row r="18334" ht="12" customHeight="1"/>
    <row r="18335" ht="12" customHeight="1"/>
    <row r="18336" ht="12" customHeight="1"/>
    <row r="18337" ht="12" customHeight="1"/>
    <row r="18338" ht="12" customHeight="1"/>
    <row r="18339" ht="12" customHeight="1"/>
    <row r="18340" ht="12" customHeight="1"/>
    <row r="18341" ht="12" customHeight="1"/>
    <row r="18342" ht="12" customHeight="1"/>
    <row r="18343" ht="12" customHeight="1"/>
    <row r="18344" ht="12" customHeight="1"/>
    <row r="18345" ht="12" customHeight="1"/>
    <row r="18346" ht="12" customHeight="1"/>
    <row r="18347" ht="12" customHeight="1"/>
    <row r="18348" ht="12" customHeight="1"/>
    <row r="18349" ht="12" customHeight="1"/>
    <row r="18350" ht="12" customHeight="1"/>
    <row r="18351" ht="12" customHeight="1"/>
    <row r="18352" ht="12" customHeight="1"/>
    <row r="18353" ht="12" customHeight="1"/>
    <row r="18354" ht="12" customHeight="1"/>
    <row r="18355" ht="12" customHeight="1"/>
    <row r="18356" ht="12" customHeight="1"/>
    <row r="18357" ht="12" customHeight="1"/>
    <row r="18358" ht="12" customHeight="1"/>
    <row r="18359" ht="12" customHeight="1"/>
    <row r="18360" ht="12" customHeight="1"/>
    <row r="18361" ht="12" customHeight="1"/>
    <row r="18362" ht="12" customHeight="1"/>
    <row r="18363" ht="12" customHeight="1"/>
    <row r="18364" ht="12" customHeight="1"/>
    <row r="18365" ht="12" customHeight="1"/>
    <row r="18366" ht="12" customHeight="1"/>
    <row r="18367" ht="12" customHeight="1"/>
    <row r="18368" ht="12" customHeight="1"/>
    <row r="18369" ht="12" customHeight="1"/>
    <row r="18370" ht="12" customHeight="1"/>
    <row r="18371" ht="12" customHeight="1"/>
    <row r="18372" ht="12" customHeight="1"/>
    <row r="18373" ht="12" customHeight="1"/>
    <row r="18374" ht="12" customHeight="1"/>
    <row r="18375" ht="12" customHeight="1"/>
    <row r="18376" ht="12" customHeight="1"/>
    <row r="18377" ht="12" customHeight="1"/>
    <row r="18378" ht="12" customHeight="1"/>
    <row r="18379" ht="12" customHeight="1"/>
    <row r="18380" ht="12" customHeight="1"/>
    <row r="18381" ht="12" customHeight="1"/>
    <row r="18382" ht="12" customHeight="1"/>
    <row r="18383" ht="12" customHeight="1"/>
    <row r="18384" ht="12" customHeight="1"/>
    <row r="18385" ht="12" customHeight="1"/>
    <row r="18386" ht="12" customHeight="1"/>
    <row r="18387" ht="12" customHeight="1"/>
    <row r="18388" ht="12" customHeight="1"/>
    <row r="18389" ht="12" customHeight="1"/>
    <row r="18390" ht="12" customHeight="1"/>
    <row r="18391" ht="12" customHeight="1"/>
    <row r="18392" ht="12" customHeight="1"/>
    <row r="18393" ht="12" customHeight="1"/>
    <row r="18394" ht="12" customHeight="1"/>
    <row r="18395" ht="12" customHeight="1"/>
    <row r="18396" ht="12" customHeight="1"/>
    <row r="18397" ht="12" customHeight="1"/>
    <row r="18398" ht="12" customHeight="1"/>
    <row r="18399" ht="12" customHeight="1"/>
    <row r="18400" ht="12" customHeight="1"/>
    <row r="18401" ht="12" customHeight="1"/>
    <row r="18402" ht="12" customHeight="1"/>
    <row r="18403" ht="12" customHeight="1"/>
    <row r="18404" ht="12" customHeight="1"/>
    <row r="18405" ht="12" customHeight="1"/>
    <row r="18406" ht="12" customHeight="1"/>
    <row r="18407" ht="12" customHeight="1"/>
    <row r="18408" ht="12" customHeight="1"/>
    <row r="18409" ht="12" customHeight="1"/>
    <row r="18410" ht="12" customHeight="1"/>
    <row r="18411" ht="12" customHeight="1"/>
    <row r="18412" ht="12" customHeight="1"/>
    <row r="18413" ht="12" customHeight="1"/>
    <row r="18414" ht="12" customHeight="1"/>
    <row r="18415" ht="12" customHeight="1"/>
    <row r="18416" ht="12" customHeight="1"/>
    <row r="18417" ht="12" customHeight="1"/>
    <row r="18418" ht="12" customHeight="1"/>
    <row r="18419" ht="12" customHeight="1"/>
    <row r="18420" ht="12" customHeight="1"/>
    <row r="18421" ht="12" customHeight="1"/>
    <row r="18422" ht="12" customHeight="1"/>
    <row r="18423" ht="12" customHeight="1"/>
    <row r="18424" ht="12" customHeight="1"/>
    <row r="18425" ht="12" customHeight="1"/>
    <row r="18426" ht="12" customHeight="1"/>
    <row r="18427" ht="12" customHeight="1"/>
    <row r="18428" ht="12" customHeight="1"/>
    <row r="18429" ht="12" customHeight="1"/>
    <row r="18430" ht="12" customHeight="1"/>
    <row r="18431" ht="12" customHeight="1"/>
    <row r="18432" ht="12" customHeight="1"/>
    <row r="18433" ht="12" customHeight="1"/>
    <row r="18434" ht="12" customHeight="1"/>
    <row r="18435" ht="12" customHeight="1"/>
    <row r="18436" ht="12" customHeight="1"/>
    <row r="18437" ht="12" customHeight="1"/>
    <row r="18438" ht="12" customHeight="1"/>
    <row r="18439" ht="12" customHeight="1"/>
    <row r="18440" ht="12" customHeight="1"/>
    <row r="18441" ht="12" customHeight="1"/>
    <row r="18442" ht="12" customHeight="1"/>
    <row r="18443" ht="12" customHeight="1"/>
    <row r="18444" ht="12" customHeight="1"/>
    <row r="18445" ht="12" customHeight="1"/>
    <row r="18446" ht="12" customHeight="1"/>
    <row r="18447" ht="12" customHeight="1"/>
    <row r="18448" ht="12" customHeight="1"/>
    <row r="18449" ht="12" customHeight="1"/>
    <row r="18450" ht="12" customHeight="1"/>
    <row r="18451" ht="12" customHeight="1"/>
    <row r="18452" ht="12" customHeight="1"/>
    <row r="18453" ht="12" customHeight="1"/>
    <row r="18454" ht="12" customHeight="1"/>
    <row r="18455" ht="12" customHeight="1"/>
    <row r="18456" ht="12" customHeight="1"/>
    <row r="18457" ht="12" customHeight="1"/>
    <row r="18458" ht="12" customHeight="1"/>
    <row r="18459" ht="12" customHeight="1"/>
    <row r="18460" ht="12" customHeight="1"/>
    <row r="18461" ht="12" customHeight="1"/>
    <row r="18462" ht="12" customHeight="1"/>
    <row r="18463" ht="12" customHeight="1"/>
    <row r="18464" ht="12" customHeight="1"/>
    <row r="18465" ht="12" customHeight="1"/>
    <row r="18466" ht="12" customHeight="1"/>
    <row r="18467" ht="12" customHeight="1"/>
    <row r="18468" ht="12" customHeight="1"/>
    <row r="18469" ht="12" customHeight="1"/>
    <row r="18470" ht="12" customHeight="1"/>
    <row r="18471" ht="12" customHeight="1"/>
    <row r="18472" ht="12" customHeight="1"/>
    <row r="18473" ht="12" customHeight="1"/>
    <row r="18474" ht="12" customHeight="1"/>
    <row r="18475" ht="12" customHeight="1"/>
    <row r="18476" ht="12" customHeight="1"/>
    <row r="18477" ht="12" customHeight="1"/>
    <row r="18478" ht="12" customHeight="1"/>
    <row r="18479" ht="12" customHeight="1"/>
    <row r="18480" ht="12" customHeight="1"/>
    <row r="18481" ht="12" customHeight="1"/>
    <row r="18482" ht="12" customHeight="1"/>
    <row r="18483" ht="12" customHeight="1"/>
    <row r="18484" ht="12" customHeight="1"/>
    <row r="18485" ht="12" customHeight="1"/>
    <row r="18486" ht="12" customHeight="1"/>
    <row r="18487" ht="12" customHeight="1"/>
    <row r="18488" ht="12" customHeight="1"/>
    <row r="18489" ht="12" customHeight="1"/>
    <row r="18490" ht="12" customHeight="1"/>
    <row r="18491" ht="12" customHeight="1"/>
    <row r="18492" ht="12" customHeight="1"/>
    <row r="18493" ht="12" customHeight="1"/>
    <row r="18494" ht="12" customHeight="1"/>
    <row r="18495" ht="12" customHeight="1"/>
    <row r="18496" ht="12" customHeight="1"/>
    <row r="18497" ht="12" customHeight="1"/>
    <row r="18498" ht="12" customHeight="1"/>
    <row r="18499" ht="12" customHeight="1"/>
    <row r="18500" ht="12" customHeight="1"/>
    <row r="18501" ht="12" customHeight="1"/>
    <row r="18502" ht="12" customHeight="1"/>
    <row r="18503" ht="12" customHeight="1"/>
    <row r="18504" ht="12" customHeight="1"/>
    <row r="18505" ht="12" customHeight="1"/>
    <row r="18506" ht="12" customHeight="1"/>
    <row r="18507" ht="12" customHeight="1"/>
    <row r="18508" ht="12" customHeight="1"/>
    <row r="18509" ht="12" customHeight="1"/>
    <row r="18510" ht="12" customHeight="1"/>
    <row r="18511" ht="12" customHeight="1"/>
    <row r="18512" ht="12" customHeight="1"/>
    <row r="18513" ht="12" customHeight="1"/>
    <row r="18514" ht="12" customHeight="1"/>
    <row r="18515" ht="12" customHeight="1"/>
    <row r="18516" ht="12" customHeight="1"/>
    <row r="18517" ht="12" customHeight="1"/>
    <row r="18518" ht="12" customHeight="1"/>
    <row r="18519" ht="12" customHeight="1"/>
    <row r="18520" ht="12" customHeight="1"/>
    <row r="18521" ht="12" customHeight="1"/>
    <row r="18522" ht="12" customHeight="1"/>
    <row r="18523" ht="12" customHeight="1"/>
    <row r="18524" ht="12" customHeight="1"/>
    <row r="18525" ht="12" customHeight="1"/>
    <row r="18526" ht="12" customHeight="1"/>
    <row r="18527" ht="12" customHeight="1"/>
    <row r="18528" ht="12" customHeight="1"/>
    <row r="18529" ht="12" customHeight="1"/>
    <row r="18530" ht="12" customHeight="1"/>
    <row r="18531" ht="12" customHeight="1"/>
    <row r="18532" ht="12" customHeight="1"/>
    <row r="18533" ht="12" customHeight="1"/>
    <row r="18534" ht="12" customHeight="1"/>
    <row r="18535" ht="12" customHeight="1"/>
    <row r="18536" ht="12" customHeight="1"/>
    <row r="18537" ht="12" customHeight="1"/>
    <row r="18538" ht="12" customHeight="1"/>
    <row r="18539" ht="12" customHeight="1"/>
    <row r="18540" ht="12" customHeight="1"/>
    <row r="18541" ht="12" customHeight="1"/>
    <row r="18542" ht="12" customHeight="1"/>
    <row r="18543" ht="12" customHeight="1"/>
    <row r="18544" ht="12" customHeight="1"/>
    <row r="18545" ht="12" customHeight="1"/>
    <row r="18546" ht="12" customHeight="1"/>
    <row r="18547" ht="12" customHeight="1"/>
    <row r="18548" ht="12" customHeight="1"/>
    <row r="18549" ht="12" customHeight="1"/>
    <row r="18550" ht="12" customHeight="1"/>
    <row r="18551" ht="12" customHeight="1"/>
    <row r="18552" ht="12" customHeight="1"/>
    <row r="18553" ht="12" customHeight="1"/>
    <row r="18554" ht="12" customHeight="1"/>
    <row r="18555" ht="12" customHeight="1"/>
    <row r="18556" ht="12" customHeight="1"/>
    <row r="18557" ht="12" customHeight="1"/>
    <row r="18558" ht="12" customHeight="1"/>
    <row r="18559" ht="12" customHeight="1"/>
    <row r="18560" ht="12" customHeight="1"/>
    <row r="18561" ht="12" customHeight="1"/>
    <row r="18562" ht="12" customHeight="1"/>
    <row r="18563" ht="12" customHeight="1"/>
    <row r="18564" ht="12" customHeight="1"/>
    <row r="18565" ht="12" customHeight="1"/>
    <row r="18566" ht="12" customHeight="1"/>
    <row r="18567" ht="12" customHeight="1"/>
    <row r="18568" ht="12" customHeight="1"/>
    <row r="18569" ht="12" customHeight="1"/>
    <row r="18570" ht="12" customHeight="1"/>
    <row r="18571" ht="12" customHeight="1"/>
    <row r="18572" ht="12" customHeight="1"/>
    <row r="18573" ht="12" customHeight="1"/>
    <row r="18574" ht="12" customHeight="1"/>
    <row r="18575" ht="12" customHeight="1"/>
    <row r="18576" ht="12" customHeight="1"/>
    <row r="18577" ht="12" customHeight="1"/>
    <row r="18578" ht="12" customHeight="1"/>
    <row r="18579" ht="12" customHeight="1"/>
    <row r="18580" ht="12" customHeight="1"/>
    <row r="18581" ht="12" customHeight="1"/>
    <row r="18582" ht="12" customHeight="1"/>
    <row r="18583" ht="12" customHeight="1"/>
    <row r="18584" ht="12" customHeight="1"/>
    <row r="18585" ht="12" customHeight="1"/>
    <row r="18586" ht="12" customHeight="1"/>
    <row r="18587" ht="12" customHeight="1"/>
    <row r="18588" ht="12" customHeight="1"/>
    <row r="18589" ht="12" customHeight="1"/>
    <row r="18590" ht="12" customHeight="1"/>
    <row r="18591" ht="12" customHeight="1"/>
    <row r="18592" ht="12" customHeight="1"/>
    <row r="18593" ht="12" customHeight="1"/>
    <row r="18594" ht="12" customHeight="1"/>
    <row r="18595" ht="12" customHeight="1"/>
    <row r="18596" ht="12" customHeight="1"/>
    <row r="18597" ht="12" customHeight="1"/>
    <row r="18598" ht="12" customHeight="1"/>
    <row r="18599" ht="12" customHeight="1"/>
    <row r="18600" ht="12" customHeight="1"/>
    <row r="18601" ht="12" customHeight="1"/>
    <row r="18602" ht="12" customHeight="1"/>
    <row r="18603" ht="12" customHeight="1"/>
    <row r="18604" ht="12" customHeight="1"/>
    <row r="18605" ht="12" customHeight="1"/>
    <row r="18606" ht="12" customHeight="1"/>
    <row r="18607" ht="12" customHeight="1"/>
    <row r="18608" ht="12" customHeight="1"/>
    <row r="18609" ht="12" customHeight="1"/>
    <row r="18610" ht="12" customHeight="1"/>
    <row r="18611" ht="12" customHeight="1"/>
    <row r="18612" ht="12" customHeight="1"/>
    <row r="18613" ht="12" customHeight="1"/>
    <row r="18614" ht="12" customHeight="1"/>
    <row r="18615" ht="12" customHeight="1"/>
    <row r="18616" ht="12" customHeight="1"/>
    <row r="18617" ht="12" customHeight="1"/>
    <row r="18618" ht="12" customHeight="1"/>
    <row r="18619" ht="12" customHeight="1"/>
    <row r="18620" ht="12" customHeight="1"/>
    <row r="18621" ht="12" customHeight="1"/>
    <row r="18622" ht="12" customHeight="1"/>
    <row r="18623" ht="12" customHeight="1"/>
    <row r="18624" ht="12" customHeight="1"/>
    <row r="18625" ht="12" customHeight="1"/>
    <row r="18626" ht="12" customHeight="1"/>
    <row r="18627" ht="12" customHeight="1"/>
    <row r="18628" ht="12" customHeight="1"/>
    <row r="18629" ht="12" customHeight="1"/>
    <row r="18630" ht="12" customHeight="1"/>
    <row r="18631" ht="12" customHeight="1"/>
    <row r="18632" ht="12" customHeight="1"/>
    <row r="18633" ht="12" customHeight="1"/>
    <row r="18634" ht="12" customHeight="1"/>
    <row r="18635" ht="12" customHeight="1"/>
    <row r="18636" ht="12" customHeight="1"/>
    <row r="18637" ht="12" customHeight="1"/>
    <row r="18638" ht="12" customHeight="1"/>
    <row r="18639" ht="12" customHeight="1"/>
    <row r="18640" ht="12" customHeight="1"/>
    <row r="18641" ht="12" customHeight="1"/>
    <row r="18642" ht="12" customHeight="1"/>
    <row r="18643" ht="12" customHeight="1"/>
    <row r="18644" ht="12" customHeight="1"/>
    <row r="18645" ht="12" customHeight="1"/>
    <row r="18646" ht="12" customHeight="1"/>
    <row r="18647" ht="12" customHeight="1"/>
    <row r="18648" ht="12" customHeight="1"/>
    <row r="18649" ht="12" customHeight="1"/>
    <row r="18650" ht="12" customHeight="1"/>
    <row r="18651" ht="12" customHeight="1"/>
    <row r="18652" ht="12" customHeight="1"/>
    <row r="18653" ht="12" customHeight="1"/>
    <row r="18654" ht="12" customHeight="1"/>
    <row r="18655" ht="12" customHeight="1"/>
    <row r="18656" ht="12" customHeight="1"/>
    <row r="18657" ht="12" customHeight="1"/>
    <row r="18658" ht="12" customHeight="1"/>
    <row r="18659" ht="12" customHeight="1"/>
    <row r="18660" ht="12" customHeight="1"/>
    <row r="18661" ht="12" customHeight="1"/>
    <row r="18662" ht="12" customHeight="1"/>
    <row r="18663" ht="12" customHeight="1"/>
    <row r="18664" ht="12" customHeight="1"/>
    <row r="18665" ht="12" customHeight="1"/>
    <row r="18666" ht="12" customHeight="1"/>
    <row r="18667" ht="12" customHeight="1"/>
    <row r="18668" ht="12" customHeight="1"/>
    <row r="18669" ht="12" customHeight="1"/>
    <row r="18670" ht="12" customHeight="1"/>
    <row r="18671" ht="12" customHeight="1"/>
    <row r="18672" ht="12" customHeight="1"/>
    <row r="18673" ht="12" customHeight="1"/>
    <row r="18674" ht="12" customHeight="1"/>
    <row r="18675" ht="12" customHeight="1"/>
    <row r="18676" ht="12" customHeight="1"/>
    <row r="18677" ht="12" customHeight="1"/>
    <row r="18678" ht="12" customHeight="1"/>
    <row r="18679" ht="12" customHeight="1"/>
    <row r="18680" ht="12" customHeight="1"/>
    <row r="18681" ht="12" customHeight="1"/>
    <row r="18682" ht="12" customHeight="1"/>
    <row r="18683" ht="12" customHeight="1"/>
    <row r="18684" ht="12" customHeight="1"/>
    <row r="18685" ht="12" customHeight="1"/>
    <row r="18686" ht="12" customHeight="1"/>
    <row r="18687" ht="12" customHeight="1"/>
    <row r="18688" ht="12" customHeight="1"/>
    <row r="18689" ht="12" customHeight="1"/>
    <row r="18690" ht="12" customHeight="1"/>
    <row r="18691" ht="12" customHeight="1"/>
    <row r="18692" ht="12" customHeight="1"/>
    <row r="18693" ht="12" customHeight="1"/>
    <row r="18694" ht="12" customHeight="1"/>
    <row r="18695" ht="12" customHeight="1"/>
    <row r="18696" ht="12" customHeight="1"/>
    <row r="18697" ht="12" customHeight="1"/>
    <row r="18698" ht="12" customHeight="1"/>
    <row r="18699" ht="12" customHeight="1"/>
    <row r="18700" ht="12" customHeight="1"/>
    <row r="18701" ht="12" customHeight="1"/>
    <row r="18702" ht="12" customHeight="1"/>
    <row r="18703" ht="12" customHeight="1"/>
    <row r="18704" ht="12" customHeight="1"/>
    <row r="18705" ht="12" customHeight="1"/>
    <row r="18706" ht="12" customHeight="1"/>
    <row r="18707" ht="12" customHeight="1"/>
    <row r="18708" ht="12" customHeight="1"/>
    <row r="18709" ht="12" customHeight="1"/>
    <row r="18710" ht="12" customHeight="1"/>
    <row r="18711" ht="12" customHeight="1"/>
    <row r="18712" ht="12" customHeight="1"/>
    <row r="18713" ht="12" customHeight="1"/>
    <row r="18714" ht="12" customHeight="1"/>
    <row r="18715" ht="12" customHeight="1"/>
    <row r="18716" ht="12" customHeight="1"/>
    <row r="18717" ht="12" customHeight="1"/>
    <row r="18718" ht="12" customHeight="1"/>
    <row r="18719" ht="12" customHeight="1"/>
    <row r="18720" ht="12" customHeight="1"/>
    <row r="18721" ht="12" customHeight="1"/>
    <row r="18722" ht="12" customHeight="1"/>
    <row r="18723" ht="12" customHeight="1"/>
    <row r="18724" ht="12" customHeight="1"/>
    <row r="18725" ht="12" customHeight="1"/>
    <row r="18726" ht="12" customHeight="1"/>
    <row r="18727" ht="12" customHeight="1"/>
    <row r="18728" ht="12" customHeight="1"/>
    <row r="18729" ht="12" customHeight="1"/>
    <row r="18730" ht="12" customHeight="1"/>
    <row r="18731" ht="12" customHeight="1"/>
    <row r="18732" ht="12" customHeight="1"/>
    <row r="18733" ht="12" customHeight="1"/>
    <row r="18734" ht="12" customHeight="1"/>
    <row r="18735" ht="12" customHeight="1"/>
    <row r="18736" ht="12" customHeight="1"/>
    <row r="18737" ht="12" customHeight="1"/>
    <row r="18738" ht="12" customHeight="1"/>
    <row r="18739" ht="12" customHeight="1"/>
    <row r="18740" ht="12" customHeight="1"/>
    <row r="18741" ht="12" customHeight="1"/>
    <row r="18742" ht="12" customHeight="1"/>
    <row r="18743" ht="12" customHeight="1"/>
    <row r="18744" ht="12" customHeight="1"/>
    <row r="18745" ht="12" customHeight="1"/>
    <row r="18746" ht="12" customHeight="1"/>
    <row r="18747" ht="12" customHeight="1"/>
    <row r="18748" ht="12" customHeight="1"/>
    <row r="18749" ht="12" customHeight="1"/>
    <row r="18750" ht="12" customHeight="1"/>
    <row r="18751" ht="12" customHeight="1"/>
    <row r="18752" ht="12" customHeight="1"/>
    <row r="18753" ht="12" customHeight="1"/>
    <row r="18754" ht="12" customHeight="1"/>
    <row r="18755" ht="12" customHeight="1"/>
    <row r="18756" ht="12" customHeight="1"/>
    <row r="18757" ht="12" customHeight="1"/>
    <row r="18758" ht="12" customHeight="1"/>
    <row r="18759" ht="12" customHeight="1"/>
    <row r="18760" ht="12" customHeight="1"/>
    <row r="18761" ht="12" customHeight="1"/>
    <row r="18762" ht="12" customHeight="1"/>
    <row r="18763" ht="12" customHeight="1"/>
    <row r="18764" ht="12" customHeight="1"/>
    <row r="18765" ht="12" customHeight="1"/>
    <row r="18766" ht="12" customHeight="1"/>
    <row r="18767" ht="12" customHeight="1"/>
    <row r="18768" ht="12" customHeight="1"/>
    <row r="18769" ht="12" customHeight="1"/>
    <row r="18770" ht="12" customHeight="1"/>
    <row r="18771" ht="12" customHeight="1"/>
    <row r="18772" ht="12" customHeight="1"/>
    <row r="18773" ht="12" customHeight="1"/>
    <row r="18774" ht="12" customHeight="1"/>
    <row r="18775" ht="12" customHeight="1"/>
    <row r="18776" ht="12" customHeight="1"/>
    <row r="18777" ht="12" customHeight="1"/>
    <row r="18778" ht="12" customHeight="1"/>
    <row r="18779" ht="12" customHeight="1"/>
    <row r="18780" ht="12" customHeight="1"/>
    <row r="18781" ht="12" customHeight="1"/>
    <row r="18782" ht="12" customHeight="1"/>
    <row r="18783" ht="12" customHeight="1"/>
    <row r="18784" ht="12" customHeight="1"/>
    <row r="18785" ht="12" customHeight="1"/>
    <row r="18786" ht="12" customHeight="1"/>
    <row r="18787" ht="12" customHeight="1"/>
    <row r="18788" ht="12" customHeight="1"/>
    <row r="18789" ht="12" customHeight="1"/>
    <row r="18790" ht="12" customHeight="1"/>
    <row r="18791" ht="12" customHeight="1"/>
    <row r="18792" ht="12" customHeight="1"/>
    <row r="18793" ht="12" customHeight="1"/>
    <row r="18794" ht="12" customHeight="1"/>
    <row r="18795" ht="12" customHeight="1"/>
    <row r="18796" ht="12" customHeight="1"/>
    <row r="18797" ht="12" customHeight="1"/>
    <row r="18798" ht="12" customHeight="1"/>
    <row r="18799" ht="12" customHeight="1"/>
    <row r="18800" ht="12" customHeight="1"/>
    <row r="18801" ht="12" customHeight="1"/>
    <row r="18802" ht="12" customHeight="1"/>
    <row r="18803" ht="12" customHeight="1"/>
    <row r="18804" ht="12" customHeight="1"/>
    <row r="18805" ht="12" customHeight="1"/>
    <row r="18806" ht="12" customHeight="1"/>
    <row r="18807" ht="12" customHeight="1"/>
    <row r="18808" ht="12" customHeight="1"/>
    <row r="18809" ht="12" customHeight="1"/>
    <row r="18810" ht="12" customHeight="1"/>
    <row r="18811" ht="12" customHeight="1"/>
    <row r="18812" ht="12" customHeight="1"/>
    <row r="18813" ht="12" customHeight="1"/>
    <row r="18814" ht="12" customHeight="1"/>
    <row r="18815" ht="12" customHeight="1"/>
    <row r="18816" ht="12" customHeight="1"/>
    <row r="18817" ht="12" customHeight="1"/>
    <row r="18818" ht="12" customHeight="1"/>
    <row r="18819" ht="12" customHeight="1"/>
    <row r="18820" ht="12" customHeight="1"/>
    <row r="18821" ht="12" customHeight="1"/>
    <row r="18822" ht="12" customHeight="1"/>
    <row r="18823" ht="12" customHeight="1"/>
    <row r="18824" ht="12" customHeight="1"/>
    <row r="18825" ht="12" customHeight="1"/>
    <row r="18826" ht="12" customHeight="1"/>
    <row r="18827" ht="12" customHeight="1"/>
    <row r="18828" ht="12" customHeight="1"/>
    <row r="18829" ht="12" customHeight="1"/>
    <row r="18830" ht="12" customHeight="1"/>
    <row r="18831" ht="12" customHeight="1"/>
    <row r="18832" ht="12" customHeight="1"/>
    <row r="18833" ht="12" customHeight="1"/>
    <row r="18834" ht="12" customHeight="1"/>
    <row r="18835" ht="12" customHeight="1"/>
    <row r="18836" ht="12" customHeight="1"/>
    <row r="18837" ht="12" customHeight="1"/>
    <row r="18838" ht="12" customHeight="1"/>
    <row r="18839" ht="12" customHeight="1"/>
    <row r="18840" ht="12" customHeight="1"/>
    <row r="18841" ht="12" customHeight="1"/>
    <row r="18842" ht="12" customHeight="1"/>
    <row r="18843" ht="12" customHeight="1"/>
    <row r="18844" ht="12" customHeight="1"/>
    <row r="18845" ht="12" customHeight="1"/>
    <row r="18846" ht="12" customHeight="1"/>
    <row r="18847" ht="12" customHeight="1"/>
    <row r="18848" ht="12" customHeight="1"/>
    <row r="18849" ht="12" customHeight="1"/>
    <row r="18850" ht="12" customHeight="1"/>
    <row r="18851" ht="12" customHeight="1"/>
    <row r="18852" ht="12" customHeight="1"/>
    <row r="18853" ht="12" customHeight="1"/>
    <row r="18854" ht="12" customHeight="1"/>
    <row r="18855" ht="12" customHeight="1"/>
    <row r="18856" ht="12" customHeight="1"/>
    <row r="18857" ht="12" customHeight="1"/>
    <row r="18858" ht="12" customHeight="1"/>
    <row r="18859" ht="12" customHeight="1"/>
    <row r="18860" ht="12" customHeight="1"/>
    <row r="18861" ht="12" customHeight="1"/>
    <row r="18862" ht="12" customHeight="1"/>
    <row r="18863" ht="12" customHeight="1"/>
    <row r="18864" ht="12" customHeight="1"/>
    <row r="18865" ht="12" customHeight="1"/>
    <row r="18866" ht="12" customHeight="1"/>
    <row r="18867" ht="12" customHeight="1"/>
    <row r="18868" ht="12" customHeight="1"/>
    <row r="18869" ht="12" customHeight="1"/>
    <row r="18870" ht="12" customHeight="1"/>
    <row r="18871" ht="12" customHeight="1"/>
    <row r="18872" ht="12" customHeight="1"/>
    <row r="18873" ht="12" customHeight="1"/>
    <row r="18874" ht="12" customHeight="1"/>
    <row r="18875" ht="12" customHeight="1"/>
    <row r="18876" ht="12" customHeight="1"/>
    <row r="18877" ht="12" customHeight="1"/>
    <row r="18878" ht="12" customHeight="1"/>
    <row r="18879" ht="12" customHeight="1"/>
    <row r="18880" ht="12" customHeight="1"/>
    <row r="18881" ht="12" customHeight="1"/>
    <row r="18882" ht="12" customHeight="1"/>
    <row r="18883" ht="12" customHeight="1"/>
    <row r="18884" ht="12" customHeight="1"/>
    <row r="18885" ht="12" customHeight="1"/>
    <row r="18886" ht="12" customHeight="1"/>
    <row r="18887" ht="12" customHeight="1"/>
    <row r="18888" ht="12" customHeight="1"/>
    <row r="18889" ht="12" customHeight="1"/>
    <row r="18890" ht="12" customHeight="1"/>
    <row r="18891" ht="12" customHeight="1"/>
    <row r="18892" ht="12" customHeight="1"/>
    <row r="18893" ht="12" customHeight="1"/>
    <row r="18894" ht="12" customHeight="1"/>
    <row r="18895" ht="12" customHeight="1"/>
    <row r="18896" ht="12" customHeight="1"/>
    <row r="18897" ht="12" customHeight="1"/>
    <row r="18898" ht="12" customHeight="1"/>
    <row r="18899" ht="12" customHeight="1"/>
    <row r="18900" ht="12" customHeight="1"/>
    <row r="18901" ht="12" customHeight="1"/>
    <row r="18902" ht="12" customHeight="1"/>
    <row r="18903" ht="12" customHeight="1"/>
    <row r="18904" ht="12" customHeight="1"/>
    <row r="18905" ht="12" customHeight="1"/>
    <row r="18906" ht="12" customHeight="1"/>
    <row r="18907" ht="12" customHeight="1"/>
    <row r="18908" ht="12" customHeight="1"/>
    <row r="18909" ht="12" customHeight="1"/>
    <row r="18910" ht="12" customHeight="1"/>
    <row r="18911" ht="12" customHeight="1"/>
    <row r="18912" ht="12" customHeight="1"/>
    <row r="18913" ht="12" customHeight="1"/>
    <row r="18914" ht="12" customHeight="1"/>
    <row r="18915" ht="12" customHeight="1"/>
    <row r="18916" ht="12" customHeight="1"/>
    <row r="18917" ht="12" customHeight="1"/>
    <row r="18918" ht="12" customHeight="1"/>
    <row r="18919" ht="12" customHeight="1"/>
    <row r="18920" ht="12" customHeight="1"/>
    <row r="18921" ht="12" customHeight="1"/>
    <row r="18922" ht="12" customHeight="1"/>
    <row r="18923" ht="12" customHeight="1"/>
    <row r="18924" ht="12" customHeight="1"/>
    <row r="18925" ht="12" customHeight="1"/>
    <row r="18926" ht="12" customHeight="1"/>
    <row r="18927" ht="12" customHeight="1"/>
    <row r="18928" ht="12" customHeight="1"/>
    <row r="18929" ht="12" customHeight="1"/>
    <row r="18930" ht="12" customHeight="1"/>
    <row r="18931" ht="12" customHeight="1"/>
    <row r="18932" ht="12" customHeight="1"/>
    <row r="18933" ht="12" customHeight="1"/>
    <row r="18934" ht="12" customHeight="1"/>
    <row r="18935" ht="12" customHeight="1"/>
    <row r="18936" ht="12" customHeight="1"/>
    <row r="18937" ht="12" customHeight="1"/>
    <row r="18938" ht="12" customHeight="1"/>
    <row r="18939" ht="12" customHeight="1"/>
    <row r="18940" ht="12" customHeight="1"/>
    <row r="18941" ht="12" customHeight="1"/>
    <row r="18942" ht="12" customHeight="1"/>
    <row r="18943" ht="12" customHeight="1"/>
    <row r="18944" ht="12" customHeight="1"/>
    <row r="18945" ht="12" customHeight="1"/>
    <row r="18946" ht="12" customHeight="1"/>
    <row r="18947" ht="12" customHeight="1"/>
    <row r="18948" ht="12" customHeight="1"/>
    <row r="18949" ht="12" customHeight="1"/>
    <row r="18950" ht="12" customHeight="1"/>
    <row r="18951" ht="12" customHeight="1"/>
    <row r="18952" ht="12" customHeight="1"/>
    <row r="18953" ht="12" customHeight="1"/>
    <row r="18954" ht="12" customHeight="1"/>
    <row r="18955" ht="12" customHeight="1"/>
    <row r="18956" ht="12" customHeight="1"/>
    <row r="18957" ht="12" customHeight="1"/>
    <row r="18958" ht="12" customHeight="1"/>
    <row r="18959" ht="12" customHeight="1"/>
    <row r="18960" ht="12" customHeight="1"/>
    <row r="18961" ht="12" customHeight="1"/>
    <row r="18962" ht="12" customHeight="1"/>
    <row r="18963" ht="12" customHeight="1"/>
    <row r="18964" ht="12" customHeight="1"/>
    <row r="18965" ht="12" customHeight="1"/>
    <row r="18966" ht="12" customHeight="1"/>
    <row r="18967" ht="12" customHeight="1"/>
    <row r="18968" ht="12" customHeight="1"/>
    <row r="18969" ht="12" customHeight="1"/>
    <row r="18970" ht="12" customHeight="1"/>
    <row r="18971" ht="12" customHeight="1"/>
    <row r="18972" ht="12" customHeight="1"/>
    <row r="18973" ht="12" customHeight="1"/>
    <row r="18974" ht="12" customHeight="1"/>
    <row r="18975" ht="12" customHeight="1"/>
    <row r="18976" ht="12" customHeight="1"/>
    <row r="18977" ht="12" customHeight="1"/>
    <row r="18978" ht="12" customHeight="1"/>
    <row r="18979" ht="12" customHeight="1"/>
    <row r="18980" ht="12" customHeight="1"/>
    <row r="18981" ht="12" customHeight="1"/>
    <row r="18982" ht="12" customHeight="1"/>
    <row r="18983" ht="12" customHeight="1"/>
    <row r="18984" ht="12" customHeight="1"/>
    <row r="18985" ht="12" customHeight="1"/>
    <row r="18986" ht="12" customHeight="1"/>
    <row r="18987" ht="12" customHeight="1"/>
    <row r="18988" ht="12" customHeight="1"/>
    <row r="18989" ht="12" customHeight="1"/>
    <row r="18990" ht="12" customHeight="1"/>
    <row r="18991" ht="12" customHeight="1"/>
    <row r="18992" ht="12" customHeight="1"/>
    <row r="18993" ht="12" customHeight="1"/>
    <row r="18994" ht="12" customHeight="1"/>
    <row r="18995" ht="12" customHeight="1"/>
    <row r="18996" ht="12" customHeight="1"/>
    <row r="18997" ht="12" customHeight="1"/>
    <row r="18998" ht="12" customHeight="1"/>
    <row r="18999" ht="12" customHeight="1"/>
    <row r="19000" ht="12" customHeight="1"/>
    <row r="19001" ht="12" customHeight="1"/>
    <row r="19002" ht="12" customHeight="1"/>
    <row r="19003" ht="12" customHeight="1"/>
    <row r="19004" ht="12" customHeight="1"/>
    <row r="19005" ht="12" customHeight="1"/>
    <row r="19006" ht="12" customHeight="1"/>
    <row r="19007" ht="12" customHeight="1"/>
    <row r="19008" ht="12" customHeight="1"/>
    <row r="19009" ht="12" customHeight="1"/>
    <row r="19010" ht="12" customHeight="1"/>
    <row r="19011" ht="12" customHeight="1"/>
    <row r="19012" ht="12" customHeight="1"/>
    <row r="19013" ht="12" customHeight="1"/>
    <row r="19014" ht="12" customHeight="1"/>
    <row r="19015" ht="12" customHeight="1"/>
    <row r="19016" ht="12" customHeight="1"/>
    <row r="19017" ht="12" customHeight="1"/>
    <row r="19018" ht="12" customHeight="1"/>
    <row r="19019" ht="12" customHeight="1"/>
    <row r="19020" ht="12" customHeight="1"/>
    <row r="19021" ht="12" customHeight="1"/>
    <row r="19022" ht="12" customHeight="1"/>
    <row r="19023" ht="12" customHeight="1"/>
    <row r="19024" ht="12" customHeight="1"/>
    <row r="19025" ht="12" customHeight="1"/>
    <row r="19026" ht="12" customHeight="1"/>
    <row r="19027" ht="12" customHeight="1"/>
    <row r="19028" ht="12" customHeight="1"/>
    <row r="19029" ht="12" customHeight="1"/>
    <row r="19030" ht="12" customHeight="1"/>
    <row r="19031" ht="12" customHeight="1"/>
    <row r="19032" ht="12" customHeight="1"/>
    <row r="19033" ht="12" customHeight="1"/>
    <row r="19034" ht="12" customHeight="1"/>
    <row r="19035" ht="12" customHeight="1"/>
    <row r="19036" ht="12" customHeight="1"/>
    <row r="19037" ht="12" customHeight="1"/>
    <row r="19038" ht="12" customHeight="1"/>
    <row r="19039" ht="12" customHeight="1"/>
    <row r="19040" ht="12" customHeight="1"/>
    <row r="19041" ht="12" customHeight="1"/>
    <row r="19042" ht="12" customHeight="1"/>
    <row r="19043" ht="12" customHeight="1"/>
    <row r="19044" ht="12" customHeight="1"/>
    <row r="19045" ht="12" customHeight="1"/>
    <row r="19046" ht="12" customHeight="1"/>
    <row r="19047" ht="12" customHeight="1"/>
    <row r="19048" ht="12" customHeight="1"/>
    <row r="19049" ht="12" customHeight="1"/>
    <row r="19050" ht="12" customHeight="1"/>
    <row r="19051" ht="12" customHeight="1"/>
    <row r="19052" ht="12" customHeight="1"/>
    <row r="19053" ht="12" customHeight="1"/>
    <row r="19054" ht="12" customHeight="1"/>
    <row r="19055" ht="12" customHeight="1"/>
    <row r="19056" ht="12" customHeight="1"/>
    <row r="19057" ht="12" customHeight="1"/>
    <row r="19058" ht="12" customHeight="1"/>
    <row r="19059" ht="12" customHeight="1"/>
    <row r="19060" ht="12" customHeight="1"/>
    <row r="19061" ht="12" customHeight="1"/>
    <row r="19062" ht="12" customHeight="1"/>
    <row r="19063" ht="12" customHeight="1"/>
    <row r="19064" ht="12" customHeight="1"/>
    <row r="19065" ht="12" customHeight="1"/>
    <row r="19066" ht="12" customHeight="1"/>
    <row r="19067" ht="12" customHeight="1"/>
    <row r="19068" ht="12" customHeight="1"/>
    <row r="19069" ht="12" customHeight="1"/>
    <row r="19070" ht="12" customHeight="1"/>
    <row r="19071" ht="12" customHeight="1"/>
    <row r="19072" ht="12" customHeight="1"/>
    <row r="19073" ht="12" customHeight="1"/>
    <row r="19074" ht="12" customHeight="1"/>
    <row r="19075" ht="12" customHeight="1"/>
    <row r="19076" ht="12" customHeight="1"/>
    <row r="19077" ht="12" customHeight="1"/>
    <row r="19078" ht="12" customHeight="1"/>
    <row r="19079" ht="12" customHeight="1"/>
    <row r="19080" ht="12" customHeight="1"/>
    <row r="19081" ht="12" customHeight="1"/>
    <row r="19082" ht="12" customHeight="1"/>
    <row r="19083" ht="12" customHeight="1"/>
    <row r="19084" ht="12" customHeight="1"/>
    <row r="19085" ht="12" customHeight="1"/>
    <row r="19086" ht="12" customHeight="1"/>
    <row r="19087" ht="12" customHeight="1"/>
    <row r="19088" ht="12" customHeight="1"/>
    <row r="19089" ht="12" customHeight="1"/>
    <row r="19090" ht="12" customHeight="1"/>
    <row r="19091" ht="12" customHeight="1"/>
    <row r="19092" ht="12" customHeight="1"/>
    <row r="19093" ht="12" customHeight="1"/>
    <row r="19094" ht="12" customHeight="1"/>
    <row r="19095" ht="12" customHeight="1"/>
    <row r="19096" ht="12" customHeight="1"/>
    <row r="19097" ht="12" customHeight="1"/>
    <row r="19098" ht="12" customHeight="1"/>
    <row r="19099" ht="12" customHeight="1"/>
    <row r="19100" ht="12" customHeight="1"/>
    <row r="19101" ht="12" customHeight="1"/>
    <row r="19102" ht="12" customHeight="1"/>
    <row r="19103" ht="12" customHeight="1"/>
    <row r="19104" ht="12" customHeight="1"/>
    <row r="19105" ht="12" customHeight="1"/>
    <row r="19106" ht="12" customHeight="1"/>
    <row r="19107" ht="12" customHeight="1"/>
    <row r="19108" ht="12" customHeight="1"/>
    <row r="19109" ht="12" customHeight="1"/>
    <row r="19110" ht="12" customHeight="1"/>
    <row r="19111" ht="12" customHeight="1"/>
    <row r="19112" ht="12" customHeight="1"/>
    <row r="19113" ht="12" customHeight="1"/>
    <row r="19114" ht="12" customHeight="1"/>
    <row r="19115" ht="12" customHeight="1"/>
    <row r="19116" ht="12" customHeight="1"/>
    <row r="19117" ht="12" customHeight="1"/>
    <row r="19118" ht="12" customHeight="1"/>
    <row r="19119" ht="12" customHeight="1"/>
    <row r="19120" ht="12" customHeight="1"/>
    <row r="19121" ht="12" customHeight="1"/>
    <row r="19122" ht="12" customHeight="1"/>
    <row r="19123" ht="12" customHeight="1"/>
    <row r="19124" ht="12" customHeight="1"/>
    <row r="19125" ht="12" customHeight="1"/>
    <row r="19126" ht="12" customHeight="1"/>
    <row r="19127" ht="12" customHeight="1"/>
    <row r="19128" ht="12" customHeight="1"/>
    <row r="19129" ht="12" customHeight="1"/>
    <row r="19130" ht="12" customHeight="1"/>
    <row r="19131" ht="12" customHeight="1"/>
    <row r="19132" ht="12" customHeight="1"/>
    <row r="19133" ht="12" customHeight="1"/>
    <row r="19134" ht="12" customHeight="1"/>
    <row r="19135" ht="12" customHeight="1"/>
    <row r="19136" ht="12" customHeight="1"/>
    <row r="19137" ht="12" customHeight="1"/>
    <row r="19138" ht="12" customHeight="1"/>
    <row r="19139" ht="12" customHeight="1"/>
    <row r="19140" ht="12" customHeight="1"/>
    <row r="19141" ht="12" customHeight="1"/>
    <row r="19142" ht="12" customHeight="1"/>
    <row r="19143" ht="12" customHeight="1"/>
    <row r="19144" ht="12" customHeight="1"/>
    <row r="19145" ht="12" customHeight="1"/>
    <row r="19146" ht="12" customHeight="1"/>
    <row r="19147" ht="12" customHeight="1"/>
    <row r="19148" ht="12" customHeight="1"/>
    <row r="19149" ht="12" customHeight="1"/>
    <row r="19150" ht="12" customHeight="1"/>
    <row r="19151" ht="12" customHeight="1"/>
    <row r="19152" ht="12" customHeight="1"/>
    <row r="19153" ht="12" customHeight="1"/>
    <row r="19154" ht="12" customHeight="1"/>
    <row r="19155" ht="12" customHeight="1"/>
    <row r="19156" ht="12" customHeight="1"/>
    <row r="19157" ht="12" customHeight="1"/>
    <row r="19158" ht="12" customHeight="1"/>
    <row r="19159" ht="12" customHeight="1"/>
    <row r="19160" ht="12" customHeight="1"/>
    <row r="19161" ht="12" customHeight="1"/>
    <row r="19162" ht="12" customHeight="1"/>
    <row r="19163" ht="12" customHeight="1"/>
    <row r="19164" ht="12" customHeight="1"/>
    <row r="19165" ht="12" customHeight="1"/>
    <row r="19166" ht="12" customHeight="1"/>
    <row r="19167" ht="12" customHeight="1"/>
    <row r="19168" ht="12" customHeight="1"/>
    <row r="19169" ht="12" customHeight="1"/>
    <row r="19170" ht="12" customHeight="1"/>
    <row r="19171" ht="12" customHeight="1"/>
    <row r="19172" ht="12" customHeight="1"/>
    <row r="19173" ht="12" customHeight="1"/>
    <row r="19174" ht="12" customHeight="1"/>
    <row r="19175" ht="12" customHeight="1"/>
    <row r="19176" ht="12" customHeight="1"/>
    <row r="19177" ht="12" customHeight="1"/>
    <row r="19178" ht="12" customHeight="1"/>
    <row r="19179" ht="12" customHeight="1"/>
    <row r="19180" ht="12" customHeight="1"/>
    <row r="19181" ht="12" customHeight="1"/>
    <row r="19182" ht="12" customHeight="1"/>
    <row r="19183" ht="12" customHeight="1"/>
    <row r="19184" ht="12" customHeight="1"/>
    <row r="19185" ht="12" customHeight="1"/>
    <row r="19186" ht="12" customHeight="1"/>
    <row r="19187" ht="12" customHeight="1"/>
    <row r="19188" ht="12" customHeight="1"/>
    <row r="19189" ht="12" customHeight="1"/>
    <row r="19190" ht="12" customHeight="1"/>
    <row r="19191" ht="12" customHeight="1"/>
    <row r="19192" ht="12" customHeight="1"/>
    <row r="19193" ht="12" customHeight="1"/>
    <row r="19194" ht="12" customHeight="1"/>
    <row r="19195" ht="12" customHeight="1"/>
    <row r="19196" ht="12" customHeight="1"/>
    <row r="19197" ht="12" customHeight="1"/>
    <row r="19198" ht="12" customHeight="1"/>
    <row r="19199" ht="12" customHeight="1"/>
    <row r="19200" ht="12" customHeight="1"/>
    <row r="19201" ht="12" customHeight="1"/>
    <row r="19202" ht="12" customHeight="1"/>
    <row r="19203" ht="12" customHeight="1"/>
    <row r="19204" ht="12" customHeight="1"/>
    <row r="19205" ht="12" customHeight="1"/>
    <row r="19206" ht="12" customHeight="1"/>
    <row r="19207" ht="12" customHeight="1"/>
    <row r="19208" ht="12" customHeight="1"/>
    <row r="19209" ht="12" customHeight="1"/>
    <row r="19210" ht="12" customHeight="1"/>
    <row r="19211" ht="12" customHeight="1"/>
    <row r="19212" ht="12" customHeight="1"/>
    <row r="19213" ht="12" customHeight="1"/>
    <row r="19214" ht="12" customHeight="1"/>
    <row r="19215" ht="12" customHeight="1"/>
    <row r="19216" ht="12" customHeight="1"/>
    <row r="19217" ht="12" customHeight="1"/>
    <row r="19218" ht="12" customHeight="1"/>
    <row r="19219" ht="12" customHeight="1"/>
    <row r="19220" ht="12" customHeight="1"/>
    <row r="19221" ht="12" customHeight="1"/>
    <row r="19222" ht="12" customHeight="1"/>
    <row r="19223" ht="12" customHeight="1"/>
    <row r="19224" ht="12" customHeight="1"/>
    <row r="19225" ht="12" customHeight="1"/>
    <row r="19226" ht="12" customHeight="1"/>
    <row r="19227" ht="12" customHeight="1"/>
    <row r="19228" ht="12" customHeight="1"/>
    <row r="19229" ht="12" customHeight="1"/>
    <row r="19230" ht="12" customHeight="1"/>
    <row r="19231" ht="12" customHeight="1"/>
    <row r="19232" ht="12" customHeight="1"/>
    <row r="19233" ht="12" customHeight="1"/>
    <row r="19234" ht="12" customHeight="1"/>
    <row r="19235" ht="12" customHeight="1"/>
    <row r="19236" ht="12" customHeight="1"/>
    <row r="19237" ht="12" customHeight="1"/>
    <row r="19238" ht="12" customHeight="1"/>
    <row r="19239" ht="12" customHeight="1"/>
    <row r="19240" ht="12" customHeight="1"/>
    <row r="19241" ht="12" customHeight="1"/>
    <row r="19242" ht="12" customHeight="1"/>
    <row r="19243" ht="12" customHeight="1"/>
    <row r="19244" ht="12" customHeight="1"/>
    <row r="19245" ht="12" customHeight="1"/>
    <row r="19246" ht="12" customHeight="1"/>
    <row r="19247" ht="12" customHeight="1"/>
    <row r="19248" ht="12" customHeight="1"/>
    <row r="19249" ht="12" customHeight="1"/>
    <row r="19250" ht="12" customHeight="1"/>
    <row r="19251" ht="12" customHeight="1"/>
    <row r="19252" ht="12" customHeight="1"/>
    <row r="19253" ht="12" customHeight="1"/>
    <row r="19254" ht="12" customHeight="1"/>
    <row r="19255" ht="12" customHeight="1"/>
    <row r="19256" ht="12" customHeight="1"/>
    <row r="19257" ht="12" customHeight="1"/>
    <row r="19258" ht="12" customHeight="1"/>
    <row r="19259" ht="12" customHeight="1"/>
    <row r="19260" ht="12" customHeight="1"/>
    <row r="19261" ht="12" customHeight="1"/>
    <row r="19262" ht="12" customHeight="1"/>
    <row r="19263" ht="12" customHeight="1"/>
    <row r="19264" ht="12" customHeight="1"/>
    <row r="19265" ht="12" customHeight="1"/>
    <row r="19266" ht="12" customHeight="1"/>
    <row r="19267" ht="12" customHeight="1"/>
    <row r="19268" ht="12" customHeight="1"/>
    <row r="19269" ht="12" customHeight="1"/>
    <row r="19270" ht="12" customHeight="1"/>
    <row r="19271" ht="12" customHeight="1"/>
    <row r="19272" ht="12" customHeight="1"/>
    <row r="19273" ht="12" customHeight="1"/>
    <row r="19274" ht="12" customHeight="1"/>
    <row r="19275" ht="12" customHeight="1"/>
    <row r="19276" ht="12" customHeight="1"/>
    <row r="19277" ht="12" customHeight="1"/>
    <row r="19278" ht="12" customHeight="1"/>
    <row r="19279" ht="12" customHeight="1"/>
    <row r="19280" ht="12" customHeight="1"/>
    <row r="19281" ht="12" customHeight="1"/>
    <row r="19282" ht="12" customHeight="1"/>
    <row r="19283" ht="12" customHeight="1"/>
    <row r="19284" ht="12" customHeight="1"/>
    <row r="19285" ht="12" customHeight="1"/>
    <row r="19286" ht="12" customHeight="1"/>
    <row r="19287" ht="12" customHeight="1"/>
    <row r="19288" ht="12" customHeight="1"/>
    <row r="19289" ht="12" customHeight="1"/>
    <row r="19290" ht="12" customHeight="1"/>
    <row r="19291" ht="12" customHeight="1"/>
    <row r="19292" ht="12" customHeight="1"/>
    <row r="19293" ht="12" customHeight="1"/>
    <row r="19294" ht="12" customHeight="1"/>
    <row r="19295" ht="12" customHeight="1"/>
    <row r="19296" ht="12" customHeight="1"/>
    <row r="19297" ht="12" customHeight="1"/>
    <row r="19298" ht="12" customHeight="1"/>
    <row r="19299" ht="12" customHeight="1"/>
    <row r="19300" ht="12" customHeight="1"/>
    <row r="19301" ht="12" customHeight="1"/>
    <row r="19302" ht="12" customHeight="1"/>
    <row r="19303" ht="12" customHeight="1"/>
    <row r="19304" ht="12" customHeight="1"/>
    <row r="19305" ht="12" customHeight="1"/>
    <row r="19306" ht="12" customHeight="1"/>
    <row r="19307" ht="12" customHeight="1"/>
    <row r="19308" ht="12" customHeight="1"/>
    <row r="19309" ht="12" customHeight="1"/>
    <row r="19310" ht="12" customHeight="1"/>
    <row r="19311" ht="12" customHeight="1"/>
    <row r="19312" ht="12" customHeight="1"/>
    <row r="19313" ht="12" customHeight="1"/>
    <row r="19314" ht="12" customHeight="1"/>
    <row r="19315" ht="12" customHeight="1"/>
    <row r="19316" ht="12" customHeight="1"/>
    <row r="19317" ht="12" customHeight="1"/>
    <row r="19318" ht="12" customHeight="1"/>
    <row r="19319" ht="12" customHeight="1"/>
    <row r="19320" ht="12" customHeight="1"/>
    <row r="19321" ht="12" customHeight="1"/>
    <row r="19322" ht="12" customHeight="1"/>
    <row r="19323" ht="12" customHeight="1"/>
    <row r="19324" ht="12" customHeight="1"/>
    <row r="19325" ht="12" customHeight="1"/>
    <row r="19326" ht="12" customHeight="1"/>
    <row r="19327" ht="12" customHeight="1"/>
    <row r="19328" ht="12" customHeight="1"/>
    <row r="19329" ht="12" customHeight="1"/>
    <row r="19330" ht="12" customHeight="1"/>
    <row r="19331" ht="12" customHeight="1"/>
    <row r="19332" ht="12" customHeight="1"/>
    <row r="19333" ht="12" customHeight="1"/>
    <row r="19334" ht="12" customHeight="1"/>
    <row r="19335" ht="12" customHeight="1"/>
    <row r="19336" ht="12" customHeight="1"/>
    <row r="19337" ht="12" customHeight="1"/>
    <row r="19338" ht="12" customHeight="1"/>
    <row r="19339" ht="12" customHeight="1"/>
    <row r="19340" ht="12" customHeight="1"/>
    <row r="19341" ht="12" customHeight="1"/>
    <row r="19342" ht="12" customHeight="1"/>
    <row r="19343" ht="12" customHeight="1"/>
    <row r="19344" ht="12" customHeight="1"/>
    <row r="19345" ht="12" customHeight="1"/>
    <row r="19346" ht="12" customHeight="1"/>
    <row r="19347" ht="12" customHeight="1"/>
    <row r="19348" ht="12" customHeight="1"/>
    <row r="19349" ht="12" customHeight="1"/>
    <row r="19350" ht="12" customHeight="1"/>
    <row r="19351" ht="12" customHeight="1"/>
    <row r="19352" ht="12" customHeight="1"/>
    <row r="19353" ht="12" customHeight="1"/>
    <row r="19354" ht="12" customHeight="1"/>
    <row r="19355" ht="12" customHeight="1"/>
    <row r="19356" ht="12" customHeight="1"/>
    <row r="19357" ht="12" customHeight="1"/>
    <row r="19358" ht="12" customHeight="1"/>
    <row r="19359" ht="12" customHeight="1"/>
    <row r="19360" ht="12" customHeight="1"/>
    <row r="19361" ht="12" customHeight="1"/>
    <row r="19362" ht="12" customHeight="1"/>
    <row r="19363" ht="12" customHeight="1"/>
    <row r="19364" ht="12" customHeight="1"/>
    <row r="19365" ht="12" customHeight="1"/>
    <row r="19366" ht="12" customHeight="1"/>
    <row r="19367" ht="12" customHeight="1"/>
    <row r="19368" ht="12" customHeight="1"/>
    <row r="19369" ht="12" customHeight="1"/>
    <row r="19370" ht="12" customHeight="1"/>
    <row r="19371" ht="12" customHeight="1"/>
    <row r="19372" ht="12" customHeight="1"/>
    <row r="19373" ht="12" customHeight="1"/>
    <row r="19374" ht="12" customHeight="1"/>
    <row r="19375" ht="12" customHeight="1"/>
    <row r="19376" ht="12" customHeight="1"/>
    <row r="19377" ht="12" customHeight="1"/>
    <row r="19378" ht="12" customHeight="1"/>
    <row r="19379" ht="12" customHeight="1"/>
    <row r="19380" ht="12" customHeight="1"/>
    <row r="19381" ht="12" customHeight="1"/>
    <row r="19382" ht="12" customHeight="1"/>
    <row r="19383" ht="12" customHeight="1"/>
    <row r="19384" ht="12" customHeight="1"/>
    <row r="19385" ht="12" customHeight="1"/>
    <row r="19386" ht="12" customHeight="1"/>
    <row r="19387" ht="12" customHeight="1"/>
    <row r="19388" ht="12" customHeight="1"/>
    <row r="19389" ht="12" customHeight="1"/>
    <row r="19390" ht="12" customHeight="1"/>
    <row r="19391" ht="12" customHeight="1"/>
    <row r="19392" ht="12" customHeight="1"/>
    <row r="19393" ht="12" customHeight="1"/>
    <row r="19394" ht="12" customHeight="1"/>
    <row r="19395" ht="12" customHeight="1"/>
    <row r="19396" ht="12" customHeight="1"/>
    <row r="19397" ht="12" customHeight="1"/>
    <row r="19398" ht="12" customHeight="1"/>
    <row r="19399" ht="12" customHeight="1"/>
    <row r="19400" ht="12" customHeight="1"/>
    <row r="19401" ht="12" customHeight="1"/>
    <row r="19402" ht="12" customHeight="1"/>
    <row r="19403" ht="12" customHeight="1"/>
    <row r="19404" ht="12" customHeight="1"/>
    <row r="19405" ht="12" customHeight="1"/>
    <row r="19406" ht="12" customHeight="1"/>
    <row r="19407" ht="12" customHeight="1"/>
    <row r="19408" ht="12" customHeight="1"/>
    <row r="19409" ht="12" customHeight="1"/>
    <row r="19410" ht="12" customHeight="1"/>
    <row r="19411" ht="12" customHeight="1"/>
    <row r="19412" ht="12" customHeight="1"/>
    <row r="19413" ht="12" customHeight="1"/>
    <row r="19414" ht="12" customHeight="1"/>
    <row r="19415" ht="12" customHeight="1"/>
    <row r="19416" ht="12" customHeight="1"/>
    <row r="19417" ht="12" customHeight="1"/>
    <row r="19418" ht="12" customHeight="1"/>
    <row r="19419" ht="12" customHeight="1"/>
    <row r="19420" ht="12" customHeight="1"/>
    <row r="19421" ht="12" customHeight="1"/>
    <row r="19422" ht="12" customHeight="1"/>
    <row r="19423" ht="12" customHeight="1"/>
    <row r="19424" ht="12" customHeight="1"/>
    <row r="19425" ht="12" customHeight="1"/>
    <row r="19426" ht="12" customHeight="1"/>
    <row r="19427" ht="12" customHeight="1"/>
    <row r="19428" ht="12" customHeight="1"/>
    <row r="19429" ht="12" customHeight="1"/>
    <row r="19430" ht="12" customHeight="1"/>
    <row r="19431" ht="12" customHeight="1"/>
    <row r="19432" ht="12" customHeight="1"/>
    <row r="19433" ht="12" customHeight="1"/>
    <row r="19434" ht="12" customHeight="1"/>
    <row r="19435" ht="12" customHeight="1"/>
    <row r="19436" ht="12" customHeight="1"/>
    <row r="19437" ht="12" customHeight="1"/>
    <row r="19438" ht="12" customHeight="1"/>
    <row r="19439" ht="12" customHeight="1"/>
    <row r="19440" ht="12" customHeight="1"/>
    <row r="19441" ht="12" customHeight="1"/>
    <row r="19442" ht="12" customHeight="1"/>
    <row r="19443" ht="12" customHeight="1"/>
    <row r="19444" ht="12" customHeight="1"/>
    <row r="19445" ht="12" customHeight="1"/>
    <row r="19446" ht="12" customHeight="1"/>
    <row r="19447" ht="12" customHeight="1"/>
    <row r="19448" ht="12" customHeight="1"/>
    <row r="19449" ht="12" customHeight="1"/>
    <row r="19450" ht="12" customHeight="1"/>
    <row r="19451" ht="12" customHeight="1"/>
    <row r="19452" ht="12" customHeight="1"/>
    <row r="19453" ht="12" customHeight="1"/>
    <row r="19454" ht="12" customHeight="1"/>
    <row r="19455" ht="12" customHeight="1"/>
    <row r="19456" ht="12" customHeight="1"/>
    <row r="19457" ht="12" customHeight="1"/>
    <row r="19458" ht="12" customHeight="1"/>
    <row r="19459" ht="12" customHeight="1"/>
    <row r="19460" ht="12" customHeight="1"/>
    <row r="19461" ht="12" customHeight="1"/>
    <row r="19462" ht="12" customHeight="1"/>
    <row r="19463" ht="12" customHeight="1"/>
    <row r="19464" ht="12" customHeight="1"/>
    <row r="19465" ht="12" customHeight="1"/>
    <row r="19466" ht="12" customHeight="1"/>
    <row r="19467" ht="12" customHeight="1"/>
    <row r="19468" ht="12" customHeight="1"/>
    <row r="19469" ht="12" customHeight="1"/>
    <row r="19470" ht="12" customHeight="1"/>
    <row r="19471" ht="12" customHeight="1"/>
    <row r="19472" ht="12" customHeight="1"/>
    <row r="19473" ht="12" customHeight="1"/>
    <row r="19474" ht="12" customHeight="1"/>
    <row r="19475" ht="12" customHeight="1"/>
    <row r="19476" ht="12" customHeight="1"/>
    <row r="19477" ht="12" customHeight="1"/>
    <row r="19478" ht="12" customHeight="1"/>
    <row r="19479" ht="12" customHeight="1"/>
    <row r="19480" ht="12" customHeight="1"/>
    <row r="19481" ht="12" customHeight="1"/>
    <row r="19482" ht="12" customHeight="1"/>
    <row r="19483" ht="12" customHeight="1"/>
    <row r="19484" ht="12" customHeight="1"/>
    <row r="19485" ht="12" customHeight="1"/>
    <row r="19486" ht="12" customHeight="1"/>
    <row r="19487" ht="12" customHeight="1"/>
    <row r="19488" ht="12" customHeight="1"/>
    <row r="19489" ht="12" customHeight="1"/>
    <row r="19490" ht="12" customHeight="1"/>
    <row r="19491" ht="12" customHeight="1"/>
    <row r="19492" ht="12" customHeight="1"/>
    <row r="19493" ht="12" customHeight="1"/>
    <row r="19494" ht="12" customHeight="1"/>
    <row r="19495" ht="12" customHeight="1"/>
    <row r="19496" ht="12" customHeight="1"/>
    <row r="19497" ht="12" customHeight="1"/>
    <row r="19498" ht="12" customHeight="1"/>
    <row r="19499" ht="12" customHeight="1"/>
    <row r="19500" ht="12" customHeight="1"/>
    <row r="19501" ht="12" customHeight="1"/>
    <row r="19502" ht="12" customHeight="1"/>
    <row r="19503" ht="12" customHeight="1"/>
    <row r="19504" ht="12" customHeight="1"/>
    <row r="19505" ht="12" customHeight="1"/>
    <row r="19506" ht="12" customHeight="1"/>
    <row r="19507" ht="12" customHeight="1"/>
    <row r="19508" ht="12" customHeight="1"/>
    <row r="19509" ht="12" customHeight="1"/>
    <row r="19510" ht="12" customHeight="1"/>
    <row r="19511" ht="12" customHeight="1"/>
    <row r="19512" ht="12" customHeight="1"/>
    <row r="19513" ht="12" customHeight="1"/>
    <row r="19514" ht="12" customHeight="1"/>
    <row r="19515" ht="12" customHeight="1"/>
    <row r="19516" ht="12" customHeight="1"/>
    <row r="19517" ht="12" customHeight="1"/>
    <row r="19518" ht="12" customHeight="1"/>
    <row r="19519" ht="12" customHeight="1"/>
    <row r="19520" ht="12" customHeight="1"/>
    <row r="19521" ht="12" customHeight="1"/>
    <row r="19522" ht="12" customHeight="1"/>
    <row r="19523" ht="12" customHeight="1"/>
    <row r="19524" ht="12" customHeight="1"/>
    <row r="19525" ht="12" customHeight="1"/>
    <row r="19526" ht="12" customHeight="1"/>
    <row r="19527" ht="12" customHeight="1"/>
    <row r="19528" ht="12" customHeight="1"/>
    <row r="19529" ht="12" customHeight="1"/>
    <row r="19530" ht="12" customHeight="1"/>
    <row r="19531" ht="12" customHeight="1"/>
    <row r="19532" ht="12" customHeight="1"/>
    <row r="19533" ht="12" customHeight="1"/>
    <row r="19534" ht="12" customHeight="1"/>
    <row r="19535" ht="12" customHeight="1"/>
    <row r="19536" ht="12" customHeight="1"/>
    <row r="19537" ht="12" customHeight="1"/>
    <row r="19538" ht="12" customHeight="1"/>
    <row r="19539" ht="12" customHeight="1"/>
    <row r="19540" ht="12" customHeight="1"/>
    <row r="19541" ht="12" customHeight="1"/>
    <row r="19542" ht="12" customHeight="1"/>
    <row r="19543" ht="12" customHeight="1"/>
    <row r="19544" ht="12" customHeight="1"/>
    <row r="19545" ht="12" customHeight="1"/>
    <row r="19546" ht="12" customHeight="1"/>
    <row r="19547" ht="12" customHeight="1"/>
    <row r="19548" ht="12" customHeight="1"/>
    <row r="19549" ht="12" customHeight="1"/>
    <row r="19550" ht="12" customHeight="1"/>
    <row r="19551" ht="12" customHeight="1"/>
    <row r="19552" ht="12" customHeight="1"/>
    <row r="19553" ht="12" customHeight="1"/>
    <row r="19554" ht="12" customHeight="1"/>
    <row r="19555" ht="12" customHeight="1"/>
    <row r="19556" ht="12" customHeight="1"/>
    <row r="19557" ht="12" customHeight="1"/>
    <row r="19558" ht="12" customHeight="1"/>
    <row r="19559" ht="12" customHeight="1"/>
    <row r="19560" ht="12" customHeight="1"/>
    <row r="19561" ht="12" customHeight="1"/>
    <row r="19562" ht="12" customHeight="1"/>
    <row r="19563" ht="12" customHeight="1"/>
    <row r="19564" ht="12" customHeight="1"/>
    <row r="19565" ht="12" customHeight="1"/>
    <row r="19566" ht="12" customHeight="1"/>
    <row r="19567" ht="12" customHeight="1"/>
    <row r="19568" ht="12" customHeight="1"/>
    <row r="19569" ht="12" customHeight="1"/>
    <row r="19570" ht="12" customHeight="1"/>
    <row r="19571" ht="12" customHeight="1"/>
    <row r="19572" ht="12" customHeight="1"/>
    <row r="19573" ht="12" customHeight="1"/>
    <row r="19574" ht="12" customHeight="1"/>
    <row r="19575" ht="12" customHeight="1"/>
    <row r="19576" ht="12" customHeight="1"/>
    <row r="19577" ht="12" customHeight="1"/>
    <row r="19578" ht="12" customHeight="1"/>
    <row r="19579" ht="12" customHeight="1"/>
    <row r="19580" ht="12" customHeight="1"/>
    <row r="19581" ht="12" customHeight="1"/>
    <row r="19582" ht="12" customHeight="1"/>
    <row r="19583" ht="12" customHeight="1"/>
    <row r="19584" ht="12" customHeight="1"/>
    <row r="19585" ht="12" customHeight="1"/>
    <row r="19586" ht="12" customHeight="1"/>
    <row r="19587" ht="12" customHeight="1"/>
    <row r="19588" ht="12" customHeight="1"/>
    <row r="19589" ht="12" customHeight="1"/>
    <row r="19590" ht="12" customHeight="1"/>
    <row r="19591" ht="12" customHeight="1"/>
    <row r="19592" ht="12" customHeight="1"/>
    <row r="19593" ht="12" customHeight="1"/>
    <row r="19594" ht="12" customHeight="1"/>
    <row r="19595" ht="12" customHeight="1"/>
    <row r="19596" ht="12" customHeight="1"/>
    <row r="19597" ht="12" customHeight="1"/>
    <row r="19598" ht="12" customHeight="1"/>
    <row r="19599" ht="12" customHeight="1"/>
    <row r="19600" ht="12" customHeight="1"/>
    <row r="19601" ht="12" customHeight="1"/>
    <row r="19602" ht="12" customHeight="1"/>
    <row r="19603" ht="12" customHeight="1"/>
    <row r="19604" ht="12" customHeight="1"/>
    <row r="19605" ht="12" customHeight="1"/>
    <row r="19606" ht="12" customHeight="1"/>
    <row r="19607" ht="12" customHeight="1"/>
    <row r="19608" ht="12" customHeight="1"/>
    <row r="19609" ht="12" customHeight="1"/>
    <row r="19610" ht="12" customHeight="1"/>
    <row r="19611" ht="12" customHeight="1"/>
    <row r="19612" ht="12" customHeight="1"/>
    <row r="19613" ht="12" customHeight="1"/>
    <row r="19614" ht="12" customHeight="1"/>
    <row r="19615" ht="12" customHeight="1"/>
    <row r="19616" ht="12" customHeight="1"/>
    <row r="19617" ht="12" customHeight="1"/>
    <row r="19618" ht="12" customHeight="1"/>
    <row r="19619" ht="12" customHeight="1"/>
    <row r="19620" ht="12" customHeight="1"/>
    <row r="19621" ht="12" customHeight="1"/>
    <row r="19622" ht="12" customHeight="1"/>
    <row r="19623" ht="12" customHeight="1"/>
    <row r="19624" ht="12" customHeight="1"/>
    <row r="19625" ht="12" customHeight="1"/>
    <row r="19626" ht="12" customHeight="1"/>
    <row r="19627" ht="12" customHeight="1"/>
    <row r="19628" ht="12" customHeight="1"/>
    <row r="19629" ht="12" customHeight="1"/>
    <row r="19630" ht="12" customHeight="1"/>
    <row r="19631" ht="12" customHeight="1"/>
    <row r="19632" ht="12" customHeight="1"/>
    <row r="19633" ht="12" customHeight="1"/>
    <row r="19634" ht="12" customHeight="1"/>
    <row r="19635" ht="12" customHeight="1"/>
    <row r="19636" ht="12" customHeight="1"/>
    <row r="19637" ht="12" customHeight="1"/>
    <row r="19638" ht="12" customHeight="1"/>
    <row r="19639" ht="12" customHeight="1"/>
    <row r="19640" ht="12" customHeight="1"/>
    <row r="19641" ht="12" customHeight="1"/>
    <row r="19642" ht="12" customHeight="1"/>
    <row r="19643" ht="12" customHeight="1"/>
    <row r="19644" ht="12" customHeight="1"/>
    <row r="19645" ht="12" customHeight="1"/>
    <row r="19646" ht="12" customHeight="1"/>
    <row r="19647" ht="12" customHeight="1"/>
    <row r="19648" ht="12" customHeight="1"/>
    <row r="19649" ht="12" customHeight="1"/>
    <row r="19650" ht="12" customHeight="1"/>
    <row r="19651" ht="12" customHeight="1"/>
    <row r="19652" ht="12" customHeight="1"/>
    <row r="19653" ht="12" customHeight="1"/>
    <row r="19654" ht="12" customHeight="1"/>
    <row r="19655" ht="12" customHeight="1"/>
    <row r="19656" ht="12" customHeight="1"/>
    <row r="19657" ht="12" customHeight="1"/>
    <row r="19658" ht="12" customHeight="1"/>
    <row r="19659" ht="12" customHeight="1"/>
    <row r="19660" ht="12" customHeight="1"/>
    <row r="19661" ht="12" customHeight="1"/>
    <row r="19662" ht="12" customHeight="1"/>
    <row r="19663" ht="12" customHeight="1"/>
    <row r="19664" ht="12" customHeight="1"/>
    <row r="19665" ht="12" customHeight="1"/>
    <row r="19666" ht="12" customHeight="1"/>
    <row r="19667" ht="12" customHeight="1"/>
    <row r="19668" ht="12" customHeight="1"/>
    <row r="19669" ht="12" customHeight="1"/>
    <row r="19670" ht="12" customHeight="1"/>
    <row r="19671" ht="12" customHeight="1"/>
    <row r="19672" ht="12" customHeight="1"/>
    <row r="19673" ht="12" customHeight="1"/>
    <row r="19674" ht="12" customHeight="1"/>
    <row r="19675" ht="12" customHeight="1"/>
    <row r="19676" ht="12" customHeight="1"/>
    <row r="19677" ht="12" customHeight="1"/>
    <row r="19678" ht="12" customHeight="1"/>
    <row r="19679" ht="12" customHeight="1"/>
    <row r="19680" ht="12" customHeight="1"/>
    <row r="19681" ht="12" customHeight="1"/>
    <row r="19682" ht="12" customHeight="1"/>
    <row r="19683" ht="12" customHeight="1"/>
    <row r="19684" ht="12" customHeight="1"/>
    <row r="19685" ht="12" customHeight="1"/>
    <row r="19686" ht="12" customHeight="1"/>
    <row r="19687" ht="12" customHeight="1"/>
    <row r="19688" ht="12" customHeight="1"/>
    <row r="19689" ht="12" customHeight="1"/>
    <row r="19690" ht="12" customHeight="1"/>
    <row r="19691" ht="12" customHeight="1"/>
    <row r="19692" ht="12" customHeight="1"/>
    <row r="19693" ht="12" customHeight="1"/>
    <row r="19694" ht="12" customHeight="1"/>
    <row r="19695" ht="12" customHeight="1"/>
    <row r="19696" ht="12" customHeight="1"/>
    <row r="19697" ht="12" customHeight="1"/>
    <row r="19698" ht="12" customHeight="1"/>
    <row r="19699" ht="12" customHeight="1"/>
    <row r="19700" ht="12" customHeight="1"/>
    <row r="19701" ht="12" customHeight="1"/>
    <row r="19702" ht="12" customHeight="1"/>
    <row r="19703" ht="12" customHeight="1"/>
    <row r="19704" ht="12" customHeight="1"/>
    <row r="19705" ht="12" customHeight="1"/>
    <row r="19706" ht="12" customHeight="1"/>
    <row r="19707" ht="12" customHeight="1"/>
    <row r="19708" ht="12" customHeight="1"/>
    <row r="19709" ht="12" customHeight="1"/>
    <row r="19710" ht="12" customHeight="1"/>
    <row r="19711" ht="12" customHeight="1"/>
    <row r="19712" ht="12" customHeight="1"/>
    <row r="19713" ht="12" customHeight="1"/>
    <row r="19714" ht="12" customHeight="1"/>
    <row r="19715" ht="12" customHeight="1"/>
    <row r="19716" ht="12" customHeight="1"/>
    <row r="19717" ht="12" customHeight="1"/>
    <row r="19718" ht="12" customHeight="1"/>
    <row r="19719" ht="12" customHeight="1"/>
    <row r="19720" ht="12" customHeight="1"/>
    <row r="19721" ht="12" customHeight="1"/>
    <row r="19722" ht="12" customHeight="1"/>
    <row r="19723" ht="12" customHeight="1"/>
    <row r="19724" ht="12" customHeight="1"/>
    <row r="19725" ht="12" customHeight="1"/>
    <row r="19726" ht="12" customHeight="1"/>
    <row r="19727" ht="12" customHeight="1"/>
    <row r="19728" ht="12" customHeight="1"/>
    <row r="19729" ht="12" customHeight="1"/>
    <row r="19730" ht="12" customHeight="1"/>
    <row r="19731" ht="12" customHeight="1"/>
    <row r="19732" ht="12" customHeight="1"/>
    <row r="19733" ht="12" customHeight="1"/>
    <row r="19734" ht="12" customHeight="1"/>
    <row r="19735" ht="12" customHeight="1"/>
    <row r="19736" ht="12" customHeight="1"/>
    <row r="19737" ht="12" customHeight="1"/>
    <row r="19738" ht="12" customHeight="1"/>
    <row r="19739" ht="12" customHeight="1"/>
    <row r="19740" ht="12" customHeight="1"/>
    <row r="19741" ht="12" customHeight="1"/>
    <row r="19742" ht="12" customHeight="1"/>
    <row r="19743" ht="12" customHeight="1"/>
    <row r="19744" ht="12" customHeight="1"/>
    <row r="19745" ht="12" customHeight="1"/>
    <row r="19746" ht="12" customHeight="1"/>
    <row r="19747" ht="12" customHeight="1"/>
    <row r="19748" ht="12" customHeight="1"/>
    <row r="19749" ht="12" customHeight="1"/>
    <row r="19750" ht="12" customHeight="1"/>
    <row r="19751" ht="12" customHeight="1"/>
    <row r="19752" ht="12" customHeight="1"/>
    <row r="19753" ht="12" customHeight="1"/>
    <row r="19754" ht="12" customHeight="1"/>
    <row r="19755" ht="12" customHeight="1"/>
    <row r="19756" ht="12" customHeight="1"/>
    <row r="19757" ht="12" customHeight="1"/>
    <row r="19758" ht="12" customHeight="1"/>
    <row r="19759" ht="12" customHeight="1"/>
    <row r="19760" ht="12" customHeight="1"/>
    <row r="19761" ht="12" customHeight="1"/>
    <row r="19762" ht="12" customHeight="1"/>
    <row r="19763" ht="12" customHeight="1"/>
    <row r="19764" ht="12" customHeight="1"/>
    <row r="19765" ht="12" customHeight="1"/>
    <row r="19766" ht="12" customHeight="1"/>
    <row r="19767" ht="12" customHeight="1"/>
    <row r="19768" ht="12" customHeight="1"/>
    <row r="19769" ht="12" customHeight="1"/>
    <row r="19770" ht="12" customHeight="1"/>
    <row r="19771" ht="12" customHeight="1"/>
    <row r="19772" ht="12" customHeight="1"/>
    <row r="19773" ht="12" customHeight="1"/>
    <row r="19774" ht="12" customHeight="1"/>
    <row r="19775" ht="12" customHeight="1"/>
    <row r="19776" ht="12" customHeight="1"/>
    <row r="19777" ht="12" customHeight="1"/>
    <row r="19778" ht="12" customHeight="1"/>
    <row r="19779" ht="12" customHeight="1"/>
    <row r="19780" ht="12" customHeight="1"/>
    <row r="19781" ht="12" customHeight="1"/>
    <row r="19782" ht="12" customHeight="1"/>
    <row r="19783" ht="12" customHeight="1"/>
    <row r="19784" ht="12" customHeight="1"/>
    <row r="19785" ht="12" customHeight="1"/>
    <row r="19786" ht="12" customHeight="1"/>
    <row r="19787" ht="12" customHeight="1"/>
    <row r="19788" ht="12" customHeight="1"/>
    <row r="19789" ht="12" customHeight="1"/>
    <row r="19790" ht="12" customHeight="1"/>
    <row r="19791" ht="12" customHeight="1"/>
    <row r="19792" ht="12" customHeight="1"/>
    <row r="19793" ht="12" customHeight="1"/>
    <row r="19794" ht="12" customHeight="1"/>
    <row r="19795" ht="12" customHeight="1"/>
    <row r="19796" ht="12" customHeight="1"/>
    <row r="19797" ht="12" customHeight="1"/>
    <row r="19798" ht="12" customHeight="1"/>
    <row r="19799" ht="12" customHeight="1"/>
    <row r="19800" ht="12" customHeight="1"/>
    <row r="19801" ht="12" customHeight="1"/>
    <row r="19802" ht="12" customHeight="1"/>
    <row r="19803" ht="12" customHeight="1"/>
    <row r="19804" ht="12" customHeight="1"/>
    <row r="19805" ht="12" customHeight="1"/>
    <row r="19806" ht="12" customHeight="1"/>
    <row r="19807" ht="12" customHeight="1"/>
    <row r="19808" ht="12" customHeight="1"/>
    <row r="19809" ht="12" customHeight="1"/>
    <row r="19810" ht="12" customHeight="1"/>
    <row r="19811" ht="12" customHeight="1"/>
    <row r="19812" ht="12" customHeight="1"/>
    <row r="19813" ht="12" customHeight="1"/>
    <row r="19814" ht="12" customHeight="1"/>
    <row r="19815" ht="12" customHeight="1"/>
    <row r="19816" ht="12" customHeight="1"/>
    <row r="19817" ht="12" customHeight="1"/>
    <row r="19818" ht="12" customHeight="1"/>
    <row r="19819" ht="12" customHeight="1"/>
    <row r="19820" ht="12" customHeight="1"/>
    <row r="19821" ht="12" customHeight="1"/>
    <row r="19822" ht="12" customHeight="1"/>
    <row r="19823" ht="12" customHeight="1"/>
    <row r="19824" ht="12" customHeight="1"/>
    <row r="19825" ht="12" customHeight="1"/>
    <row r="19826" ht="12" customHeight="1"/>
    <row r="19827" ht="12" customHeight="1"/>
    <row r="19828" ht="12" customHeight="1"/>
    <row r="19829" ht="12" customHeight="1"/>
    <row r="19830" ht="12" customHeight="1"/>
    <row r="19831" ht="12" customHeight="1"/>
    <row r="19832" ht="12" customHeight="1"/>
    <row r="19833" ht="12" customHeight="1"/>
    <row r="19834" ht="12" customHeight="1"/>
    <row r="19835" ht="12" customHeight="1"/>
    <row r="19836" ht="12" customHeight="1"/>
    <row r="19837" ht="12" customHeight="1"/>
    <row r="19838" ht="12" customHeight="1"/>
    <row r="19839" ht="12" customHeight="1"/>
    <row r="19840" ht="12" customHeight="1"/>
    <row r="19841" ht="12" customHeight="1"/>
    <row r="19842" ht="12" customHeight="1"/>
    <row r="19843" ht="12" customHeight="1"/>
    <row r="19844" ht="12" customHeight="1"/>
    <row r="19845" ht="12" customHeight="1"/>
    <row r="19846" ht="12" customHeight="1"/>
    <row r="19847" ht="12" customHeight="1"/>
    <row r="19848" ht="12" customHeight="1"/>
    <row r="19849" ht="12" customHeight="1"/>
    <row r="19850" ht="12" customHeight="1"/>
    <row r="19851" ht="12" customHeight="1"/>
    <row r="19852" ht="12" customHeight="1"/>
    <row r="19853" ht="12" customHeight="1"/>
    <row r="19854" ht="12" customHeight="1"/>
    <row r="19855" ht="12" customHeight="1"/>
    <row r="19856" ht="12" customHeight="1"/>
    <row r="19857" ht="12" customHeight="1"/>
    <row r="19858" ht="12" customHeight="1"/>
    <row r="19859" ht="12" customHeight="1"/>
    <row r="19860" ht="12" customHeight="1"/>
    <row r="19861" ht="12" customHeight="1"/>
    <row r="19862" ht="12" customHeight="1"/>
    <row r="19863" ht="12" customHeight="1"/>
    <row r="19864" ht="12" customHeight="1"/>
    <row r="19865" ht="12" customHeight="1"/>
    <row r="19866" ht="12" customHeight="1"/>
    <row r="19867" ht="12" customHeight="1"/>
    <row r="19868" ht="12" customHeight="1"/>
    <row r="19869" ht="12" customHeight="1"/>
    <row r="19870" ht="12" customHeight="1"/>
    <row r="19871" ht="12" customHeight="1"/>
    <row r="19872" ht="12" customHeight="1"/>
    <row r="19873" ht="12" customHeight="1"/>
    <row r="19874" ht="12" customHeight="1"/>
    <row r="19875" ht="12" customHeight="1"/>
    <row r="19876" ht="12" customHeight="1"/>
    <row r="19877" ht="12" customHeight="1"/>
    <row r="19878" ht="12" customHeight="1"/>
    <row r="19879" ht="12" customHeight="1"/>
    <row r="19880" ht="12" customHeight="1"/>
    <row r="19881" ht="12" customHeight="1"/>
    <row r="19882" ht="12" customHeight="1"/>
    <row r="19883" ht="12" customHeight="1"/>
    <row r="19884" ht="12" customHeight="1"/>
    <row r="19885" ht="12" customHeight="1"/>
    <row r="19886" ht="12" customHeight="1"/>
    <row r="19887" ht="12" customHeight="1"/>
    <row r="19888" ht="12" customHeight="1"/>
    <row r="19889" ht="12" customHeight="1"/>
    <row r="19890" ht="12" customHeight="1"/>
    <row r="19891" ht="12" customHeight="1"/>
    <row r="19892" ht="12" customHeight="1"/>
    <row r="19893" ht="12" customHeight="1"/>
    <row r="19894" ht="12" customHeight="1"/>
    <row r="19895" ht="12" customHeight="1"/>
    <row r="19896" ht="12" customHeight="1"/>
    <row r="19897" ht="12" customHeight="1"/>
    <row r="19898" ht="12" customHeight="1"/>
    <row r="19899" ht="12" customHeight="1"/>
    <row r="19900" ht="12" customHeight="1"/>
    <row r="19901" ht="12" customHeight="1"/>
    <row r="19902" ht="12" customHeight="1"/>
    <row r="19903" ht="12" customHeight="1"/>
    <row r="19904" ht="12" customHeight="1"/>
    <row r="19905" ht="12" customHeight="1"/>
    <row r="19906" ht="12" customHeight="1"/>
    <row r="19907" ht="12" customHeight="1"/>
    <row r="19908" ht="12" customHeight="1"/>
    <row r="19909" ht="12" customHeight="1"/>
    <row r="19910" ht="12" customHeight="1"/>
    <row r="19911" ht="12" customHeight="1"/>
    <row r="19912" ht="12" customHeight="1"/>
    <row r="19913" ht="12" customHeight="1"/>
    <row r="19914" ht="12" customHeight="1"/>
    <row r="19915" ht="12" customHeight="1"/>
    <row r="19916" ht="12" customHeight="1"/>
    <row r="19917" ht="12" customHeight="1"/>
    <row r="19918" ht="12" customHeight="1"/>
    <row r="19919" ht="12" customHeight="1"/>
    <row r="19920" ht="12" customHeight="1"/>
    <row r="19921" ht="12" customHeight="1"/>
    <row r="19922" ht="12" customHeight="1"/>
    <row r="19923" ht="12" customHeight="1"/>
    <row r="19924" ht="12" customHeight="1"/>
    <row r="19925" ht="12" customHeight="1"/>
    <row r="19926" ht="12" customHeight="1"/>
    <row r="19927" ht="12" customHeight="1"/>
    <row r="19928" ht="12" customHeight="1"/>
    <row r="19929" ht="12" customHeight="1"/>
    <row r="19930" ht="12" customHeight="1"/>
    <row r="19931" ht="12" customHeight="1"/>
    <row r="19932" ht="12" customHeight="1"/>
    <row r="19933" ht="12" customHeight="1"/>
    <row r="19934" ht="12" customHeight="1"/>
    <row r="19935" ht="12" customHeight="1"/>
    <row r="19936" ht="12" customHeight="1"/>
    <row r="19937" ht="12" customHeight="1"/>
    <row r="19938" ht="12" customHeight="1"/>
    <row r="19939" ht="12" customHeight="1"/>
    <row r="19940" ht="12" customHeight="1"/>
    <row r="19941" ht="12" customHeight="1"/>
    <row r="19942" ht="12" customHeight="1"/>
    <row r="19943" ht="12" customHeight="1"/>
    <row r="19944" ht="12" customHeight="1"/>
    <row r="19945" ht="12" customHeight="1"/>
    <row r="19946" ht="12" customHeight="1"/>
    <row r="19947" ht="12" customHeight="1"/>
    <row r="19948" ht="12" customHeight="1"/>
    <row r="19949" ht="12" customHeight="1"/>
    <row r="19950" ht="12" customHeight="1"/>
    <row r="19951" ht="12" customHeight="1"/>
    <row r="19952" ht="12" customHeight="1"/>
    <row r="19953" ht="12" customHeight="1"/>
    <row r="19954" ht="12" customHeight="1"/>
    <row r="19955" ht="12" customHeight="1"/>
    <row r="19956" ht="12" customHeight="1"/>
    <row r="19957" ht="12" customHeight="1"/>
    <row r="19958" ht="12" customHeight="1"/>
    <row r="19959" ht="12" customHeight="1"/>
    <row r="19960" ht="12" customHeight="1"/>
    <row r="19961" ht="12" customHeight="1"/>
    <row r="19962" ht="12" customHeight="1"/>
    <row r="19963" ht="12" customHeight="1"/>
    <row r="19964" ht="12" customHeight="1"/>
    <row r="19965" ht="12" customHeight="1"/>
    <row r="19966" ht="12" customHeight="1"/>
    <row r="19967" ht="12" customHeight="1"/>
    <row r="19968" ht="12" customHeight="1"/>
    <row r="19969" ht="12" customHeight="1"/>
    <row r="19970" ht="12" customHeight="1"/>
    <row r="19971" ht="12" customHeight="1"/>
    <row r="19972" ht="12" customHeight="1"/>
    <row r="19973" ht="12" customHeight="1"/>
    <row r="19974" ht="12" customHeight="1"/>
    <row r="19975" ht="12" customHeight="1"/>
    <row r="19976" ht="12" customHeight="1"/>
    <row r="19977" ht="12" customHeight="1"/>
    <row r="19978" ht="12" customHeight="1"/>
    <row r="19979" ht="12" customHeight="1"/>
    <row r="19980" ht="12" customHeight="1"/>
    <row r="19981" ht="12" customHeight="1"/>
    <row r="19982" ht="12" customHeight="1"/>
    <row r="19983" ht="12" customHeight="1"/>
    <row r="19984" ht="12" customHeight="1"/>
    <row r="19985" ht="12" customHeight="1"/>
    <row r="19986" ht="12" customHeight="1"/>
    <row r="19987" ht="12" customHeight="1"/>
    <row r="19988" ht="12" customHeight="1"/>
    <row r="19989" ht="12" customHeight="1"/>
    <row r="19990" ht="12" customHeight="1"/>
    <row r="19991" ht="12" customHeight="1"/>
    <row r="19992" ht="12" customHeight="1"/>
    <row r="19993" ht="12" customHeight="1"/>
    <row r="19994" ht="12" customHeight="1"/>
    <row r="19995" ht="12" customHeight="1"/>
    <row r="19996" ht="12" customHeight="1"/>
    <row r="19997" ht="12" customHeight="1"/>
    <row r="19998" ht="12" customHeight="1"/>
    <row r="19999" ht="12" customHeight="1"/>
    <row r="20000" ht="12" customHeight="1"/>
    <row r="20001" ht="12" customHeight="1"/>
    <row r="20002" ht="12" customHeight="1"/>
    <row r="20003" ht="12" customHeight="1"/>
    <row r="20004" ht="12" customHeight="1"/>
    <row r="20005" ht="12" customHeight="1"/>
    <row r="20006" ht="12" customHeight="1"/>
    <row r="20007" ht="12" customHeight="1"/>
    <row r="20008" ht="12" customHeight="1"/>
    <row r="20009" ht="12" customHeight="1"/>
    <row r="20010" ht="12" customHeight="1"/>
    <row r="20011" ht="12" customHeight="1"/>
    <row r="20012" ht="12" customHeight="1"/>
    <row r="20013" ht="12" customHeight="1"/>
    <row r="20014" ht="12" customHeight="1"/>
    <row r="20015" ht="12" customHeight="1"/>
    <row r="20016" ht="12" customHeight="1"/>
    <row r="20017" ht="12" customHeight="1"/>
    <row r="20018" ht="12" customHeight="1"/>
    <row r="20019" ht="12" customHeight="1"/>
    <row r="20020" ht="12" customHeight="1"/>
    <row r="20021" ht="12" customHeight="1"/>
    <row r="20022" ht="12" customHeight="1"/>
    <row r="20023" ht="12" customHeight="1"/>
    <row r="20024" ht="12" customHeight="1"/>
    <row r="20025" ht="12" customHeight="1"/>
    <row r="20026" ht="12" customHeight="1"/>
    <row r="20027" ht="12" customHeight="1"/>
    <row r="20028" ht="12" customHeight="1"/>
    <row r="20029" ht="12" customHeight="1"/>
    <row r="20030" ht="12" customHeight="1"/>
    <row r="20031" ht="12" customHeight="1"/>
    <row r="20032" ht="12" customHeight="1"/>
    <row r="20033" ht="12" customHeight="1"/>
    <row r="20034" ht="12" customHeight="1"/>
    <row r="20035" ht="12" customHeight="1"/>
    <row r="20036" ht="12" customHeight="1"/>
    <row r="20037" ht="12" customHeight="1"/>
    <row r="20038" ht="12" customHeight="1"/>
    <row r="20039" ht="12" customHeight="1"/>
    <row r="20040" ht="12" customHeight="1"/>
    <row r="20041" ht="12" customHeight="1"/>
    <row r="20042" ht="12" customHeight="1"/>
    <row r="20043" ht="12" customHeight="1"/>
    <row r="20044" ht="12" customHeight="1"/>
    <row r="20045" ht="12" customHeight="1"/>
    <row r="20046" ht="12" customHeight="1"/>
    <row r="20047" ht="12" customHeight="1"/>
    <row r="20048" ht="12" customHeight="1"/>
    <row r="20049" ht="12" customHeight="1"/>
    <row r="20050" ht="12" customHeight="1"/>
    <row r="20051" ht="12" customHeight="1"/>
    <row r="20052" ht="12" customHeight="1"/>
    <row r="20053" ht="12" customHeight="1"/>
    <row r="20054" ht="12" customHeight="1"/>
    <row r="20055" ht="12" customHeight="1"/>
    <row r="20056" ht="12" customHeight="1"/>
    <row r="20057" ht="12" customHeight="1"/>
    <row r="20058" ht="12" customHeight="1"/>
    <row r="20059" ht="12" customHeight="1"/>
    <row r="20060" ht="12" customHeight="1"/>
    <row r="20061" ht="12" customHeight="1"/>
    <row r="20062" ht="12" customHeight="1"/>
    <row r="20063" ht="12" customHeight="1"/>
    <row r="20064" ht="12" customHeight="1"/>
    <row r="20065" ht="12" customHeight="1"/>
    <row r="20066" ht="12" customHeight="1"/>
    <row r="20067" ht="12" customHeight="1"/>
    <row r="20068" ht="12" customHeight="1"/>
    <row r="20069" ht="12" customHeight="1"/>
    <row r="20070" ht="12" customHeight="1"/>
    <row r="20071" ht="12" customHeight="1"/>
    <row r="20072" ht="12" customHeight="1"/>
    <row r="20073" ht="12" customHeight="1"/>
    <row r="20074" ht="12" customHeight="1"/>
    <row r="20075" ht="12" customHeight="1"/>
    <row r="20076" ht="12" customHeight="1"/>
    <row r="20077" ht="12" customHeight="1"/>
    <row r="20078" ht="12" customHeight="1"/>
    <row r="20079" ht="12" customHeight="1"/>
    <row r="20080" ht="12" customHeight="1"/>
    <row r="20081" ht="12" customHeight="1"/>
    <row r="20082" ht="12" customHeight="1"/>
    <row r="20083" ht="12" customHeight="1"/>
    <row r="20084" ht="12" customHeight="1"/>
    <row r="20085" ht="12" customHeight="1"/>
    <row r="20086" ht="12" customHeight="1"/>
    <row r="20087" ht="12" customHeight="1"/>
    <row r="20088" ht="12" customHeight="1"/>
    <row r="20089" ht="12" customHeight="1"/>
    <row r="20090" ht="12" customHeight="1"/>
    <row r="20091" ht="12" customHeight="1"/>
    <row r="20092" ht="12" customHeight="1"/>
    <row r="20093" ht="12" customHeight="1"/>
    <row r="20094" ht="12" customHeight="1"/>
    <row r="20095" ht="12" customHeight="1"/>
    <row r="20096" ht="12" customHeight="1"/>
    <row r="20097" ht="12" customHeight="1"/>
    <row r="20098" ht="12" customHeight="1"/>
    <row r="20099" ht="12" customHeight="1"/>
    <row r="20100" ht="12" customHeight="1"/>
    <row r="20101" ht="12" customHeight="1"/>
    <row r="20102" ht="12" customHeight="1"/>
    <row r="20103" ht="12" customHeight="1"/>
    <row r="20104" ht="12" customHeight="1"/>
    <row r="20105" ht="12" customHeight="1"/>
    <row r="20106" ht="12" customHeight="1"/>
    <row r="20107" ht="12" customHeight="1"/>
    <row r="20108" ht="12" customHeight="1"/>
    <row r="20109" ht="12" customHeight="1"/>
    <row r="20110" ht="12" customHeight="1"/>
    <row r="20111" ht="12" customHeight="1"/>
    <row r="20112" ht="12" customHeight="1"/>
    <row r="20113" ht="12" customHeight="1"/>
    <row r="20114" ht="12" customHeight="1"/>
    <row r="20115" ht="12" customHeight="1"/>
    <row r="20116" ht="12" customHeight="1"/>
    <row r="20117" ht="12" customHeight="1"/>
    <row r="20118" ht="12" customHeight="1"/>
    <row r="20119" ht="12" customHeight="1"/>
    <row r="20120" ht="12" customHeight="1"/>
    <row r="20121" ht="12" customHeight="1"/>
    <row r="20122" ht="12" customHeight="1"/>
    <row r="20123" ht="12" customHeight="1"/>
    <row r="20124" ht="12" customHeight="1"/>
    <row r="20125" ht="12" customHeight="1"/>
    <row r="20126" ht="12" customHeight="1"/>
    <row r="20127" ht="12" customHeight="1"/>
    <row r="20128" ht="12" customHeight="1"/>
    <row r="20129" ht="12" customHeight="1"/>
    <row r="20130" ht="12" customHeight="1"/>
    <row r="20131" ht="12" customHeight="1"/>
    <row r="20132" ht="12" customHeight="1"/>
    <row r="20133" ht="12" customHeight="1"/>
    <row r="20134" ht="12" customHeight="1"/>
    <row r="20135" ht="12" customHeight="1"/>
    <row r="20136" ht="12" customHeight="1"/>
    <row r="20137" ht="12" customHeight="1"/>
    <row r="20138" ht="12" customHeight="1"/>
    <row r="20139" ht="12" customHeight="1"/>
    <row r="20140" ht="12" customHeight="1"/>
    <row r="20141" ht="12" customHeight="1"/>
    <row r="20142" ht="12" customHeight="1"/>
    <row r="20143" ht="12" customHeight="1"/>
    <row r="20144" ht="12" customHeight="1"/>
    <row r="20145" ht="12" customHeight="1"/>
    <row r="20146" ht="12" customHeight="1"/>
    <row r="20147" ht="12" customHeight="1"/>
    <row r="20148" ht="12" customHeight="1"/>
    <row r="20149" ht="12" customHeight="1"/>
    <row r="20150" ht="12" customHeight="1"/>
    <row r="20151" ht="12" customHeight="1"/>
    <row r="20152" ht="12" customHeight="1"/>
    <row r="20153" ht="12" customHeight="1"/>
    <row r="20154" ht="12" customHeight="1"/>
    <row r="20155" ht="12" customHeight="1"/>
    <row r="20156" ht="12" customHeight="1"/>
    <row r="20157" ht="12" customHeight="1"/>
    <row r="20158" ht="12" customHeight="1"/>
    <row r="20159" ht="12" customHeight="1"/>
    <row r="20160" ht="12" customHeight="1"/>
    <row r="20161" ht="12" customHeight="1"/>
    <row r="20162" ht="12" customHeight="1"/>
    <row r="20163" ht="12" customHeight="1"/>
    <row r="20164" ht="12" customHeight="1"/>
    <row r="20165" ht="12" customHeight="1"/>
    <row r="20166" ht="12" customHeight="1"/>
    <row r="20167" ht="12" customHeight="1"/>
    <row r="20168" ht="12" customHeight="1"/>
    <row r="20169" ht="12" customHeight="1"/>
    <row r="20170" ht="12" customHeight="1"/>
    <row r="20171" ht="12" customHeight="1"/>
    <row r="20172" ht="12" customHeight="1"/>
    <row r="20173" ht="12" customHeight="1"/>
    <row r="20174" ht="12" customHeight="1"/>
    <row r="20175" ht="12" customHeight="1"/>
    <row r="20176" ht="12" customHeight="1"/>
    <row r="20177" ht="12" customHeight="1"/>
    <row r="20178" ht="12" customHeight="1"/>
    <row r="20179" ht="12" customHeight="1"/>
    <row r="20180" ht="12" customHeight="1"/>
    <row r="20181" ht="12" customHeight="1"/>
    <row r="20182" ht="12" customHeight="1"/>
    <row r="20183" ht="12" customHeight="1"/>
    <row r="20184" ht="12" customHeight="1"/>
    <row r="20185" ht="12" customHeight="1"/>
    <row r="20186" ht="12" customHeight="1"/>
    <row r="20187" ht="12" customHeight="1"/>
    <row r="20188" ht="12" customHeight="1"/>
    <row r="20189" ht="12" customHeight="1"/>
    <row r="20190" ht="12" customHeight="1"/>
    <row r="20191" ht="12" customHeight="1"/>
    <row r="20192" ht="12" customHeight="1"/>
    <row r="20193" ht="12" customHeight="1"/>
    <row r="20194" ht="12" customHeight="1"/>
    <row r="20195" ht="12" customHeight="1"/>
    <row r="20196" ht="12" customHeight="1"/>
    <row r="20197" ht="12" customHeight="1"/>
    <row r="20198" ht="12" customHeight="1"/>
    <row r="20199" ht="12" customHeight="1"/>
    <row r="20200" ht="12" customHeight="1"/>
    <row r="20201" ht="12" customHeight="1"/>
    <row r="20202" ht="12" customHeight="1"/>
    <row r="20203" ht="12" customHeight="1"/>
    <row r="20204" ht="12" customHeight="1"/>
    <row r="20205" ht="12" customHeight="1"/>
    <row r="20206" ht="12" customHeight="1"/>
    <row r="20207" ht="12" customHeight="1"/>
    <row r="20208" ht="12" customHeight="1"/>
    <row r="20209" ht="12" customHeight="1"/>
    <row r="20210" ht="12" customHeight="1"/>
    <row r="20211" ht="12" customHeight="1"/>
    <row r="20212" ht="12" customHeight="1"/>
    <row r="20213" ht="12" customHeight="1"/>
    <row r="20214" ht="12" customHeight="1"/>
    <row r="20215" ht="12" customHeight="1"/>
    <row r="20216" ht="12" customHeight="1"/>
    <row r="20217" ht="12" customHeight="1"/>
    <row r="20218" ht="12" customHeight="1"/>
    <row r="20219" ht="12" customHeight="1"/>
    <row r="20220" ht="12" customHeight="1"/>
    <row r="20221" ht="12" customHeight="1"/>
    <row r="20222" ht="12" customHeight="1"/>
    <row r="20223" ht="12" customHeight="1"/>
    <row r="20224" ht="12" customHeight="1"/>
    <row r="20225" ht="12" customHeight="1"/>
    <row r="20226" ht="12" customHeight="1"/>
    <row r="20227" ht="12" customHeight="1"/>
    <row r="20228" ht="12" customHeight="1"/>
    <row r="20229" ht="12" customHeight="1"/>
    <row r="20230" ht="12" customHeight="1"/>
    <row r="20231" ht="12" customHeight="1"/>
    <row r="20232" ht="12" customHeight="1"/>
    <row r="20233" ht="12" customHeight="1"/>
    <row r="20234" ht="12" customHeight="1"/>
    <row r="20235" ht="12" customHeight="1"/>
    <row r="20236" ht="12" customHeight="1"/>
    <row r="20237" ht="12" customHeight="1"/>
    <row r="20238" ht="12" customHeight="1"/>
    <row r="20239" ht="12" customHeight="1"/>
    <row r="20240" ht="12" customHeight="1"/>
    <row r="20241" ht="12" customHeight="1"/>
    <row r="20242" ht="12" customHeight="1"/>
    <row r="20243" ht="12" customHeight="1"/>
    <row r="20244" ht="12" customHeight="1"/>
    <row r="20245" ht="12" customHeight="1"/>
    <row r="20246" ht="12" customHeight="1"/>
    <row r="20247" ht="12" customHeight="1"/>
    <row r="20248" ht="12" customHeight="1"/>
    <row r="20249" ht="12" customHeight="1"/>
    <row r="20250" ht="12" customHeight="1"/>
    <row r="20251" ht="12" customHeight="1"/>
    <row r="20252" ht="12" customHeight="1"/>
    <row r="20253" ht="12" customHeight="1"/>
    <row r="20254" ht="12" customHeight="1"/>
    <row r="20255" ht="12" customHeight="1"/>
    <row r="20256" ht="12" customHeight="1"/>
    <row r="20257" ht="12" customHeight="1"/>
    <row r="20258" ht="12" customHeight="1"/>
    <row r="20259" ht="12" customHeight="1"/>
    <row r="20260" ht="12" customHeight="1"/>
    <row r="20261" ht="12" customHeight="1"/>
    <row r="20262" ht="12" customHeight="1"/>
    <row r="20263" ht="12" customHeight="1"/>
    <row r="20264" ht="12" customHeight="1"/>
    <row r="20265" ht="12" customHeight="1"/>
    <row r="20266" ht="12" customHeight="1"/>
    <row r="20267" ht="12" customHeight="1"/>
    <row r="20268" ht="12" customHeight="1"/>
    <row r="20269" ht="12" customHeight="1"/>
    <row r="20270" ht="12" customHeight="1"/>
    <row r="20271" ht="12" customHeight="1"/>
    <row r="20272" ht="12" customHeight="1"/>
    <row r="20273" ht="12" customHeight="1"/>
    <row r="20274" ht="12" customHeight="1"/>
    <row r="20275" ht="12" customHeight="1"/>
    <row r="20276" ht="12" customHeight="1"/>
    <row r="20277" ht="12" customHeight="1"/>
    <row r="20278" ht="12" customHeight="1"/>
    <row r="20279" ht="12" customHeight="1"/>
    <row r="20280" ht="12" customHeight="1"/>
    <row r="20281" ht="12" customHeight="1"/>
    <row r="20282" ht="12" customHeight="1"/>
    <row r="20283" ht="12" customHeight="1"/>
    <row r="20284" ht="12" customHeight="1"/>
    <row r="20285" ht="12" customHeight="1"/>
    <row r="20286" ht="12" customHeight="1"/>
    <row r="20287" ht="12" customHeight="1"/>
    <row r="20288" ht="12" customHeight="1"/>
    <row r="20289" ht="12" customHeight="1"/>
    <row r="20290" ht="12" customHeight="1"/>
    <row r="20291" ht="12" customHeight="1"/>
    <row r="20292" ht="12" customHeight="1"/>
    <row r="20293" ht="12" customHeight="1"/>
    <row r="20294" ht="12" customHeight="1"/>
    <row r="20295" ht="12" customHeight="1"/>
    <row r="20296" ht="12" customHeight="1"/>
    <row r="20297" ht="12" customHeight="1"/>
    <row r="20298" ht="12" customHeight="1"/>
    <row r="20299" ht="12" customHeight="1"/>
    <row r="20300" ht="12" customHeight="1"/>
    <row r="20301" ht="12" customHeight="1"/>
    <row r="20302" ht="12" customHeight="1"/>
    <row r="20303" ht="12" customHeight="1"/>
    <row r="20304" ht="12" customHeight="1"/>
    <row r="20305" ht="12" customHeight="1"/>
    <row r="20306" ht="12" customHeight="1"/>
    <row r="20307" ht="12" customHeight="1"/>
    <row r="20308" ht="12" customHeight="1"/>
    <row r="20309" ht="12" customHeight="1"/>
    <row r="20310" ht="12" customHeight="1"/>
    <row r="20311" ht="12" customHeight="1"/>
    <row r="20312" ht="12" customHeight="1"/>
    <row r="20313" ht="12" customHeight="1"/>
    <row r="20314" ht="12" customHeight="1"/>
    <row r="20315" ht="12" customHeight="1"/>
    <row r="20316" ht="12" customHeight="1"/>
    <row r="20317" ht="12" customHeight="1"/>
    <row r="20318" ht="12" customHeight="1"/>
    <row r="20319" ht="12" customHeight="1"/>
    <row r="20320" ht="12" customHeight="1"/>
    <row r="20321" ht="12" customHeight="1"/>
    <row r="20322" ht="12" customHeight="1"/>
    <row r="20323" ht="12" customHeight="1"/>
    <row r="20324" ht="12" customHeight="1"/>
    <row r="20325" ht="12" customHeight="1"/>
    <row r="20326" ht="12" customHeight="1"/>
    <row r="20327" ht="12" customHeight="1"/>
    <row r="20328" ht="12" customHeight="1"/>
    <row r="20329" ht="12" customHeight="1"/>
    <row r="20330" ht="12" customHeight="1"/>
    <row r="20331" ht="12" customHeight="1"/>
    <row r="20332" ht="12" customHeight="1"/>
    <row r="20333" ht="12" customHeight="1"/>
    <row r="20334" ht="12" customHeight="1"/>
    <row r="20335" ht="12" customHeight="1"/>
    <row r="20336" ht="12" customHeight="1"/>
    <row r="20337" ht="12" customHeight="1"/>
    <row r="20338" ht="12" customHeight="1"/>
    <row r="20339" ht="12" customHeight="1"/>
    <row r="20340" ht="12" customHeight="1"/>
    <row r="20341" ht="12" customHeight="1"/>
    <row r="20342" ht="12" customHeight="1"/>
    <row r="20343" ht="12" customHeight="1"/>
    <row r="20344" ht="12" customHeight="1"/>
    <row r="20345" ht="12" customHeight="1"/>
    <row r="20346" ht="12" customHeight="1"/>
    <row r="20347" ht="12" customHeight="1"/>
    <row r="20348" ht="12" customHeight="1"/>
    <row r="20349" ht="12" customHeight="1"/>
    <row r="20350" ht="12" customHeight="1"/>
    <row r="20351" ht="12" customHeight="1"/>
    <row r="20352" ht="12" customHeight="1"/>
    <row r="20353" ht="12" customHeight="1"/>
    <row r="20354" ht="12" customHeight="1"/>
    <row r="20355" ht="12" customHeight="1"/>
    <row r="20356" ht="12" customHeight="1"/>
    <row r="20357" ht="12" customHeight="1"/>
    <row r="20358" ht="12" customHeight="1"/>
    <row r="20359" ht="12" customHeight="1"/>
    <row r="20360" ht="12" customHeight="1"/>
    <row r="20361" ht="12" customHeight="1"/>
    <row r="20362" ht="12" customHeight="1"/>
    <row r="20363" ht="12" customHeight="1"/>
    <row r="20364" ht="12" customHeight="1"/>
    <row r="20365" ht="12" customHeight="1"/>
    <row r="20366" ht="12" customHeight="1"/>
    <row r="20367" ht="12" customHeight="1"/>
    <row r="20368" ht="12" customHeight="1"/>
    <row r="20369" ht="12" customHeight="1"/>
    <row r="20370" ht="12" customHeight="1"/>
    <row r="20371" ht="12" customHeight="1"/>
    <row r="20372" ht="12" customHeight="1"/>
    <row r="20373" ht="12" customHeight="1"/>
    <row r="20374" ht="12" customHeight="1"/>
    <row r="20375" ht="12" customHeight="1"/>
    <row r="20376" ht="12" customHeight="1"/>
    <row r="20377" ht="12" customHeight="1"/>
    <row r="20378" ht="12" customHeight="1"/>
    <row r="20379" ht="12" customHeight="1"/>
    <row r="20380" ht="12" customHeight="1"/>
    <row r="20381" ht="12" customHeight="1"/>
    <row r="20382" ht="12" customHeight="1"/>
    <row r="20383" ht="12" customHeight="1"/>
    <row r="20384" ht="12" customHeight="1"/>
    <row r="20385" ht="12" customHeight="1"/>
    <row r="20386" ht="12" customHeight="1"/>
    <row r="20387" ht="12" customHeight="1"/>
    <row r="20388" ht="12" customHeight="1"/>
    <row r="20389" ht="12" customHeight="1"/>
    <row r="20390" ht="12" customHeight="1"/>
    <row r="20391" ht="12" customHeight="1"/>
    <row r="20392" ht="12" customHeight="1"/>
    <row r="20393" ht="12" customHeight="1"/>
    <row r="20394" ht="12" customHeight="1"/>
    <row r="20395" ht="12" customHeight="1"/>
    <row r="20396" ht="12" customHeight="1"/>
    <row r="20397" ht="12" customHeight="1"/>
    <row r="20398" ht="12" customHeight="1"/>
    <row r="20399" ht="12" customHeight="1"/>
    <row r="20400" ht="12" customHeight="1"/>
    <row r="20401" ht="12" customHeight="1"/>
    <row r="20402" ht="12" customHeight="1"/>
    <row r="20403" ht="12" customHeight="1"/>
    <row r="20404" ht="12" customHeight="1"/>
    <row r="20405" ht="12" customHeight="1"/>
    <row r="20406" ht="12" customHeight="1"/>
    <row r="20407" ht="12" customHeight="1"/>
    <row r="20408" ht="12" customHeight="1"/>
    <row r="20409" ht="12" customHeight="1"/>
    <row r="20410" ht="12" customHeight="1"/>
    <row r="20411" ht="12" customHeight="1"/>
    <row r="20412" ht="12" customHeight="1"/>
    <row r="20413" ht="12" customHeight="1"/>
    <row r="20414" ht="12" customHeight="1"/>
    <row r="20415" ht="12" customHeight="1"/>
    <row r="20416" ht="12" customHeight="1"/>
    <row r="20417" ht="12" customHeight="1"/>
    <row r="20418" ht="12" customHeight="1"/>
    <row r="20419" ht="12" customHeight="1"/>
    <row r="20420" ht="12" customHeight="1"/>
    <row r="20421" ht="12" customHeight="1"/>
    <row r="20422" ht="12" customHeight="1"/>
    <row r="20423" ht="12" customHeight="1"/>
    <row r="20424" ht="12" customHeight="1"/>
    <row r="20425" ht="12" customHeight="1"/>
    <row r="20426" ht="12" customHeight="1"/>
    <row r="20427" ht="12" customHeight="1"/>
    <row r="20428" ht="12" customHeight="1"/>
    <row r="20429" ht="12" customHeight="1"/>
    <row r="20430" ht="12" customHeight="1"/>
    <row r="20431" ht="12" customHeight="1"/>
    <row r="20432" ht="12" customHeight="1"/>
    <row r="20433" ht="12" customHeight="1"/>
    <row r="20434" ht="12" customHeight="1"/>
    <row r="20435" ht="12" customHeight="1"/>
    <row r="20436" ht="12" customHeight="1"/>
    <row r="20437" ht="12" customHeight="1"/>
    <row r="20438" ht="12" customHeight="1"/>
    <row r="20439" ht="12" customHeight="1"/>
    <row r="20440" ht="12" customHeight="1"/>
    <row r="20441" ht="12" customHeight="1"/>
    <row r="20442" ht="12" customHeight="1"/>
    <row r="20443" ht="12" customHeight="1"/>
    <row r="20444" ht="12" customHeight="1"/>
    <row r="20445" ht="12" customHeight="1"/>
    <row r="20446" ht="12" customHeight="1"/>
    <row r="20447" ht="12" customHeight="1"/>
    <row r="20448" ht="12" customHeight="1"/>
    <row r="20449" ht="12" customHeight="1"/>
    <row r="20450" ht="12" customHeight="1"/>
    <row r="20451" ht="12" customHeight="1"/>
    <row r="20452" ht="12" customHeight="1"/>
    <row r="20453" ht="12" customHeight="1"/>
    <row r="20454" ht="12" customHeight="1"/>
    <row r="20455" ht="12" customHeight="1"/>
    <row r="20456" ht="12" customHeight="1"/>
    <row r="20457" ht="12" customHeight="1"/>
    <row r="20458" ht="12" customHeight="1"/>
    <row r="20459" ht="12" customHeight="1"/>
    <row r="20460" ht="12" customHeight="1"/>
    <row r="20461" ht="12" customHeight="1"/>
    <row r="20462" ht="12" customHeight="1"/>
    <row r="20463" ht="12" customHeight="1"/>
    <row r="20464" ht="12" customHeight="1"/>
    <row r="20465" ht="12" customHeight="1"/>
    <row r="20466" ht="12" customHeight="1"/>
    <row r="20467" ht="12" customHeight="1"/>
    <row r="20468" ht="12" customHeight="1"/>
    <row r="20469" ht="12" customHeight="1"/>
    <row r="20470" ht="12" customHeight="1"/>
    <row r="20471" ht="12" customHeight="1"/>
    <row r="20472" ht="12" customHeight="1"/>
    <row r="20473" ht="12" customHeight="1"/>
    <row r="20474" ht="12" customHeight="1"/>
    <row r="20475" ht="12" customHeight="1"/>
    <row r="20476" ht="12" customHeight="1"/>
    <row r="20477" ht="12" customHeight="1"/>
    <row r="20478" ht="12" customHeight="1"/>
    <row r="20479" ht="12" customHeight="1"/>
    <row r="20480" ht="12" customHeight="1"/>
    <row r="20481" ht="12" customHeight="1"/>
    <row r="20482" ht="12" customHeight="1"/>
    <row r="20483" ht="12" customHeight="1"/>
    <row r="20484" ht="12" customHeight="1"/>
    <row r="20485" ht="12" customHeight="1"/>
    <row r="20486" ht="12" customHeight="1"/>
    <row r="20487" ht="12" customHeight="1"/>
    <row r="20488" ht="12" customHeight="1"/>
    <row r="20489" ht="12" customHeight="1"/>
    <row r="20490" ht="12" customHeight="1"/>
    <row r="20491" ht="12" customHeight="1"/>
    <row r="20492" ht="12" customHeight="1"/>
    <row r="20493" ht="12" customHeight="1"/>
    <row r="20494" ht="12" customHeight="1"/>
    <row r="20495" ht="12" customHeight="1"/>
    <row r="20496" ht="12" customHeight="1"/>
    <row r="20497" ht="12" customHeight="1"/>
    <row r="20498" ht="12" customHeight="1"/>
    <row r="20499" ht="12" customHeight="1"/>
    <row r="20500" ht="12" customHeight="1"/>
    <row r="20501" ht="12" customHeight="1"/>
    <row r="20502" ht="12" customHeight="1"/>
    <row r="20503" ht="12" customHeight="1"/>
    <row r="20504" ht="12" customHeight="1"/>
    <row r="20505" ht="12" customHeight="1"/>
    <row r="20506" ht="12" customHeight="1"/>
    <row r="20507" ht="12" customHeight="1"/>
    <row r="20508" ht="12" customHeight="1"/>
    <row r="20509" ht="12" customHeight="1"/>
    <row r="20510" ht="12" customHeight="1"/>
    <row r="20511" ht="12" customHeight="1"/>
    <row r="20512" ht="12" customHeight="1"/>
    <row r="20513" ht="12" customHeight="1"/>
    <row r="20514" ht="12" customHeight="1"/>
    <row r="20515" ht="12" customHeight="1"/>
    <row r="20516" ht="12" customHeight="1"/>
    <row r="20517" ht="12" customHeight="1"/>
    <row r="20518" ht="12" customHeight="1"/>
    <row r="20519" ht="12" customHeight="1"/>
    <row r="20520" ht="12" customHeight="1"/>
    <row r="20521" ht="12" customHeight="1"/>
    <row r="20522" ht="12" customHeight="1"/>
    <row r="20523" ht="12" customHeight="1"/>
    <row r="20524" ht="12" customHeight="1"/>
    <row r="20525" ht="12" customHeight="1"/>
    <row r="20526" ht="12" customHeight="1"/>
    <row r="20527" ht="12" customHeight="1"/>
    <row r="20528" ht="12" customHeight="1"/>
    <row r="20529" ht="12" customHeight="1"/>
    <row r="20530" ht="12" customHeight="1"/>
    <row r="20531" ht="12" customHeight="1"/>
    <row r="20532" ht="12" customHeight="1"/>
    <row r="20533" ht="12" customHeight="1"/>
    <row r="20534" ht="12" customHeight="1"/>
    <row r="20535" ht="12" customHeight="1"/>
    <row r="20536" ht="12" customHeight="1"/>
    <row r="20537" ht="12" customHeight="1"/>
    <row r="20538" ht="12" customHeight="1"/>
    <row r="20539" ht="12" customHeight="1"/>
    <row r="20540" ht="12" customHeight="1"/>
    <row r="20541" ht="12" customHeight="1"/>
    <row r="20542" ht="12" customHeight="1"/>
    <row r="20543" ht="12" customHeight="1"/>
    <row r="20544" ht="12" customHeight="1"/>
    <row r="20545" ht="12" customHeight="1"/>
    <row r="20546" ht="12" customHeight="1"/>
    <row r="20547" ht="12" customHeight="1"/>
    <row r="20548" ht="12" customHeight="1"/>
    <row r="20549" ht="12" customHeight="1"/>
    <row r="20550" ht="12" customHeight="1"/>
    <row r="20551" ht="12" customHeight="1"/>
    <row r="20552" ht="12" customHeight="1"/>
    <row r="20553" ht="12" customHeight="1"/>
    <row r="20554" ht="12" customHeight="1"/>
    <row r="20555" ht="12" customHeight="1"/>
    <row r="20556" ht="12" customHeight="1"/>
    <row r="20557" ht="12" customHeight="1"/>
    <row r="20558" ht="12" customHeight="1"/>
    <row r="20559" ht="12" customHeight="1"/>
    <row r="20560" ht="12" customHeight="1"/>
    <row r="20561" ht="12" customHeight="1"/>
    <row r="20562" ht="12" customHeight="1"/>
    <row r="20563" ht="12" customHeight="1"/>
    <row r="20564" ht="12" customHeight="1"/>
    <row r="20565" ht="12" customHeight="1"/>
    <row r="20566" ht="12" customHeight="1"/>
    <row r="20567" ht="12" customHeight="1"/>
    <row r="20568" ht="12" customHeight="1"/>
    <row r="20569" ht="12" customHeight="1"/>
    <row r="20570" ht="12" customHeight="1"/>
    <row r="20571" ht="12" customHeight="1"/>
    <row r="20572" ht="12" customHeight="1"/>
    <row r="20573" ht="12" customHeight="1"/>
    <row r="20574" ht="12" customHeight="1"/>
    <row r="20575" ht="12" customHeight="1"/>
    <row r="20576" ht="12" customHeight="1"/>
    <row r="20577" ht="12" customHeight="1"/>
    <row r="20578" ht="12" customHeight="1"/>
    <row r="20579" ht="12" customHeight="1"/>
    <row r="20580" ht="12" customHeight="1"/>
    <row r="20581" ht="12" customHeight="1"/>
    <row r="20582" ht="12" customHeight="1"/>
    <row r="20583" ht="12" customHeight="1"/>
    <row r="20584" ht="12" customHeight="1"/>
    <row r="20585" ht="12" customHeight="1"/>
    <row r="20586" ht="12" customHeight="1"/>
    <row r="20587" ht="12" customHeight="1"/>
    <row r="20588" ht="12" customHeight="1"/>
    <row r="20589" ht="12" customHeight="1"/>
    <row r="20590" ht="12" customHeight="1"/>
    <row r="20591" ht="12" customHeight="1"/>
    <row r="20592" ht="12" customHeight="1"/>
    <row r="20593" ht="12" customHeight="1"/>
    <row r="20594" ht="12" customHeight="1"/>
    <row r="20595" ht="12" customHeight="1"/>
    <row r="20596" ht="12" customHeight="1"/>
    <row r="20597" ht="12" customHeight="1"/>
    <row r="20598" ht="12" customHeight="1"/>
    <row r="20599" ht="12" customHeight="1"/>
    <row r="20600" ht="12" customHeight="1"/>
    <row r="20601" ht="12" customHeight="1"/>
    <row r="20602" ht="12" customHeight="1"/>
    <row r="20603" ht="12" customHeight="1"/>
    <row r="20604" ht="12" customHeight="1"/>
    <row r="20605" ht="12" customHeight="1"/>
    <row r="20606" ht="12" customHeight="1"/>
    <row r="20607" ht="12" customHeight="1"/>
    <row r="20608" ht="12" customHeight="1"/>
    <row r="20609" ht="12" customHeight="1"/>
    <row r="20610" ht="12" customHeight="1"/>
    <row r="20611" ht="12" customHeight="1"/>
    <row r="20612" ht="12" customHeight="1"/>
    <row r="20613" ht="12" customHeight="1"/>
    <row r="20614" ht="12" customHeight="1"/>
    <row r="20615" ht="12" customHeight="1"/>
    <row r="20616" ht="12" customHeight="1"/>
    <row r="20617" ht="12" customHeight="1"/>
    <row r="20618" ht="12" customHeight="1"/>
    <row r="20619" ht="12" customHeight="1"/>
    <row r="20620" ht="12" customHeight="1"/>
    <row r="20621" ht="12" customHeight="1"/>
    <row r="20622" ht="12" customHeight="1"/>
    <row r="20623" ht="12" customHeight="1"/>
    <row r="20624" ht="12" customHeight="1"/>
    <row r="20625" ht="12" customHeight="1"/>
    <row r="20626" ht="12" customHeight="1"/>
    <row r="20627" ht="12" customHeight="1"/>
    <row r="20628" ht="12" customHeight="1"/>
    <row r="20629" ht="12" customHeight="1"/>
    <row r="20630" ht="12" customHeight="1"/>
    <row r="20631" ht="12" customHeight="1"/>
    <row r="20632" ht="12" customHeight="1"/>
    <row r="20633" ht="12" customHeight="1"/>
    <row r="20634" ht="12" customHeight="1"/>
    <row r="20635" ht="12" customHeight="1"/>
    <row r="20636" ht="12" customHeight="1"/>
    <row r="20637" ht="12" customHeight="1"/>
    <row r="20638" ht="12" customHeight="1"/>
    <row r="20639" ht="12" customHeight="1"/>
    <row r="20640" ht="12" customHeight="1"/>
    <row r="20641" ht="12" customHeight="1"/>
    <row r="20642" ht="12" customHeight="1"/>
    <row r="20643" ht="12" customHeight="1"/>
    <row r="20644" ht="12" customHeight="1"/>
    <row r="20645" ht="12" customHeight="1"/>
    <row r="20646" ht="12" customHeight="1"/>
    <row r="20647" ht="12" customHeight="1"/>
    <row r="20648" ht="12" customHeight="1"/>
    <row r="20649" ht="12" customHeight="1"/>
    <row r="20650" ht="12" customHeight="1"/>
    <row r="20651" ht="12" customHeight="1"/>
    <row r="20652" ht="12" customHeight="1"/>
    <row r="20653" ht="12" customHeight="1"/>
    <row r="20654" ht="12" customHeight="1"/>
    <row r="20655" ht="12" customHeight="1"/>
    <row r="20656" ht="12" customHeight="1"/>
    <row r="20657" ht="12" customHeight="1"/>
    <row r="20658" ht="12" customHeight="1"/>
    <row r="20659" ht="12" customHeight="1"/>
    <row r="20660" ht="12" customHeight="1"/>
    <row r="20661" ht="12" customHeight="1"/>
    <row r="20662" ht="12" customHeight="1"/>
    <row r="20663" ht="12" customHeight="1"/>
    <row r="20664" ht="12" customHeight="1"/>
    <row r="20665" ht="12" customHeight="1"/>
    <row r="20666" ht="12" customHeight="1"/>
    <row r="20667" ht="12" customHeight="1"/>
    <row r="20668" ht="12" customHeight="1"/>
    <row r="20669" ht="12" customHeight="1"/>
    <row r="20670" ht="12" customHeight="1"/>
    <row r="20671" ht="12" customHeight="1"/>
    <row r="20672" ht="12" customHeight="1"/>
    <row r="20673" ht="12" customHeight="1"/>
    <row r="20674" ht="12" customHeight="1"/>
    <row r="20675" ht="12" customHeight="1"/>
    <row r="20676" ht="12" customHeight="1"/>
    <row r="20677" ht="12" customHeight="1"/>
    <row r="20678" ht="12" customHeight="1"/>
    <row r="20679" ht="12" customHeight="1"/>
    <row r="20680" ht="12" customHeight="1"/>
    <row r="20681" ht="12" customHeight="1"/>
    <row r="20682" ht="12" customHeight="1"/>
    <row r="20683" ht="12" customHeight="1"/>
    <row r="20684" ht="12" customHeight="1"/>
    <row r="20685" ht="12" customHeight="1"/>
    <row r="20686" ht="12" customHeight="1"/>
    <row r="20687" ht="12" customHeight="1"/>
    <row r="20688" ht="12" customHeight="1"/>
    <row r="20689" ht="12" customHeight="1"/>
    <row r="20690" ht="12" customHeight="1"/>
    <row r="20691" ht="12" customHeight="1"/>
    <row r="20692" ht="12" customHeight="1"/>
    <row r="20693" ht="12" customHeight="1"/>
    <row r="20694" ht="12" customHeight="1"/>
    <row r="20695" ht="12" customHeight="1"/>
    <row r="20696" ht="12" customHeight="1"/>
    <row r="20697" ht="12" customHeight="1"/>
    <row r="20698" ht="12" customHeight="1"/>
    <row r="20699" ht="12" customHeight="1"/>
    <row r="20700" ht="12" customHeight="1"/>
    <row r="20701" ht="12" customHeight="1"/>
    <row r="20702" ht="12" customHeight="1"/>
    <row r="20703" ht="12" customHeight="1"/>
    <row r="20704" ht="12" customHeight="1"/>
    <row r="20705" ht="12" customHeight="1"/>
    <row r="20706" ht="12" customHeight="1"/>
    <row r="20707" ht="12" customHeight="1"/>
    <row r="20708" ht="12" customHeight="1"/>
    <row r="20709" ht="12" customHeight="1"/>
    <row r="20710" ht="12" customHeight="1"/>
    <row r="20711" ht="12" customHeight="1"/>
    <row r="20712" ht="12" customHeight="1"/>
    <row r="20713" ht="12" customHeight="1"/>
    <row r="20714" ht="12" customHeight="1"/>
    <row r="20715" ht="12" customHeight="1"/>
    <row r="20716" ht="12" customHeight="1"/>
    <row r="20717" ht="12" customHeight="1"/>
    <row r="20718" ht="12" customHeight="1"/>
    <row r="20719" ht="12" customHeight="1"/>
    <row r="20720" ht="12" customHeight="1"/>
    <row r="20721" ht="12" customHeight="1"/>
    <row r="20722" ht="12" customHeight="1"/>
    <row r="20723" ht="12" customHeight="1"/>
    <row r="20724" ht="12" customHeight="1"/>
    <row r="20725" ht="12" customHeight="1"/>
    <row r="20726" ht="12" customHeight="1"/>
    <row r="20727" ht="12" customHeight="1"/>
    <row r="20728" ht="12" customHeight="1"/>
    <row r="20729" ht="12" customHeight="1"/>
    <row r="20730" ht="12" customHeight="1"/>
    <row r="20731" ht="12" customHeight="1"/>
    <row r="20732" ht="12" customHeight="1"/>
    <row r="20733" ht="12" customHeight="1"/>
    <row r="20734" ht="12" customHeight="1"/>
    <row r="20735" ht="12" customHeight="1"/>
    <row r="20736" ht="12" customHeight="1"/>
    <row r="20737" ht="12" customHeight="1"/>
    <row r="20738" ht="12" customHeight="1"/>
    <row r="20739" ht="12" customHeight="1"/>
    <row r="20740" ht="12" customHeight="1"/>
    <row r="20741" ht="12" customHeight="1"/>
    <row r="20742" ht="12" customHeight="1"/>
    <row r="20743" ht="12" customHeight="1"/>
    <row r="20744" ht="12" customHeight="1"/>
    <row r="20745" ht="12" customHeight="1"/>
    <row r="20746" ht="12" customHeight="1"/>
    <row r="20747" ht="12" customHeight="1"/>
    <row r="20748" ht="12" customHeight="1"/>
    <row r="20749" ht="12" customHeight="1"/>
    <row r="20750" ht="12" customHeight="1"/>
    <row r="20751" ht="12" customHeight="1"/>
    <row r="20752" ht="12" customHeight="1"/>
    <row r="20753" ht="12" customHeight="1"/>
    <row r="20754" ht="12" customHeight="1"/>
    <row r="20755" ht="12" customHeight="1"/>
    <row r="20756" ht="12" customHeight="1"/>
    <row r="20757" ht="12" customHeight="1"/>
    <row r="20758" ht="12" customHeight="1"/>
    <row r="20759" ht="12" customHeight="1"/>
    <row r="20760" ht="12" customHeight="1"/>
    <row r="20761" ht="12" customHeight="1"/>
    <row r="20762" ht="12" customHeight="1"/>
    <row r="20763" ht="12" customHeight="1"/>
    <row r="20764" ht="12" customHeight="1"/>
    <row r="20765" ht="12" customHeight="1"/>
    <row r="20766" ht="12" customHeight="1"/>
    <row r="20767" ht="12" customHeight="1"/>
    <row r="20768" ht="12" customHeight="1"/>
    <row r="20769" ht="12" customHeight="1"/>
    <row r="20770" ht="12" customHeight="1"/>
    <row r="20771" ht="12" customHeight="1"/>
    <row r="20772" ht="12" customHeight="1"/>
    <row r="20773" ht="12" customHeight="1"/>
    <row r="20774" ht="12" customHeight="1"/>
    <row r="20775" ht="12" customHeight="1"/>
    <row r="20776" ht="12" customHeight="1"/>
    <row r="20777" ht="12" customHeight="1"/>
    <row r="20778" ht="12" customHeight="1"/>
    <row r="20779" ht="12" customHeight="1"/>
    <row r="20780" ht="12" customHeight="1"/>
    <row r="20781" ht="12" customHeight="1"/>
    <row r="20782" ht="12" customHeight="1"/>
    <row r="20783" ht="12" customHeight="1"/>
    <row r="20784" ht="12" customHeight="1"/>
    <row r="20785" ht="12" customHeight="1"/>
    <row r="20786" ht="12" customHeight="1"/>
    <row r="20787" ht="12" customHeight="1"/>
    <row r="20788" ht="12" customHeight="1"/>
    <row r="20789" ht="12" customHeight="1"/>
    <row r="20790" ht="12" customHeight="1"/>
    <row r="20791" ht="12" customHeight="1"/>
    <row r="20792" ht="12" customHeight="1"/>
    <row r="20793" ht="12" customHeight="1"/>
    <row r="20794" ht="12" customHeight="1"/>
    <row r="20795" ht="12" customHeight="1"/>
    <row r="20796" ht="12" customHeight="1"/>
    <row r="20797" ht="12" customHeight="1"/>
    <row r="20798" ht="12" customHeight="1"/>
    <row r="20799" ht="12" customHeight="1"/>
    <row r="20800" ht="12" customHeight="1"/>
    <row r="20801" ht="12" customHeight="1"/>
    <row r="20802" ht="12" customHeight="1"/>
    <row r="20803" ht="12" customHeight="1"/>
    <row r="20804" ht="12" customHeight="1"/>
    <row r="20805" ht="12" customHeight="1"/>
    <row r="20806" ht="12" customHeight="1"/>
    <row r="20807" ht="12" customHeight="1"/>
    <row r="20808" ht="12" customHeight="1"/>
    <row r="20809" ht="12" customHeight="1"/>
    <row r="20810" ht="12" customHeight="1"/>
    <row r="20811" ht="12" customHeight="1"/>
    <row r="20812" ht="12" customHeight="1"/>
    <row r="20813" ht="12" customHeight="1"/>
    <row r="20814" ht="12" customHeight="1"/>
    <row r="20815" ht="12" customHeight="1"/>
    <row r="20816" ht="12" customHeight="1"/>
    <row r="20817" ht="12" customHeight="1"/>
    <row r="20818" ht="12" customHeight="1"/>
    <row r="20819" ht="12" customHeight="1"/>
    <row r="20820" ht="12" customHeight="1"/>
    <row r="20821" ht="12" customHeight="1"/>
    <row r="20822" ht="12" customHeight="1"/>
    <row r="20823" ht="12" customHeight="1"/>
    <row r="20824" ht="12" customHeight="1"/>
    <row r="20825" ht="12" customHeight="1"/>
    <row r="20826" ht="12" customHeight="1"/>
    <row r="20827" ht="12" customHeight="1"/>
    <row r="20828" ht="12" customHeight="1"/>
    <row r="20829" ht="12" customHeight="1"/>
    <row r="20830" ht="12" customHeight="1"/>
    <row r="20831" ht="12" customHeight="1"/>
    <row r="20832" ht="12" customHeight="1"/>
    <row r="20833" ht="12" customHeight="1"/>
    <row r="20834" ht="12" customHeight="1"/>
    <row r="20835" ht="12" customHeight="1"/>
    <row r="20836" ht="12" customHeight="1"/>
    <row r="20837" ht="12" customHeight="1"/>
    <row r="20838" ht="12" customHeight="1"/>
    <row r="20839" ht="12" customHeight="1"/>
    <row r="20840" ht="12" customHeight="1"/>
    <row r="20841" ht="12" customHeight="1"/>
    <row r="20842" ht="12" customHeight="1"/>
    <row r="20843" ht="12" customHeight="1"/>
    <row r="20844" ht="12" customHeight="1"/>
    <row r="20845" ht="12" customHeight="1"/>
    <row r="20846" ht="12" customHeight="1"/>
    <row r="20847" ht="12" customHeight="1"/>
    <row r="20848" ht="12" customHeight="1"/>
    <row r="20849" ht="12" customHeight="1"/>
    <row r="20850" ht="12" customHeight="1"/>
    <row r="20851" ht="12" customHeight="1"/>
    <row r="20852" ht="12" customHeight="1"/>
    <row r="20853" ht="12" customHeight="1"/>
    <row r="20854" ht="12" customHeight="1"/>
    <row r="20855" ht="12" customHeight="1"/>
    <row r="20856" ht="12" customHeight="1"/>
    <row r="20857" ht="12" customHeight="1"/>
    <row r="20858" ht="12" customHeight="1"/>
    <row r="20859" ht="12" customHeight="1"/>
    <row r="20860" ht="12" customHeight="1"/>
    <row r="20861" ht="12" customHeight="1"/>
    <row r="20862" ht="12" customHeight="1"/>
    <row r="20863" ht="12" customHeight="1"/>
    <row r="20864" ht="12" customHeight="1"/>
    <row r="20865" ht="12" customHeight="1"/>
    <row r="20866" ht="12" customHeight="1"/>
    <row r="20867" ht="12" customHeight="1"/>
    <row r="20868" ht="12" customHeight="1"/>
    <row r="20869" ht="12" customHeight="1"/>
    <row r="20870" ht="12" customHeight="1"/>
    <row r="20871" ht="12" customHeight="1"/>
    <row r="20872" ht="12" customHeight="1"/>
    <row r="20873" ht="12" customHeight="1"/>
    <row r="20874" ht="12" customHeight="1"/>
    <row r="20875" ht="12" customHeight="1"/>
    <row r="20876" ht="12" customHeight="1"/>
    <row r="20877" ht="12" customHeight="1"/>
    <row r="20878" ht="12" customHeight="1"/>
    <row r="20879" ht="12" customHeight="1"/>
    <row r="20880" ht="12" customHeight="1"/>
    <row r="20881" ht="12" customHeight="1"/>
    <row r="20882" ht="12" customHeight="1"/>
    <row r="20883" ht="12" customHeight="1"/>
    <row r="20884" ht="12" customHeight="1"/>
    <row r="20885" ht="12" customHeight="1"/>
    <row r="20886" ht="12" customHeight="1"/>
    <row r="20887" ht="12" customHeight="1"/>
    <row r="20888" ht="12" customHeight="1"/>
    <row r="20889" ht="12" customHeight="1"/>
    <row r="20890" ht="12" customHeight="1"/>
    <row r="20891" ht="12" customHeight="1"/>
    <row r="20892" ht="12" customHeight="1"/>
    <row r="20893" ht="12" customHeight="1"/>
    <row r="20894" ht="12" customHeight="1"/>
    <row r="20895" ht="12" customHeight="1"/>
    <row r="20896" ht="12" customHeight="1"/>
    <row r="20897" ht="12" customHeight="1"/>
    <row r="20898" ht="12" customHeight="1"/>
    <row r="20899" ht="12" customHeight="1"/>
    <row r="20900" ht="12" customHeight="1"/>
    <row r="20901" ht="12" customHeight="1"/>
    <row r="20902" ht="12" customHeight="1"/>
    <row r="20903" ht="12" customHeight="1"/>
    <row r="20904" ht="12" customHeight="1"/>
    <row r="20905" ht="12" customHeight="1"/>
    <row r="20906" ht="12" customHeight="1"/>
    <row r="20907" ht="12" customHeight="1"/>
    <row r="20908" ht="12" customHeight="1"/>
    <row r="20909" ht="12" customHeight="1"/>
    <row r="20910" ht="12" customHeight="1"/>
    <row r="20911" ht="12" customHeight="1"/>
    <row r="20912" ht="12" customHeight="1"/>
    <row r="20913" ht="12" customHeight="1"/>
    <row r="20914" ht="12" customHeight="1"/>
    <row r="20915" ht="12" customHeight="1"/>
    <row r="20916" ht="12" customHeight="1"/>
    <row r="20917" ht="12" customHeight="1"/>
    <row r="20918" ht="12" customHeight="1"/>
    <row r="20919" ht="12" customHeight="1"/>
    <row r="20920" ht="12" customHeight="1"/>
    <row r="20921" ht="12" customHeight="1"/>
    <row r="20922" ht="12" customHeight="1"/>
    <row r="20923" ht="12" customHeight="1"/>
    <row r="20924" ht="12" customHeight="1"/>
    <row r="20925" ht="12" customHeight="1"/>
    <row r="20926" ht="12" customHeight="1"/>
    <row r="20927" ht="12" customHeight="1"/>
    <row r="20928" ht="12" customHeight="1"/>
    <row r="20929" ht="12" customHeight="1"/>
    <row r="20930" ht="12" customHeight="1"/>
    <row r="20931" ht="12" customHeight="1"/>
    <row r="20932" ht="12" customHeight="1"/>
    <row r="20933" ht="12" customHeight="1"/>
    <row r="20934" ht="12" customHeight="1"/>
    <row r="20935" ht="12" customHeight="1"/>
    <row r="20936" ht="12" customHeight="1"/>
    <row r="20937" ht="12" customHeight="1"/>
    <row r="20938" ht="12" customHeight="1"/>
    <row r="20939" ht="12" customHeight="1"/>
    <row r="20940" ht="12" customHeight="1"/>
    <row r="20941" ht="12" customHeight="1"/>
    <row r="20942" ht="12" customHeight="1"/>
    <row r="20943" ht="12" customHeight="1"/>
    <row r="20944" ht="12" customHeight="1"/>
    <row r="20945" ht="12" customHeight="1"/>
    <row r="20946" ht="12" customHeight="1"/>
    <row r="20947" ht="12" customHeight="1"/>
    <row r="20948" ht="12" customHeight="1"/>
    <row r="20949" ht="12" customHeight="1"/>
    <row r="20950" ht="12" customHeight="1"/>
    <row r="20951" ht="12" customHeight="1"/>
    <row r="20952" ht="12" customHeight="1"/>
    <row r="20953" ht="12" customHeight="1"/>
    <row r="20954" ht="12" customHeight="1"/>
    <row r="20955" ht="12" customHeight="1"/>
    <row r="20956" ht="12" customHeight="1"/>
    <row r="20957" ht="12" customHeight="1"/>
    <row r="20958" ht="12" customHeight="1"/>
    <row r="20959" ht="12" customHeight="1"/>
    <row r="20960" ht="12" customHeight="1"/>
    <row r="20961" ht="12" customHeight="1"/>
    <row r="20962" ht="12" customHeight="1"/>
    <row r="20963" ht="12" customHeight="1"/>
    <row r="20964" ht="12" customHeight="1"/>
    <row r="20965" ht="12" customHeight="1"/>
    <row r="20966" ht="12" customHeight="1"/>
    <row r="20967" ht="12" customHeight="1"/>
    <row r="20968" ht="12" customHeight="1"/>
    <row r="20969" ht="12" customHeight="1"/>
    <row r="20970" ht="12" customHeight="1"/>
    <row r="20971" ht="12" customHeight="1"/>
    <row r="20972" ht="12" customHeight="1"/>
    <row r="20973" ht="12" customHeight="1"/>
    <row r="20974" ht="12" customHeight="1"/>
    <row r="20975" ht="12" customHeight="1"/>
    <row r="20976" ht="12" customHeight="1"/>
    <row r="20977" ht="12" customHeight="1"/>
    <row r="20978" ht="12" customHeight="1"/>
    <row r="20979" ht="12" customHeight="1"/>
    <row r="20980" ht="12" customHeight="1"/>
    <row r="20981" ht="12" customHeight="1"/>
    <row r="20982" ht="12" customHeight="1"/>
    <row r="20983" ht="12" customHeight="1"/>
    <row r="20984" ht="12" customHeight="1"/>
    <row r="20985" ht="12" customHeight="1"/>
    <row r="20986" ht="12" customHeight="1"/>
    <row r="20987" ht="12" customHeight="1"/>
    <row r="20988" ht="12" customHeight="1"/>
    <row r="20989" ht="12" customHeight="1"/>
    <row r="20990" ht="12" customHeight="1"/>
    <row r="20991" ht="12" customHeight="1"/>
    <row r="20992" ht="12" customHeight="1"/>
    <row r="20993" ht="12" customHeight="1"/>
    <row r="20994" ht="12" customHeight="1"/>
    <row r="20995" ht="12" customHeight="1"/>
    <row r="20996" ht="12" customHeight="1"/>
    <row r="20997" ht="12" customHeight="1"/>
    <row r="20998" ht="12" customHeight="1"/>
    <row r="20999" ht="12" customHeight="1"/>
    <row r="21000" ht="12" customHeight="1"/>
    <row r="21001" ht="12" customHeight="1"/>
    <row r="21002" ht="12" customHeight="1"/>
    <row r="21003" ht="12" customHeight="1"/>
    <row r="21004" ht="12" customHeight="1"/>
    <row r="21005" ht="12" customHeight="1"/>
    <row r="21006" ht="12" customHeight="1"/>
    <row r="21007" ht="12" customHeight="1"/>
    <row r="21008" ht="12" customHeight="1"/>
    <row r="21009" ht="12" customHeight="1"/>
    <row r="21010" ht="12" customHeight="1"/>
    <row r="21011" ht="12" customHeight="1"/>
    <row r="21012" ht="12" customHeight="1"/>
    <row r="21013" ht="12" customHeight="1"/>
    <row r="21014" ht="12" customHeight="1"/>
    <row r="21015" ht="12" customHeight="1"/>
    <row r="21016" ht="12" customHeight="1"/>
    <row r="21017" ht="12" customHeight="1"/>
    <row r="21018" ht="12" customHeight="1"/>
    <row r="21019" ht="12" customHeight="1"/>
    <row r="21020" ht="12" customHeight="1"/>
    <row r="21021" ht="12" customHeight="1"/>
    <row r="21022" ht="12" customHeight="1"/>
    <row r="21023" ht="12" customHeight="1"/>
    <row r="21024" ht="12" customHeight="1"/>
    <row r="21025" ht="12" customHeight="1"/>
    <row r="21026" ht="12" customHeight="1"/>
    <row r="21027" ht="12" customHeight="1"/>
    <row r="21028" ht="12" customHeight="1"/>
    <row r="21029" ht="12" customHeight="1"/>
    <row r="21030" ht="12" customHeight="1"/>
    <row r="21031" ht="12" customHeight="1"/>
    <row r="21032" ht="12" customHeight="1"/>
    <row r="21033" ht="12" customHeight="1"/>
    <row r="21034" ht="12" customHeight="1"/>
    <row r="21035" ht="12" customHeight="1"/>
    <row r="21036" ht="12" customHeight="1"/>
    <row r="21037" ht="12" customHeight="1"/>
    <row r="21038" ht="12" customHeight="1"/>
    <row r="21039" ht="12" customHeight="1"/>
    <row r="21040" ht="12" customHeight="1"/>
    <row r="21041" ht="12" customHeight="1"/>
    <row r="21042" ht="12" customHeight="1"/>
    <row r="21043" ht="12" customHeight="1"/>
    <row r="21044" ht="12" customHeight="1"/>
    <row r="21045" ht="12" customHeight="1"/>
    <row r="21046" ht="12" customHeight="1"/>
    <row r="21047" ht="12" customHeight="1"/>
    <row r="21048" ht="12" customHeight="1"/>
    <row r="21049" ht="12" customHeight="1"/>
    <row r="21050" ht="12" customHeight="1"/>
    <row r="21051" ht="12" customHeight="1"/>
    <row r="21052" ht="12" customHeight="1"/>
    <row r="21053" ht="12" customHeight="1"/>
    <row r="21054" ht="12" customHeight="1"/>
    <row r="21055" ht="12" customHeight="1"/>
    <row r="21056" ht="12" customHeight="1"/>
    <row r="21057" ht="12" customHeight="1"/>
    <row r="21058" ht="12" customHeight="1"/>
    <row r="21059" ht="12" customHeight="1"/>
    <row r="21060" ht="12" customHeight="1"/>
    <row r="21061" ht="12" customHeight="1"/>
    <row r="21062" ht="12" customHeight="1"/>
    <row r="21063" ht="12" customHeight="1"/>
    <row r="21064" ht="12" customHeight="1"/>
    <row r="21065" ht="12" customHeight="1"/>
    <row r="21066" ht="12" customHeight="1"/>
    <row r="21067" ht="12" customHeight="1"/>
    <row r="21068" ht="12" customHeight="1"/>
    <row r="21069" ht="12" customHeight="1"/>
    <row r="21070" ht="12" customHeight="1"/>
    <row r="21071" ht="12" customHeight="1"/>
    <row r="21072" ht="12" customHeight="1"/>
    <row r="21073" ht="12" customHeight="1"/>
    <row r="21074" ht="12" customHeight="1"/>
    <row r="21075" ht="12" customHeight="1"/>
    <row r="21076" ht="12" customHeight="1"/>
    <row r="21077" ht="12" customHeight="1"/>
    <row r="21078" ht="12" customHeight="1"/>
    <row r="21079" ht="12" customHeight="1"/>
    <row r="21080" ht="12" customHeight="1"/>
    <row r="21081" ht="12" customHeight="1"/>
    <row r="21082" ht="12" customHeight="1"/>
    <row r="21083" ht="12" customHeight="1"/>
    <row r="21084" ht="12" customHeight="1"/>
    <row r="21085" ht="12" customHeight="1"/>
    <row r="21086" ht="12" customHeight="1"/>
    <row r="21087" ht="12" customHeight="1"/>
    <row r="21088" ht="12" customHeight="1"/>
    <row r="21089" ht="12" customHeight="1"/>
    <row r="21090" ht="12" customHeight="1"/>
    <row r="21091" ht="12" customHeight="1"/>
    <row r="21092" ht="12" customHeight="1"/>
    <row r="21093" ht="12" customHeight="1"/>
    <row r="21094" ht="12" customHeight="1"/>
    <row r="21095" ht="12" customHeight="1"/>
    <row r="21096" ht="12" customHeight="1"/>
    <row r="21097" ht="12" customHeight="1"/>
    <row r="21098" ht="12" customHeight="1"/>
    <row r="21099" ht="12" customHeight="1"/>
    <row r="21100" ht="12" customHeight="1"/>
    <row r="21101" ht="12" customHeight="1"/>
    <row r="21102" ht="12" customHeight="1"/>
    <row r="21103" ht="12" customHeight="1"/>
    <row r="21104" ht="12" customHeight="1"/>
    <row r="21105" ht="12" customHeight="1"/>
    <row r="21106" ht="12" customHeight="1"/>
    <row r="21107" ht="12" customHeight="1"/>
    <row r="21108" ht="12" customHeight="1"/>
    <row r="21109" ht="12" customHeight="1"/>
    <row r="21110" ht="12" customHeight="1"/>
    <row r="21111" ht="12" customHeight="1"/>
    <row r="21112" ht="12" customHeight="1"/>
    <row r="21113" ht="12" customHeight="1"/>
    <row r="21114" ht="12" customHeight="1"/>
    <row r="21115" ht="12" customHeight="1"/>
    <row r="21116" ht="12" customHeight="1"/>
    <row r="21117" ht="12" customHeight="1"/>
    <row r="21118" ht="12" customHeight="1"/>
    <row r="21119" ht="12" customHeight="1"/>
    <row r="21120" ht="12" customHeight="1"/>
    <row r="21121" ht="12" customHeight="1"/>
    <row r="21122" ht="12" customHeight="1"/>
    <row r="21123" ht="12" customHeight="1"/>
    <row r="21124" ht="12" customHeight="1"/>
    <row r="21125" ht="12" customHeight="1"/>
    <row r="21126" ht="12" customHeight="1"/>
    <row r="21127" ht="12" customHeight="1"/>
    <row r="21128" ht="12" customHeight="1"/>
    <row r="21129" ht="12" customHeight="1"/>
    <row r="21130" ht="12" customHeight="1"/>
    <row r="21131" ht="12" customHeight="1"/>
    <row r="21132" ht="12" customHeight="1"/>
    <row r="21133" ht="12" customHeight="1"/>
    <row r="21134" ht="12" customHeight="1"/>
    <row r="21135" ht="12" customHeight="1"/>
    <row r="21136" ht="12" customHeight="1"/>
    <row r="21137" ht="12" customHeight="1"/>
    <row r="21138" ht="12" customHeight="1"/>
    <row r="21139" ht="12" customHeight="1"/>
    <row r="21140" ht="12" customHeight="1"/>
    <row r="21141" ht="12" customHeight="1"/>
    <row r="21142" ht="12" customHeight="1"/>
    <row r="21143" ht="12" customHeight="1"/>
    <row r="21144" ht="12" customHeight="1"/>
    <row r="21145" ht="12" customHeight="1"/>
    <row r="21146" ht="12" customHeight="1"/>
    <row r="21147" ht="12" customHeight="1"/>
    <row r="21148" ht="12" customHeight="1"/>
    <row r="21149" ht="12" customHeight="1"/>
    <row r="21150" ht="12" customHeight="1"/>
    <row r="21151" ht="12" customHeight="1"/>
    <row r="21152" ht="12" customHeight="1"/>
    <row r="21153" ht="12" customHeight="1"/>
    <row r="21154" ht="12" customHeight="1"/>
    <row r="21155" ht="12" customHeight="1"/>
    <row r="21156" ht="12" customHeight="1"/>
    <row r="21157" ht="12" customHeight="1"/>
    <row r="21158" ht="12" customHeight="1"/>
    <row r="21159" ht="12" customHeight="1"/>
    <row r="21160" ht="12" customHeight="1"/>
    <row r="21161" ht="12" customHeight="1"/>
    <row r="21162" ht="12" customHeight="1"/>
    <row r="21163" ht="12" customHeight="1"/>
    <row r="21164" ht="12" customHeight="1"/>
    <row r="21165" ht="12" customHeight="1"/>
    <row r="21166" ht="12" customHeight="1"/>
    <row r="21167" ht="12" customHeight="1"/>
    <row r="21168" ht="12" customHeight="1"/>
    <row r="21169" ht="12" customHeight="1"/>
    <row r="21170" ht="12" customHeight="1"/>
    <row r="21171" ht="12" customHeight="1"/>
    <row r="21172" ht="12" customHeight="1"/>
    <row r="21173" ht="12" customHeight="1"/>
    <row r="21174" ht="12" customHeight="1"/>
    <row r="21175" ht="12" customHeight="1"/>
    <row r="21176" ht="12" customHeight="1"/>
    <row r="21177" ht="12" customHeight="1"/>
    <row r="21178" ht="12" customHeight="1"/>
    <row r="21179" ht="12" customHeight="1"/>
    <row r="21180" ht="12" customHeight="1"/>
    <row r="21181" ht="12" customHeight="1"/>
    <row r="21182" ht="12" customHeight="1"/>
    <row r="21183" ht="12" customHeight="1"/>
    <row r="21184" ht="12" customHeight="1"/>
    <row r="21185" ht="12" customHeight="1"/>
    <row r="21186" ht="12" customHeight="1"/>
    <row r="21187" ht="12" customHeight="1"/>
    <row r="21188" ht="12" customHeight="1"/>
    <row r="21189" ht="12" customHeight="1"/>
    <row r="21190" ht="12" customHeight="1"/>
    <row r="21191" ht="12" customHeight="1"/>
    <row r="21192" ht="12" customHeight="1"/>
    <row r="21193" ht="12" customHeight="1"/>
    <row r="21194" ht="12" customHeight="1"/>
    <row r="21195" ht="12" customHeight="1"/>
    <row r="21196" ht="12" customHeight="1"/>
    <row r="21197" ht="12" customHeight="1"/>
    <row r="21198" ht="12" customHeight="1"/>
    <row r="21199" ht="12" customHeight="1"/>
    <row r="21200" ht="12" customHeight="1"/>
    <row r="21201" ht="12" customHeight="1"/>
    <row r="21202" ht="12" customHeight="1"/>
    <row r="21203" ht="12" customHeight="1"/>
    <row r="21204" ht="12" customHeight="1"/>
    <row r="21205" ht="12" customHeight="1"/>
    <row r="21206" ht="12" customHeight="1"/>
    <row r="21207" ht="12" customHeight="1"/>
    <row r="21208" ht="12" customHeight="1"/>
    <row r="21209" ht="12" customHeight="1"/>
    <row r="21210" ht="12" customHeight="1"/>
    <row r="21211" ht="12" customHeight="1"/>
    <row r="21212" ht="12" customHeight="1"/>
    <row r="21213" ht="12" customHeight="1"/>
    <row r="21214" ht="12" customHeight="1"/>
    <row r="21215" ht="12" customHeight="1"/>
    <row r="21216" ht="12" customHeight="1"/>
    <row r="21217" ht="12" customHeight="1"/>
    <row r="21218" ht="12" customHeight="1"/>
    <row r="21219" ht="12" customHeight="1"/>
    <row r="21220" ht="12" customHeight="1"/>
    <row r="21221" ht="12" customHeight="1"/>
    <row r="21222" ht="12" customHeight="1"/>
    <row r="21223" ht="12" customHeight="1"/>
    <row r="21224" ht="12" customHeight="1"/>
    <row r="21225" ht="12" customHeight="1"/>
    <row r="21226" ht="12" customHeight="1"/>
    <row r="21227" ht="12" customHeight="1"/>
    <row r="21228" ht="12" customHeight="1"/>
    <row r="21229" ht="12" customHeight="1"/>
    <row r="21230" ht="12" customHeight="1"/>
    <row r="21231" ht="12" customHeight="1"/>
    <row r="21232" ht="12" customHeight="1"/>
    <row r="21233" ht="12" customHeight="1"/>
    <row r="21234" ht="12" customHeight="1"/>
    <row r="21235" ht="12" customHeight="1"/>
    <row r="21236" ht="12" customHeight="1"/>
    <row r="21237" ht="12" customHeight="1"/>
    <row r="21238" ht="12" customHeight="1"/>
    <row r="21239" ht="12" customHeight="1"/>
    <row r="21240" ht="12" customHeight="1"/>
    <row r="21241" ht="12" customHeight="1"/>
    <row r="21242" ht="12" customHeight="1"/>
    <row r="21243" ht="12" customHeight="1"/>
    <row r="21244" ht="12" customHeight="1"/>
    <row r="21245" ht="12" customHeight="1"/>
    <row r="21246" ht="12" customHeight="1"/>
    <row r="21247" ht="12" customHeight="1"/>
    <row r="21248" ht="12" customHeight="1"/>
    <row r="21249" ht="12" customHeight="1"/>
    <row r="21250" ht="12" customHeight="1"/>
    <row r="21251" ht="12" customHeight="1"/>
    <row r="21252" ht="12" customHeight="1"/>
    <row r="21253" ht="12" customHeight="1"/>
    <row r="21254" ht="12" customHeight="1"/>
    <row r="21255" ht="12" customHeight="1"/>
    <row r="21256" ht="12" customHeight="1"/>
    <row r="21257" ht="12" customHeight="1"/>
    <row r="21258" ht="12" customHeight="1"/>
    <row r="21259" ht="12" customHeight="1"/>
    <row r="21260" ht="12" customHeight="1"/>
    <row r="21261" ht="12" customHeight="1"/>
    <row r="21262" ht="12" customHeight="1"/>
    <row r="21263" ht="12" customHeight="1"/>
    <row r="21264" ht="12" customHeight="1"/>
    <row r="21265" ht="12" customHeight="1"/>
    <row r="21266" ht="12" customHeight="1"/>
    <row r="21267" ht="12" customHeight="1"/>
    <row r="21268" ht="12" customHeight="1"/>
    <row r="21269" ht="12" customHeight="1"/>
    <row r="21270" ht="12" customHeight="1"/>
    <row r="21271" ht="12" customHeight="1"/>
    <row r="21272" ht="12" customHeight="1"/>
    <row r="21273" ht="12" customHeight="1"/>
    <row r="21274" ht="12" customHeight="1"/>
    <row r="21275" ht="12" customHeight="1"/>
    <row r="21276" ht="12" customHeight="1"/>
    <row r="21277" ht="12" customHeight="1"/>
    <row r="21278" ht="12" customHeight="1"/>
    <row r="21279" ht="12" customHeight="1"/>
    <row r="21280" ht="12" customHeight="1"/>
    <row r="21281" ht="12" customHeight="1"/>
    <row r="21282" ht="12" customHeight="1"/>
    <row r="21283" ht="12" customHeight="1"/>
    <row r="21284" ht="12" customHeight="1"/>
    <row r="21285" ht="12" customHeight="1"/>
    <row r="21286" ht="12" customHeight="1"/>
    <row r="21287" ht="12" customHeight="1"/>
    <row r="21288" ht="12" customHeight="1"/>
    <row r="21289" ht="12" customHeight="1"/>
    <row r="21290" ht="12" customHeight="1"/>
    <row r="21291" ht="12" customHeight="1"/>
    <row r="21292" ht="12" customHeight="1"/>
    <row r="21293" ht="12" customHeight="1"/>
    <row r="21294" ht="12" customHeight="1"/>
    <row r="21295" ht="12" customHeight="1"/>
    <row r="21296" ht="12" customHeight="1"/>
    <row r="21297" ht="12" customHeight="1"/>
    <row r="21298" ht="12" customHeight="1"/>
    <row r="21299" ht="12" customHeight="1"/>
    <row r="21300" ht="12" customHeight="1"/>
    <row r="21301" ht="12" customHeight="1"/>
    <row r="21302" ht="12" customHeight="1"/>
    <row r="21303" ht="12" customHeight="1"/>
    <row r="21304" ht="12" customHeight="1"/>
    <row r="21305" ht="12" customHeight="1"/>
    <row r="21306" ht="12" customHeight="1"/>
    <row r="21307" ht="12" customHeight="1"/>
    <row r="21308" ht="12" customHeight="1"/>
    <row r="21309" ht="12" customHeight="1"/>
    <row r="21310" ht="12" customHeight="1"/>
    <row r="21311" ht="12" customHeight="1"/>
    <row r="21312" ht="12" customHeight="1"/>
    <row r="21313" ht="12" customHeight="1"/>
    <row r="21314" ht="12" customHeight="1"/>
    <row r="21315" ht="12" customHeight="1"/>
    <row r="21316" ht="12" customHeight="1"/>
    <row r="21317" ht="12" customHeight="1"/>
    <row r="21318" ht="12" customHeight="1"/>
    <row r="21319" ht="12" customHeight="1"/>
    <row r="21320" ht="12" customHeight="1"/>
    <row r="21321" ht="12" customHeight="1"/>
    <row r="21322" ht="12" customHeight="1"/>
    <row r="21323" ht="12" customHeight="1"/>
    <row r="21324" ht="12" customHeight="1"/>
    <row r="21325" ht="12" customHeight="1"/>
    <row r="21326" ht="12" customHeight="1"/>
    <row r="21327" ht="12" customHeight="1"/>
    <row r="21328" ht="12" customHeight="1"/>
    <row r="21329" ht="12" customHeight="1"/>
    <row r="21330" ht="12" customHeight="1"/>
    <row r="21331" ht="12" customHeight="1"/>
    <row r="21332" ht="12" customHeight="1"/>
    <row r="21333" ht="12" customHeight="1"/>
    <row r="21334" ht="12" customHeight="1"/>
    <row r="21335" ht="12" customHeight="1"/>
    <row r="21336" ht="12" customHeight="1"/>
    <row r="21337" ht="12" customHeight="1"/>
    <row r="21338" ht="12" customHeight="1"/>
    <row r="21339" ht="12" customHeight="1"/>
    <row r="21340" ht="12" customHeight="1"/>
    <row r="21341" ht="12" customHeight="1"/>
    <row r="21342" ht="12" customHeight="1"/>
    <row r="21343" ht="12" customHeight="1"/>
    <row r="21344" ht="12" customHeight="1"/>
    <row r="21345" ht="12" customHeight="1"/>
    <row r="21346" ht="12" customHeight="1"/>
    <row r="21347" ht="12" customHeight="1"/>
    <row r="21348" ht="12" customHeight="1"/>
    <row r="21349" ht="12" customHeight="1"/>
    <row r="21350" ht="12" customHeight="1"/>
    <row r="21351" ht="12" customHeight="1"/>
    <row r="21352" ht="12" customHeight="1"/>
    <row r="21353" ht="12" customHeight="1"/>
    <row r="21354" ht="12" customHeight="1"/>
    <row r="21355" ht="12" customHeight="1"/>
    <row r="21356" ht="12" customHeight="1"/>
    <row r="21357" ht="12" customHeight="1"/>
    <row r="21358" ht="12" customHeight="1"/>
    <row r="21359" ht="12" customHeight="1"/>
    <row r="21360" ht="12" customHeight="1"/>
    <row r="21361" ht="12" customHeight="1"/>
    <row r="21362" ht="12" customHeight="1"/>
    <row r="21363" ht="12" customHeight="1"/>
    <row r="21364" ht="12" customHeight="1"/>
    <row r="21365" ht="12" customHeight="1"/>
    <row r="21366" ht="12" customHeight="1"/>
    <row r="21367" ht="12" customHeight="1"/>
    <row r="21368" ht="12" customHeight="1"/>
    <row r="21369" ht="12" customHeight="1"/>
    <row r="21370" ht="12" customHeight="1"/>
    <row r="21371" ht="12" customHeight="1"/>
    <row r="21372" ht="12" customHeight="1"/>
    <row r="21373" ht="12" customHeight="1"/>
    <row r="21374" ht="12" customHeight="1"/>
    <row r="21375" ht="12" customHeight="1"/>
    <row r="21376" ht="12" customHeight="1"/>
    <row r="21377" ht="12" customHeight="1"/>
    <row r="21378" ht="12" customHeight="1"/>
    <row r="21379" ht="12" customHeight="1"/>
    <row r="21380" ht="12" customHeight="1"/>
    <row r="21381" ht="12" customHeight="1"/>
    <row r="21382" ht="12" customHeight="1"/>
    <row r="21383" ht="12" customHeight="1"/>
    <row r="21384" ht="12" customHeight="1"/>
    <row r="21385" ht="12" customHeight="1"/>
    <row r="21386" ht="12" customHeight="1"/>
    <row r="21387" ht="12" customHeight="1"/>
    <row r="21388" ht="12" customHeight="1"/>
    <row r="21389" ht="12" customHeight="1"/>
    <row r="21390" ht="12" customHeight="1"/>
    <row r="21391" ht="12" customHeight="1"/>
    <row r="21392" ht="12" customHeight="1"/>
    <row r="21393" ht="12" customHeight="1"/>
    <row r="21394" ht="12" customHeight="1"/>
    <row r="21395" ht="12" customHeight="1"/>
    <row r="21396" ht="12" customHeight="1"/>
    <row r="21397" ht="12" customHeight="1"/>
    <row r="21398" ht="12" customHeight="1"/>
    <row r="21399" ht="12" customHeight="1"/>
    <row r="21400" ht="12" customHeight="1"/>
    <row r="21401" ht="12" customHeight="1"/>
    <row r="21402" ht="12" customHeight="1"/>
    <row r="21403" ht="12" customHeight="1"/>
    <row r="21404" ht="12" customHeight="1"/>
    <row r="21405" ht="12" customHeight="1"/>
    <row r="21406" ht="12" customHeight="1"/>
    <row r="21407" ht="12" customHeight="1"/>
    <row r="21408" ht="12" customHeight="1"/>
    <row r="21409" ht="12" customHeight="1"/>
    <row r="21410" ht="12" customHeight="1"/>
    <row r="21411" ht="12" customHeight="1"/>
    <row r="21412" ht="12" customHeight="1"/>
    <row r="21413" ht="12" customHeight="1"/>
    <row r="21414" ht="12" customHeight="1"/>
    <row r="21415" ht="12" customHeight="1"/>
    <row r="21416" ht="12" customHeight="1"/>
    <row r="21417" ht="12" customHeight="1"/>
    <row r="21418" ht="12" customHeight="1"/>
    <row r="21419" ht="12" customHeight="1"/>
    <row r="21420" ht="12" customHeight="1"/>
    <row r="21421" ht="12" customHeight="1"/>
    <row r="21422" ht="12" customHeight="1"/>
    <row r="21423" ht="12" customHeight="1"/>
    <row r="21424" ht="12" customHeight="1"/>
    <row r="21425" ht="12" customHeight="1"/>
    <row r="21426" ht="12" customHeight="1"/>
    <row r="21427" ht="12" customHeight="1"/>
    <row r="21428" ht="12" customHeight="1"/>
    <row r="21429" ht="12" customHeight="1"/>
    <row r="21430" ht="12" customHeight="1"/>
    <row r="21431" ht="12" customHeight="1"/>
    <row r="21432" ht="12" customHeight="1"/>
    <row r="21433" ht="12" customHeight="1"/>
    <row r="21434" ht="12" customHeight="1"/>
    <row r="21435" ht="12" customHeight="1"/>
    <row r="21436" ht="12" customHeight="1"/>
    <row r="21437" ht="12" customHeight="1"/>
    <row r="21438" ht="12" customHeight="1"/>
    <row r="21439" ht="12" customHeight="1"/>
    <row r="21440" ht="12" customHeight="1"/>
    <row r="21441" ht="12" customHeight="1"/>
    <row r="21442" ht="12" customHeight="1"/>
    <row r="21443" ht="12" customHeight="1"/>
    <row r="21444" ht="12" customHeight="1"/>
    <row r="21445" ht="12" customHeight="1"/>
    <row r="21446" ht="12" customHeight="1"/>
    <row r="21447" ht="12" customHeight="1"/>
    <row r="21448" ht="12" customHeight="1"/>
    <row r="21449" ht="12" customHeight="1"/>
    <row r="21450" ht="12" customHeight="1"/>
    <row r="21451" ht="12" customHeight="1"/>
    <row r="21452" ht="12" customHeight="1"/>
    <row r="21453" ht="12" customHeight="1"/>
    <row r="21454" ht="12" customHeight="1"/>
    <row r="21455" ht="12" customHeight="1"/>
    <row r="21456" ht="12" customHeight="1"/>
    <row r="21457" ht="12" customHeight="1"/>
    <row r="21458" ht="12" customHeight="1"/>
    <row r="21459" ht="12" customHeight="1"/>
    <row r="21460" ht="12" customHeight="1"/>
    <row r="21461" ht="12" customHeight="1"/>
    <row r="21462" ht="12" customHeight="1"/>
    <row r="21463" ht="12" customHeight="1"/>
    <row r="21464" ht="12" customHeight="1"/>
    <row r="21465" ht="12" customHeight="1"/>
    <row r="21466" ht="12" customHeight="1"/>
    <row r="21467" ht="12" customHeight="1"/>
    <row r="21468" ht="12" customHeight="1"/>
    <row r="21469" ht="12" customHeight="1"/>
    <row r="21470" ht="12" customHeight="1"/>
    <row r="21471" ht="12" customHeight="1"/>
    <row r="21472" ht="12" customHeight="1"/>
    <row r="21473" ht="12" customHeight="1"/>
    <row r="21474" ht="12" customHeight="1"/>
    <row r="21475" ht="12" customHeight="1"/>
    <row r="21476" ht="12" customHeight="1"/>
    <row r="21477" ht="12" customHeight="1"/>
    <row r="21478" ht="12" customHeight="1"/>
    <row r="21479" ht="12" customHeight="1"/>
    <row r="21480" ht="12" customHeight="1"/>
    <row r="21481" ht="12" customHeight="1"/>
    <row r="21482" ht="12" customHeight="1"/>
    <row r="21483" ht="12" customHeight="1"/>
    <row r="21484" ht="12" customHeight="1"/>
    <row r="21485" ht="12" customHeight="1"/>
    <row r="21486" ht="12" customHeight="1"/>
    <row r="21487" ht="12" customHeight="1"/>
    <row r="21488" ht="12" customHeight="1"/>
    <row r="21489" ht="12" customHeight="1"/>
    <row r="21490" ht="12" customHeight="1"/>
    <row r="21491" ht="12" customHeight="1"/>
    <row r="21492" ht="12" customHeight="1"/>
    <row r="21493" ht="12" customHeight="1"/>
    <row r="21494" ht="12" customHeight="1"/>
    <row r="21495" ht="12" customHeight="1"/>
    <row r="21496" ht="12" customHeight="1"/>
    <row r="21497" ht="12" customHeight="1"/>
    <row r="21498" ht="12" customHeight="1"/>
    <row r="21499" ht="12" customHeight="1"/>
    <row r="21500" ht="12" customHeight="1"/>
    <row r="21501" ht="12" customHeight="1"/>
    <row r="21502" ht="12" customHeight="1"/>
    <row r="21503" ht="12" customHeight="1"/>
    <row r="21504" ht="12" customHeight="1"/>
    <row r="21505" ht="12" customHeight="1"/>
    <row r="21506" ht="12" customHeight="1"/>
    <row r="21507" ht="12" customHeight="1"/>
    <row r="21508" ht="12" customHeight="1"/>
    <row r="21509" ht="12" customHeight="1"/>
    <row r="21510" ht="12" customHeight="1"/>
    <row r="21511" ht="12" customHeight="1"/>
    <row r="21512" ht="12" customHeight="1"/>
    <row r="21513" ht="12" customHeight="1"/>
    <row r="21514" ht="12" customHeight="1"/>
    <row r="21515" ht="12" customHeight="1"/>
    <row r="21516" ht="12" customHeight="1"/>
    <row r="21517" ht="12" customHeight="1"/>
    <row r="21518" ht="12" customHeight="1"/>
    <row r="21519" ht="12" customHeight="1"/>
    <row r="21520" ht="12" customHeight="1"/>
    <row r="21521" ht="12" customHeight="1"/>
    <row r="21522" ht="12" customHeight="1"/>
    <row r="21523" ht="12" customHeight="1"/>
    <row r="21524" ht="12" customHeight="1"/>
    <row r="21525" ht="12" customHeight="1"/>
    <row r="21526" ht="12" customHeight="1"/>
    <row r="21527" ht="12" customHeight="1"/>
    <row r="21528" ht="12" customHeight="1"/>
    <row r="21529" ht="12" customHeight="1"/>
    <row r="21530" ht="12" customHeight="1"/>
    <row r="21531" ht="12" customHeight="1"/>
    <row r="21532" ht="12" customHeight="1"/>
    <row r="21533" ht="12" customHeight="1"/>
    <row r="21534" ht="12" customHeight="1"/>
    <row r="21535" ht="12" customHeight="1"/>
    <row r="21536" ht="12" customHeight="1"/>
    <row r="21537" ht="12" customHeight="1"/>
    <row r="21538" ht="12" customHeight="1"/>
    <row r="21539" ht="12" customHeight="1"/>
    <row r="21540" ht="12" customHeight="1"/>
    <row r="21541" ht="12" customHeight="1"/>
    <row r="21542" ht="12" customHeight="1"/>
    <row r="21543" ht="12" customHeight="1"/>
    <row r="21544" ht="12" customHeight="1"/>
    <row r="21545" ht="12" customHeight="1"/>
    <row r="21546" ht="12" customHeight="1"/>
    <row r="21547" ht="12" customHeight="1"/>
    <row r="21548" ht="12" customHeight="1"/>
    <row r="21549" ht="12" customHeight="1"/>
    <row r="21550" ht="12" customHeight="1"/>
    <row r="21551" ht="12" customHeight="1"/>
    <row r="21552" ht="12" customHeight="1"/>
    <row r="21553" ht="12" customHeight="1"/>
    <row r="21554" ht="12" customHeight="1"/>
    <row r="21555" ht="12" customHeight="1"/>
    <row r="21556" ht="12" customHeight="1"/>
    <row r="21557" ht="12" customHeight="1"/>
    <row r="21558" ht="12" customHeight="1"/>
    <row r="21559" ht="12" customHeight="1"/>
    <row r="21560" ht="12" customHeight="1"/>
    <row r="21561" ht="12" customHeight="1"/>
    <row r="21562" ht="12" customHeight="1"/>
    <row r="21563" ht="12" customHeight="1"/>
    <row r="21564" ht="12" customHeight="1"/>
    <row r="21565" ht="12" customHeight="1"/>
    <row r="21566" ht="12" customHeight="1"/>
    <row r="21567" ht="12" customHeight="1"/>
    <row r="21568" ht="12" customHeight="1"/>
    <row r="21569" ht="12" customHeight="1"/>
    <row r="21570" ht="12" customHeight="1"/>
    <row r="21571" ht="12" customHeight="1"/>
    <row r="21572" ht="12" customHeight="1"/>
    <row r="21573" ht="12" customHeight="1"/>
    <row r="21574" ht="12" customHeight="1"/>
    <row r="21575" ht="12" customHeight="1"/>
    <row r="21576" ht="12" customHeight="1"/>
    <row r="21577" ht="12" customHeight="1"/>
    <row r="21578" ht="12" customHeight="1"/>
    <row r="21579" ht="12" customHeight="1"/>
    <row r="21580" ht="12" customHeight="1"/>
    <row r="21581" ht="12" customHeight="1"/>
    <row r="21582" ht="12" customHeight="1"/>
    <row r="21583" ht="12" customHeight="1"/>
    <row r="21584" ht="12" customHeight="1"/>
    <row r="21585" ht="12" customHeight="1"/>
    <row r="21586" ht="12" customHeight="1"/>
    <row r="21587" ht="12" customHeight="1"/>
    <row r="21588" ht="12" customHeight="1"/>
    <row r="21589" ht="12" customHeight="1"/>
    <row r="21590" ht="12" customHeight="1"/>
    <row r="21591" ht="12" customHeight="1"/>
    <row r="21592" ht="12" customHeight="1"/>
    <row r="21593" ht="12" customHeight="1"/>
    <row r="21594" ht="12" customHeight="1"/>
    <row r="21595" ht="12" customHeight="1"/>
    <row r="21596" ht="12" customHeight="1"/>
    <row r="21597" ht="12" customHeight="1"/>
    <row r="21598" ht="12" customHeight="1"/>
    <row r="21599" ht="12" customHeight="1"/>
    <row r="21600" ht="12" customHeight="1"/>
    <row r="21601" ht="12" customHeight="1"/>
    <row r="21602" ht="12" customHeight="1"/>
    <row r="21603" ht="12" customHeight="1"/>
    <row r="21604" ht="12" customHeight="1"/>
    <row r="21605" ht="12" customHeight="1"/>
    <row r="21606" ht="12" customHeight="1"/>
    <row r="21607" ht="12" customHeight="1"/>
    <row r="21608" ht="12" customHeight="1"/>
    <row r="21609" ht="12" customHeight="1"/>
    <row r="21610" ht="12" customHeight="1"/>
    <row r="21611" ht="12" customHeight="1"/>
    <row r="21612" ht="12" customHeight="1"/>
    <row r="21613" ht="12" customHeight="1"/>
    <row r="21614" ht="12" customHeight="1"/>
    <row r="21615" ht="12" customHeight="1"/>
    <row r="21616" ht="12" customHeight="1"/>
    <row r="21617" ht="12" customHeight="1"/>
    <row r="21618" ht="12" customHeight="1"/>
    <row r="21619" ht="12" customHeight="1"/>
    <row r="21620" ht="12" customHeight="1"/>
    <row r="21621" ht="12" customHeight="1"/>
    <row r="21622" ht="12" customHeight="1"/>
    <row r="21623" ht="12" customHeight="1"/>
    <row r="21624" ht="12" customHeight="1"/>
    <row r="21625" ht="12" customHeight="1"/>
    <row r="21626" ht="12" customHeight="1"/>
    <row r="21627" ht="12" customHeight="1"/>
    <row r="21628" ht="12" customHeight="1"/>
    <row r="21629" ht="12" customHeight="1"/>
    <row r="21630" ht="12" customHeight="1"/>
    <row r="21631" ht="12" customHeight="1"/>
    <row r="21632" ht="12" customHeight="1"/>
    <row r="21633" ht="12" customHeight="1"/>
    <row r="21634" ht="12" customHeight="1"/>
    <row r="21635" ht="12" customHeight="1"/>
    <row r="21636" ht="12" customHeight="1"/>
    <row r="21637" ht="12" customHeight="1"/>
    <row r="21638" ht="12" customHeight="1"/>
    <row r="21639" ht="12" customHeight="1"/>
    <row r="21640" ht="12" customHeight="1"/>
    <row r="21641" ht="12" customHeight="1"/>
    <row r="21642" ht="12" customHeight="1"/>
    <row r="21643" ht="12" customHeight="1"/>
    <row r="21644" ht="12" customHeight="1"/>
    <row r="21645" ht="12" customHeight="1"/>
    <row r="21646" ht="12" customHeight="1"/>
    <row r="21647" ht="12" customHeight="1"/>
    <row r="21648" ht="12" customHeight="1"/>
    <row r="21649" ht="12" customHeight="1"/>
    <row r="21650" ht="12" customHeight="1"/>
    <row r="21651" ht="12" customHeight="1"/>
    <row r="21652" ht="12" customHeight="1"/>
    <row r="21653" ht="12" customHeight="1"/>
    <row r="21654" ht="12" customHeight="1"/>
    <row r="21655" ht="12" customHeight="1"/>
    <row r="21656" ht="12" customHeight="1"/>
    <row r="21657" ht="12" customHeight="1"/>
    <row r="21658" ht="12" customHeight="1"/>
    <row r="21659" ht="12" customHeight="1"/>
    <row r="21660" ht="12" customHeight="1"/>
    <row r="21661" ht="12" customHeight="1"/>
    <row r="21662" ht="12" customHeight="1"/>
    <row r="21663" ht="12" customHeight="1"/>
    <row r="21664" ht="12" customHeight="1"/>
    <row r="21665" ht="12" customHeight="1"/>
    <row r="21666" ht="12" customHeight="1"/>
    <row r="21667" ht="12" customHeight="1"/>
    <row r="21668" ht="12" customHeight="1"/>
    <row r="21669" ht="12" customHeight="1"/>
    <row r="21670" ht="12" customHeight="1"/>
    <row r="21671" ht="12" customHeight="1"/>
    <row r="21672" ht="12" customHeight="1"/>
    <row r="21673" ht="12" customHeight="1"/>
    <row r="21674" ht="12" customHeight="1"/>
    <row r="21675" ht="12" customHeight="1"/>
    <row r="21676" ht="12" customHeight="1"/>
    <row r="21677" ht="12" customHeight="1"/>
    <row r="21678" ht="12" customHeight="1"/>
    <row r="21679" ht="12" customHeight="1"/>
    <row r="21680" ht="12" customHeight="1"/>
    <row r="21681" ht="12" customHeight="1"/>
    <row r="21682" ht="12" customHeight="1"/>
    <row r="21683" ht="12" customHeight="1"/>
    <row r="21684" ht="12" customHeight="1"/>
    <row r="21685" ht="12" customHeight="1"/>
    <row r="21686" ht="12" customHeight="1"/>
    <row r="21687" ht="12" customHeight="1"/>
    <row r="21688" ht="12" customHeight="1"/>
    <row r="21689" ht="12" customHeight="1"/>
    <row r="21690" ht="12" customHeight="1"/>
    <row r="21691" ht="12" customHeight="1"/>
    <row r="21692" ht="12" customHeight="1"/>
    <row r="21693" ht="12" customHeight="1"/>
    <row r="21694" ht="12" customHeight="1"/>
    <row r="21695" ht="12" customHeight="1"/>
    <row r="21696" ht="12" customHeight="1"/>
    <row r="21697" ht="12" customHeight="1"/>
    <row r="21698" ht="12" customHeight="1"/>
    <row r="21699" ht="12" customHeight="1"/>
    <row r="21700" ht="12" customHeight="1"/>
    <row r="21701" ht="12" customHeight="1"/>
    <row r="21702" ht="12" customHeight="1"/>
    <row r="21703" ht="12" customHeight="1"/>
    <row r="21704" ht="12" customHeight="1"/>
    <row r="21705" ht="12" customHeight="1"/>
    <row r="21706" ht="12" customHeight="1"/>
    <row r="21707" ht="12" customHeight="1"/>
    <row r="21708" ht="12" customHeight="1"/>
    <row r="21709" ht="12" customHeight="1"/>
    <row r="21710" ht="12" customHeight="1"/>
    <row r="21711" ht="12" customHeight="1"/>
    <row r="21712" ht="12" customHeight="1"/>
    <row r="21713" ht="12" customHeight="1"/>
    <row r="21714" ht="12" customHeight="1"/>
    <row r="21715" ht="12" customHeight="1"/>
    <row r="21716" ht="12" customHeight="1"/>
    <row r="21717" ht="12" customHeight="1"/>
    <row r="21718" ht="12" customHeight="1"/>
    <row r="21719" ht="12" customHeight="1"/>
    <row r="21720" ht="12" customHeight="1"/>
    <row r="21721" ht="12" customHeight="1"/>
    <row r="21722" ht="12" customHeight="1"/>
    <row r="21723" ht="12" customHeight="1"/>
    <row r="21724" ht="12" customHeight="1"/>
    <row r="21725" ht="12" customHeight="1"/>
    <row r="21726" ht="12" customHeight="1"/>
    <row r="21727" ht="12" customHeight="1"/>
    <row r="21728" ht="12" customHeight="1"/>
    <row r="21729" ht="12" customHeight="1"/>
    <row r="21730" ht="12" customHeight="1"/>
    <row r="21731" ht="12" customHeight="1"/>
    <row r="21732" ht="12" customHeight="1"/>
    <row r="21733" ht="12" customHeight="1"/>
    <row r="21734" ht="12" customHeight="1"/>
    <row r="21735" ht="12" customHeight="1"/>
    <row r="21736" ht="12" customHeight="1"/>
    <row r="21737" ht="12" customHeight="1"/>
    <row r="21738" ht="12" customHeight="1"/>
    <row r="21739" ht="12" customHeight="1"/>
    <row r="21740" ht="12" customHeight="1"/>
    <row r="21741" ht="12" customHeight="1"/>
    <row r="21742" ht="12" customHeight="1"/>
    <row r="21743" ht="12" customHeight="1"/>
    <row r="21744" ht="12" customHeight="1"/>
    <row r="21745" ht="12" customHeight="1"/>
    <row r="21746" ht="12" customHeight="1"/>
    <row r="21747" ht="12" customHeight="1"/>
    <row r="21748" ht="12" customHeight="1"/>
    <row r="21749" ht="12" customHeight="1"/>
    <row r="21750" ht="12" customHeight="1"/>
    <row r="21751" ht="12" customHeight="1"/>
    <row r="21752" ht="12" customHeight="1"/>
    <row r="21753" ht="12" customHeight="1"/>
    <row r="21754" ht="12" customHeight="1"/>
    <row r="21755" ht="12" customHeight="1"/>
    <row r="21756" ht="12" customHeight="1"/>
    <row r="21757" ht="12" customHeight="1"/>
    <row r="21758" ht="12" customHeight="1"/>
    <row r="21759" ht="12" customHeight="1"/>
    <row r="21760" ht="12" customHeight="1"/>
    <row r="21761" ht="12" customHeight="1"/>
    <row r="21762" ht="12" customHeight="1"/>
    <row r="21763" ht="12" customHeight="1"/>
    <row r="21764" ht="12" customHeight="1"/>
    <row r="21765" ht="12" customHeight="1"/>
    <row r="21766" ht="12" customHeight="1"/>
    <row r="21767" ht="12" customHeight="1"/>
    <row r="21768" ht="12" customHeight="1"/>
    <row r="21769" ht="12" customHeight="1"/>
    <row r="21770" ht="12" customHeight="1"/>
    <row r="21771" ht="12" customHeight="1"/>
    <row r="21772" ht="12" customHeight="1"/>
    <row r="21773" ht="12" customHeight="1"/>
    <row r="21774" ht="12" customHeight="1"/>
    <row r="21775" ht="12" customHeight="1"/>
    <row r="21776" ht="12" customHeight="1"/>
    <row r="21777" ht="12" customHeight="1"/>
    <row r="21778" ht="12" customHeight="1"/>
    <row r="21779" ht="12" customHeight="1"/>
    <row r="21780" ht="12" customHeight="1"/>
    <row r="21781" ht="12" customHeight="1"/>
    <row r="21782" ht="12" customHeight="1"/>
    <row r="21783" ht="12" customHeight="1"/>
    <row r="21784" ht="12" customHeight="1"/>
    <row r="21785" ht="12" customHeight="1"/>
    <row r="21786" ht="12" customHeight="1"/>
    <row r="21787" ht="12" customHeight="1"/>
    <row r="21788" ht="12" customHeight="1"/>
    <row r="21789" ht="12" customHeight="1"/>
    <row r="21790" ht="12" customHeight="1"/>
    <row r="21791" ht="12" customHeight="1"/>
    <row r="21792" ht="12" customHeight="1"/>
    <row r="21793" ht="12" customHeight="1"/>
    <row r="21794" ht="12" customHeight="1"/>
    <row r="21795" ht="12" customHeight="1"/>
    <row r="21796" ht="12" customHeight="1"/>
    <row r="21797" ht="12" customHeight="1"/>
    <row r="21798" ht="12" customHeight="1"/>
    <row r="21799" ht="12" customHeight="1"/>
    <row r="21800" ht="12" customHeight="1"/>
    <row r="21801" ht="12" customHeight="1"/>
    <row r="21802" ht="12" customHeight="1"/>
    <row r="21803" ht="12" customHeight="1"/>
    <row r="21804" ht="12" customHeight="1"/>
    <row r="21805" ht="12" customHeight="1"/>
    <row r="21806" ht="12" customHeight="1"/>
    <row r="21807" ht="12" customHeight="1"/>
    <row r="21808" ht="12" customHeight="1"/>
    <row r="21809" ht="12" customHeight="1"/>
    <row r="21810" ht="12" customHeight="1"/>
    <row r="21811" ht="12" customHeight="1"/>
    <row r="21812" ht="12" customHeight="1"/>
    <row r="21813" ht="12" customHeight="1"/>
    <row r="21814" ht="12" customHeight="1"/>
    <row r="21815" ht="12" customHeight="1"/>
    <row r="21816" ht="12" customHeight="1"/>
    <row r="21817" ht="12" customHeight="1"/>
    <row r="21818" ht="12" customHeight="1"/>
    <row r="21819" ht="12" customHeight="1"/>
    <row r="21820" ht="12" customHeight="1"/>
    <row r="21821" ht="12" customHeight="1"/>
    <row r="21822" ht="12" customHeight="1"/>
    <row r="21823" ht="12" customHeight="1"/>
    <row r="21824" ht="12" customHeight="1"/>
    <row r="21825" ht="12" customHeight="1"/>
    <row r="21826" ht="12" customHeight="1"/>
    <row r="21827" ht="12" customHeight="1"/>
    <row r="21828" ht="12" customHeight="1"/>
    <row r="21829" ht="12" customHeight="1"/>
    <row r="21830" ht="12" customHeight="1"/>
    <row r="21831" ht="12" customHeight="1"/>
    <row r="21832" ht="12" customHeight="1"/>
    <row r="21833" ht="12" customHeight="1"/>
    <row r="21834" ht="12" customHeight="1"/>
    <row r="21835" ht="12" customHeight="1"/>
    <row r="21836" ht="12" customHeight="1"/>
    <row r="21837" ht="12" customHeight="1"/>
    <row r="21838" ht="12" customHeight="1"/>
    <row r="21839" ht="12" customHeight="1"/>
    <row r="21840" ht="12" customHeight="1"/>
    <row r="21841" ht="12" customHeight="1"/>
    <row r="21842" ht="12" customHeight="1"/>
    <row r="21843" ht="12" customHeight="1"/>
    <row r="21844" ht="12" customHeight="1"/>
    <row r="21845" ht="12" customHeight="1"/>
    <row r="21846" ht="12" customHeight="1"/>
    <row r="21847" ht="12" customHeight="1"/>
    <row r="21848" ht="12" customHeight="1"/>
    <row r="21849" ht="12" customHeight="1"/>
    <row r="21850" ht="12" customHeight="1"/>
    <row r="21851" ht="12" customHeight="1"/>
    <row r="21852" ht="12" customHeight="1"/>
    <row r="21853" ht="12" customHeight="1"/>
    <row r="21854" ht="12" customHeight="1"/>
    <row r="21855" ht="12" customHeight="1"/>
    <row r="21856" ht="12" customHeight="1"/>
    <row r="21857" ht="12" customHeight="1"/>
    <row r="21858" ht="12" customHeight="1"/>
    <row r="21859" ht="12" customHeight="1"/>
    <row r="21860" ht="12" customHeight="1"/>
    <row r="21861" ht="12" customHeight="1"/>
    <row r="21862" ht="12" customHeight="1"/>
    <row r="21863" ht="12" customHeight="1"/>
    <row r="21864" ht="12" customHeight="1"/>
    <row r="21865" ht="12" customHeight="1"/>
    <row r="21866" ht="12" customHeight="1"/>
    <row r="21867" ht="12" customHeight="1"/>
    <row r="21868" ht="12" customHeight="1"/>
    <row r="21869" ht="12" customHeight="1"/>
    <row r="21870" ht="12" customHeight="1"/>
    <row r="21871" ht="12" customHeight="1"/>
    <row r="21872" ht="12" customHeight="1"/>
    <row r="21873" ht="12" customHeight="1"/>
    <row r="21874" ht="12" customHeight="1"/>
    <row r="21875" ht="12" customHeight="1"/>
    <row r="21876" ht="12" customHeight="1"/>
    <row r="21877" ht="12" customHeight="1"/>
    <row r="21878" ht="12" customHeight="1"/>
    <row r="21879" ht="12" customHeight="1"/>
    <row r="21880" ht="12" customHeight="1"/>
    <row r="21881" ht="12" customHeight="1"/>
    <row r="21882" ht="12" customHeight="1"/>
    <row r="21883" ht="12" customHeight="1"/>
    <row r="21884" ht="12" customHeight="1"/>
    <row r="21885" ht="12" customHeight="1"/>
    <row r="21886" ht="12" customHeight="1"/>
    <row r="21887" ht="12" customHeight="1"/>
    <row r="21888" ht="12" customHeight="1"/>
    <row r="21889" ht="12" customHeight="1"/>
    <row r="21890" ht="12" customHeight="1"/>
    <row r="21891" ht="12" customHeight="1"/>
    <row r="21892" ht="12" customHeight="1"/>
    <row r="21893" ht="12" customHeight="1"/>
    <row r="21894" ht="12" customHeight="1"/>
    <row r="21895" ht="12" customHeight="1"/>
    <row r="21896" ht="12" customHeight="1"/>
    <row r="21897" ht="12" customHeight="1"/>
    <row r="21898" ht="12" customHeight="1"/>
    <row r="21899" ht="12" customHeight="1"/>
    <row r="21900" ht="12" customHeight="1"/>
    <row r="21901" ht="12" customHeight="1"/>
    <row r="21902" ht="12" customHeight="1"/>
    <row r="21903" ht="12" customHeight="1"/>
    <row r="21904" ht="12" customHeight="1"/>
    <row r="21905" ht="12" customHeight="1"/>
    <row r="21906" ht="12" customHeight="1"/>
    <row r="21907" ht="12" customHeight="1"/>
    <row r="21908" ht="12" customHeight="1"/>
    <row r="21909" ht="12" customHeight="1"/>
    <row r="21910" ht="12" customHeight="1"/>
    <row r="21911" ht="12" customHeight="1"/>
    <row r="21912" ht="12" customHeight="1"/>
    <row r="21913" ht="12" customHeight="1"/>
    <row r="21914" ht="12" customHeight="1"/>
    <row r="21915" ht="12" customHeight="1"/>
    <row r="21916" ht="12" customHeight="1"/>
    <row r="21917" ht="12" customHeight="1"/>
    <row r="21918" ht="12" customHeight="1"/>
    <row r="21919" ht="12" customHeight="1"/>
    <row r="21920" ht="12" customHeight="1"/>
    <row r="21921" ht="12" customHeight="1"/>
    <row r="21922" ht="12" customHeight="1"/>
    <row r="21923" ht="12" customHeight="1"/>
    <row r="21924" ht="12" customHeight="1"/>
    <row r="21925" ht="12" customHeight="1"/>
    <row r="21926" ht="12" customHeight="1"/>
    <row r="21927" ht="12" customHeight="1"/>
    <row r="21928" ht="12" customHeight="1"/>
    <row r="21929" ht="12" customHeight="1"/>
    <row r="21930" ht="12" customHeight="1"/>
    <row r="21931" ht="12" customHeight="1"/>
    <row r="21932" ht="12" customHeight="1"/>
    <row r="21933" ht="12" customHeight="1"/>
    <row r="21934" ht="12" customHeight="1"/>
    <row r="21935" ht="12" customHeight="1"/>
    <row r="21936" ht="12" customHeight="1"/>
    <row r="21937" ht="12" customHeight="1"/>
    <row r="21938" ht="12" customHeight="1"/>
    <row r="21939" ht="12" customHeight="1"/>
    <row r="21940" ht="12" customHeight="1"/>
    <row r="21941" ht="12" customHeight="1"/>
    <row r="21942" ht="12" customHeight="1"/>
    <row r="21943" ht="12" customHeight="1"/>
    <row r="21944" ht="12" customHeight="1"/>
    <row r="21945" ht="12" customHeight="1"/>
    <row r="21946" ht="12" customHeight="1"/>
    <row r="21947" ht="12" customHeight="1"/>
    <row r="21948" ht="12" customHeight="1"/>
    <row r="21949" ht="12" customHeight="1"/>
    <row r="21950" ht="12" customHeight="1"/>
    <row r="21951" ht="12" customHeight="1"/>
    <row r="21952" ht="12" customHeight="1"/>
    <row r="21953" ht="12" customHeight="1"/>
    <row r="21954" ht="12" customHeight="1"/>
    <row r="21955" ht="12" customHeight="1"/>
    <row r="21956" ht="12" customHeight="1"/>
    <row r="21957" ht="12" customHeight="1"/>
    <row r="21958" ht="12" customHeight="1"/>
    <row r="21959" ht="12" customHeight="1"/>
    <row r="21960" ht="12" customHeight="1"/>
    <row r="21961" ht="12" customHeight="1"/>
    <row r="21962" ht="12" customHeight="1"/>
    <row r="21963" ht="12" customHeight="1"/>
    <row r="21964" ht="12" customHeight="1"/>
    <row r="21965" ht="12" customHeight="1"/>
    <row r="21966" ht="12" customHeight="1"/>
    <row r="21967" ht="12" customHeight="1"/>
    <row r="21968" ht="12" customHeight="1"/>
    <row r="21969" ht="12" customHeight="1"/>
    <row r="21970" ht="12" customHeight="1"/>
    <row r="21971" ht="12" customHeight="1"/>
    <row r="21972" ht="12" customHeight="1"/>
    <row r="21973" ht="12" customHeight="1"/>
    <row r="21974" ht="12" customHeight="1"/>
    <row r="21975" ht="12" customHeight="1"/>
    <row r="21976" ht="12" customHeight="1"/>
    <row r="21977" ht="12" customHeight="1"/>
    <row r="21978" ht="12" customHeight="1"/>
    <row r="21979" ht="12" customHeight="1"/>
    <row r="21980" ht="12" customHeight="1"/>
    <row r="21981" ht="12" customHeight="1"/>
    <row r="21982" ht="12" customHeight="1"/>
    <row r="21983" ht="12" customHeight="1"/>
    <row r="21984" ht="12" customHeight="1"/>
    <row r="21985" ht="12" customHeight="1"/>
    <row r="21986" ht="12" customHeight="1"/>
    <row r="21987" ht="12" customHeight="1"/>
    <row r="21988" ht="12" customHeight="1"/>
    <row r="21989" ht="12" customHeight="1"/>
    <row r="21990" ht="12" customHeight="1"/>
    <row r="21991" ht="12" customHeight="1"/>
    <row r="21992" ht="12" customHeight="1"/>
    <row r="21993" ht="12" customHeight="1"/>
    <row r="21994" ht="12" customHeight="1"/>
    <row r="21995" ht="12" customHeight="1"/>
    <row r="21996" ht="12" customHeight="1"/>
    <row r="21997" ht="12" customHeight="1"/>
    <row r="21998" ht="12" customHeight="1"/>
    <row r="21999" ht="12" customHeight="1"/>
    <row r="22000" ht="12" customHeight="1"/>
    <row r="22001" ht="12" customHeight="1"/>
    <row r="22002" ht="12" customHeight="1"/>
    <row r="22003" ht="12" customHeight="1"/>
    <row r="22004" ht="12" customHeight="1"/>
    <row r="22005" ht="12" customHeight="1"/>
    <row r="22006" ht="12" customHeight="1"/>
    <row r="22007" ht="12" customHeight="1"/>
    <row r="22008" ht="12" customHeight="1"/>
    <row r="22009" ht="12" customHeight="1"/>
    <row r="22010" ht="12" customHeight="1"/>
    <row r="22011" ht="12" customHeight="1"/>
    <row r="22012" ht="12" customHeight="1"/>
    <row r="22013" ht="12" customHeight="1"/>
    <row r="22014" ht="12" customHeight="1"/>
    <row r="22015" ht="12" customHeight="1"/>
    <row r="22016" ht="12" customHeight="1"/>
    <row r="22017" ht="12" customHeight="1"/>
    <row r="22018" ht="12" customHeight="1"/>
    <row r="22019" ht="12" customHeight="1"/>
    <row r="22020" ht="12" customHeight="1"/>
    <row r="22021" ht="12" customHeight="1"/>
    <row r="22022" ht="12" customHeight="1"/>
    <row r="22023" ht="12" customHeight="1"/>
    <row r="22024" ht="12" customHeight="1"/>
    <row r="22025" ht="12" customHeight="1"/>
    <row r="22026" ht="12" customHeight="1"/>
    <row r="22027" ht="12" customHeight="1"/>
    <row r="22028" ht="12" customHeight="1"/>
    <row r="22029" ht="12" customHeight="1"/>
    <row r="22030" ht="12" customHeight="1"/>
    <row r="22031" ht="12" customHeight="1"/>
    <row r="22032" ht="12" customHeight="1"/>
    <row r="22033" ht="12" customHeight="1"/>
    <row r="22034" ht="12" customHeight="1"/>
    <row r="22035" ht="12" customHeight="1"/>
    <row r="22036" ht="12" customHeight="1"/>
    <row r="22037" ht="12" customHeight="1"/>
    <row r="22038" ht="12" customHeight="1"/>
    <row r="22039" ht="12" customHeight="1"/>
    <row r="22040" ht="12" customHeight="1"/>
    <row r="22041" ht="12" customHeight="1"/>
    <row r="22042" ht="12" customHeight="1"/>
    <row r="22043" ht="12" customHeight="1"/>
    <row r="22044" ht="12" customHeight="1"/>
    <row r="22045" ht="12" customHeight="1"/>
    <row r="22046" ht="12" customHeight="1"/>
    <row r="22047" ht="12" customHeight="1"/>
    <row r="22048" ht="12" customHeight="1"/>
    <row r="22049" ht="12" customHeight="1"/>
    <row r="22050" ht="12" customHeight="1"/>
    <row r="22051" ht="12" customHeight="1"/>
    <row r="22052" ht="12" customHeight="1"/>
    <row r="22053" ht="12" customHeight="1"/>
    <row r="22054" ht="12" customHeight="1"/>
    <row r="22055" ht="12" customHeight="1"/>
    <row r="22056" ht="12" customHeight="1"/>
    <row r="22057" ht="12" customHeight="1"/>
    <row r="22058" ht="12" customHeight="1"/>
    <row r="22059" ht="12" customHeight="1"/>
    <row r="22060" ht="12" customHeight="1"/>
    <row r="22061" ht="12" customHeight="1"/>
    <row r="22062" ht="12" customHeight="1"/>
    <row r="22063" ht="12" customHeight="1"/>
    <row r="22064" ht="12" customHeight="1"/>
    <row r="22065" ht="12" customHeight="1"/>
    <row r="22066" ht="12" customHeight="1"/>
    <row r="22067" ht="12" customHeight="1"/>
    <row r="22068" ht="12" customHeight="1"/>
    <row r="22069" ht="12" customHeight="1"/>
    <row r="22070" ht="12" customHeight="1"/>
    <row r="22071" ht="12" customHeight="1"/>
    <row r="22072" ht="12" customHeight="1"/>
    <row r="22073" ht="12" customHeight="1"/>
    <row r="22074" ht="12" customHeight="1"/>
    <row r="22075" ht="12" customHeight="1"/>
    <row r="22076" ht="12" customHeight="1"/>
    <row r="22077" ht="12" customHeight="1"/>
    <row r="22078" ht="12" customHeight="1"/>
    <row r="22079" ht="12" customHeight="1"/>
    <row r="22080" ht="12" customHeight="1"/>
    <row r="22081" ht="12" customHeight="1"/>
    <row r="22082" ht="12" customHeight="1"/>
    <row r="22083" ht="12" customHeight="1"/>
    <row r="22084" ht="12" customHeight="1"/>
    <row r="22085" ht="12" customHeight="1"/>
    <row r="22086" ht="12" customHeight="1"/>
    <row r="22087" ht="12" customHeight="1"/>
    <row r="22088" ht="12" customHeight="1"/>
    <row r="22089" ht="12" customHeight="1"/>
    <row r="22090" ht="12" customHeight="1"/>
    <row r="22091" ht="12" customHeight="1"/>
    <row r="22092" ht="12" customHeight="1"/>
    <row r="22093" ht="12" customHeight="1"/>
    <row r="22094" ht="12" customHeight="1"/>
    <row r="22095" ht="12" customHeight="1"/>
    <row r="22096" ht="12" customHeight="1"/>
    <row r="22097" ht="12" customHeight="1"/>
    <row r="22098" ht="12" customHeight="1"/>
    <row r="22099" ht="12" customHeight="1"/>
    <row r="22100" ht="12" customHeight="1"/>
    <row r="22101" ht="12" customHeight="1"/>
    <row r="22102" ht="12" customHeight="1"/>
    <row r="22103" ht="12" customHeight="1"/>
    <row r="22104" ht="12" customHeight="1"/>
    <row r="22105" ht="12" customHeight="1"/>
    <row r="22106" ht="12" customHeight="1"/>
    <row r="22107" ht="12" customHeight="1"/>
    <row r="22108" ht="12" customHeight="1"/>
    <row r="22109" ht="12" customHeight="1"/>
    <row r="22110" ht="12" customHeight="1"/>
    <row r="22111" ht="12" customHeight="1"/>
    <row r="22112" ht="12" customHeight="1"/>
    <row r="22113" ht="12" customHeight="1"/>
    <row r="22114" ht="12" customHeight="1"/>
    <row r="22115" ht="12" customHeight="1"/>
    <row r="22116" ht="12" customHeight="1"/>
    <row r="22117" ht="12" customHeight="1"/>
    <row r="22118" ht="12" customHeight="1"/>
    <row r="22119" ht="12" customHeight="1"/>
    <row r="22120" ht="12" customHeight="1"/>
    <row r="22121" ht="12" customHeight="1"/>
    <row r="22122" ht="12" customHeight="1"/>
    <row r="22123" ht="12" customHeight="1"/>
    <row r="22124" ht="12" customHeight="1"/>
    <row r="22125" ht="12" customHeight="1"/>
    <row r="22126" ht="12" customHeight="1"/>
    <row r="22127" ht="12" customHeight="1"/>
    <row r="22128" ht="12" customHeight="1"/>
    <row r="22129" ht="12" customHeight="1"/>
    <row r="22130" ht="12" customHeight="1"/>
    <row r="22131" ht="12" customHeight="1"/>
    <row r="22132" ht="12" customHeight="1"/>
    <row r="22133" ht="12" customHeight="1"/>
    <row r="22134" ht="12" customHeight="1"/>
    <row r="22135" ht="12" customHeight="1"/>
    <row r="22136" ht="12" customHeight="1"/>
    <row r="22137" ht="12" customHeight="1"/>
    <row r="22138" ht="12" customHeight="1"/>
    <row r="22139" ht="12" customHeight="1"/>
    <row r="22140" ht="12" customHeight="1"/>
    <row r="22141" ht="12" customHeight="1"/>
    <row r="22142" ht="12" customHeight="1"/>
    <row r="22143" ht="12" customHeight="1"/>
    <row r="22144" ht="12" customHeight="1"/>
    <row r="22145" ht="12" customHeight="1"/>
    <row r="22146" ht="12" customHeight="1"/>
    <row r="22147" ht="12" customHeight="1"/>
    <row r="22148" ht="12" customHeight="1"/>
    <row r="22149" ht="12" customHeight="1"/>
    <row r="22150" ht="12" customHeight="1"/>
    <row r="22151" ht="12" customHeight="1"/>
    <row r="22152" ht="12" customHeight="1"/>
    <row r="22153" ht="12" customHeight="1"/>
    <row r="22154" ht="12" customHeight="1"/>
    <row r="22155" ht="12" customHeight="1"/>
    <row r="22156" ht="12" customHeight="1"/>
    <row r="22157" ht="12" customHeight="1"/>
    <row r="22158" ht="12" customHeight="1"/>
    <row r="22159" ht="12" customHeight="1"/>
    <row r="22160" ht="12" customHeight="1"/>
    <row r="22161" ht="12" customHeight="1"/>
    <row r="22162" ht="12" customHeight="1"/>
    <row r="22163" ht="12" customHeight="1"/>
    <row r="22164" ht="12" customHeight="1"/>
    <row r="22165" ht="12" customHeight="1"/>
    <row r="22166" ht="12" customHeight="1"/>
    <row r="22167" ht="12" customHeight="1"/>
    <row r="22168" ht="12" customHeight="1"/>
    <row r="22169" ht="12" customHeight="1"/>
    <row r="22170" ht="12" customHeight="1"/>
    <row r="22171" ht="12" customHeight="1"/>
    <row r="22172" ht="12" customHeight="1"/>
    <row r="22173" ht="12" customHeight="1"/>
    <row r="22174" ht="12" customHeight="1"/>
    <row r="22175" ht="12" customHeight="1"/>
    <row r="22176" ht="12" customHeight="1"/>
    <row r="22177" ht="12" customHeight="1"/>
    <row r="22178" ht="12" customHeight="1"/>
    <row r="22179" ht="12" customHeight="1"/>
    <row r="22180" ht="12" customHeight="1"/>
    <row r="22181" ht="12" customHeight="1"/>
    <row r="22182" ht="12" customHeight="1"/>
    <row r="22183" ht="12" customHeight="1"/>
    <row r="22184" ht="12" customHeight="1"/>
    <row r="22185" ht="12" customHeight="1"/>
    <row r="22186" ht="12" customHeight="1"/>
    <row r="22187" ht="12" customHeight="1"/>
    <row r="22188" ht="12" customHeight="1"/>
    <row r="22189" ht="12" customHeight="1"/>
    <row r="22190" ht="12" customHeight="1"/>
    <row r="22191" ht="12" customHeight="1"/>
    <row r="22192" ht="12" customHeight="1"/>
    <row r="22193" ht="12" customHeight="1"/>
    <row r="22194" ht="12" customHeight="1"/>
    <row r="22195" ht="12" customHeight="1"/>
    <row r="22196" ht="12" customHeight="1"/>
    <row r="22197" ht="12" customHeight="1"/>
    <row r="22198" ht="12" customHeight="1"/>
    <row r="22199" ht="12" customHeight="1"/>
    <row r="22200" ht="12" customHeight="1"/>
    <row r="22201" ht="12" customHeight="1"/>
    <row r="22202" ht="12" customHeight="1"/>
    <row r="22203" ht="12" customHeight="1"/>
    <row r="22204" ht="12" customHeight="1"/>
    <row r="22205" ht="12" customHeight="1"/>
    <row r="22206" ht="12" customHeight="1"/>
    <row r="22207" ht="12" customHeight="1"/>
    <row r="22208" ht="12" customHeight="1"/>
    <row r="22209" ht="12" customHeight="1"/>
    <row r="22210" ht="12" customHeight="1"/>
    <row r="22211" ht="12" customHeight="1"/>
    <row r="22212" ht="12" customHeight="1"/>
    <row r="22213" ht="12" customHeight="1"/>
    <row r="22214" ht="12" customHeight="1"/>
    <row r="22215" ht="12" customHeight="1"/>
    <row r="22216" ht="12" customHeight="1"/>
    <row r="22217" ht="12" customHeight="1"/>
    <row r="22218" ht="12" customHeight="1"/>
    <row r="22219" ht="12" customHeight="1"/>
    <row r="22220" ht="12" customHeight="1"/>
    <row r="22221" ht="12" customHeight="1"/>
    <row r="22222" ht="12" customHeight="1"/>
    <row r="22223" ht="12" customHeight="1"/>
    <row r="22224" ht="12" customHeight="1"/>
    <row r="22225" ht="12" customHeight="1"/>
    <row r="22226" ht="12" customHeight="1"/>
    <row r="22227" ht="12" customHeight="1"/>
    <row r="22228" ht="12" customHeight="1"/>
    <row r="22229" ht="12" customHeight="1"/>
    <row r="22230" ht="12" customHeight="1"/>
    <row r="22231" ht="12" customHeight="1"/>
    <row r="22232" ht="12" customHeight="1"/>
    <row r="22233" ht="12" customHeight="1"/>
    <row r="22234" ht="12" customHeight="1"/>
    <row r="22235" ht="12" customHeight="1"/>
    <row r="22236" ht="12" customHeight="1"/>
    <row r="22237" ht="12" customHeight="1"/>
    <row r="22238" ht="12" customHeight="1"/>
    <row r="22239" ht="12" customHeight="1"/>
    <row r="22240" ht="12" customHeight="1"/>
    <row r="22241" ht="12" customHeight="1"/>
    <row r="22242" ht="12" customHeight="1"/>
    <row r="22243" ht="12" customHeight="1"/>
    <row r="22244" ht="12" customHeight="1"/>
    <row r="22245" ht="12" customHeight="1"/>
    <row r="22246" ht="12" customHeight="1"/>
    <row r="22247" ht="12" customHeight="1"/>
    <row r="22248" ht="12" customHeight="1"/>
    <row r="22249" ht="12" customHeight="1"/>
    <row r="22250" ht="12" customHeight="1"/>
    <row r="22251" ht="12" customHeight="1"/>
    <row r="22252" ht="12" customHeight="1"/>
    <row r="22253" ht="12" customHeight="1"/>
    <row r="22254" ht="12" customHeight="1"/>
    <row r="22255" ht="12" customHeight="1"/>
    <row r="22256" ht="12" customHeight="1"/>
    <row r="22257" ht="12" customHeight="1"/>
    <row r="22258" ht="12" customHeight="1"/>
    <row r="22259" ht="12" customHeight="1"/>
    <row r="22260" ht="12" customHeight="1"/>
    <row r="22261" ht="12" customHeight="1"/>
    <row r="22262" ht="12" customHeight="1"/>
    <row r="22263" ht="12" customHeight="1"/>
    <row r="22264" ht="12" customHeight="1"/>
    <row r="22265" ht="12" customHeight="1"/>
    <row r="22266" ht="12" customHeight="1"/>
    <row r="22267" ht="12" customHeight="1"/>
    <row r="22268" ht="12" customHeight="1"/>
    <row r="22269" ht="12" customHeight="1"/>
    <row r="22270" ht="12" customHeight="1"/>
    <row r="22271" ht="12" customHeight="1"/>
    <row r="22272" ht="12" customHeight="1"/>
    <row r="22273" ht="12" customHeight="1"/>
    <row r="22274" ht="12" customHeight="1"/>
    <row r="22275" ht="12" customHeight="1"/>
    <row r="22276" ht="12" customHeight="1"/>
    <row r="22277" ht="12" customHeight="1"/>
    <row r="22278" ht="12" customHeight="1"/>
    <row r="22279" ht="12" customHeight="1"/>
    <row r="22280" ht="12" customHeight="1"/>
    <row r="22281" ht="12" customHeight="1"/>
    <row r="22282" ht="12" customHeight="1"/>
    <row r="22283" ht="12" customHeight="1"/>
    <row r="22284" ht="12" customHeight="1"/>
    <row r="22285" ht="12" customHeight="1"/>
    <row r="22286" ht="12" customHeight="1"/>
    <row r="22287" ht="12" customHeight="1"/>
    <row r="22288" ht="12" customHeight="1"/>
    <row r="22289" ht="12" customHeight="1"/>
    <row r="22290" ht="12" customHeight="1"/>
    <row r="22291" ht="12" customHeight="1"/>
    <row r="22292" ht="12" customHeight="1"/>
    <row r="22293" ht="12" customHeight="1"/>
    <row r="22294" ht="12" customHeight="1"/>
    <row r="22295" ht="12" customHeight="1"/>
    <row r="22296" ht="12" customHeight="1"/>
    <row r="22297" ht="12" customHeight="1"/>
    <row r="22298" ht="12" customHeight="1"/>
    <row r="22299" ht="12" customHeight="1"/>
    <row r="22300" ht="12" customHeight="1"/>
    <row r="22301" ht="12" customHeight="1"/>
    <row r="22302" ht="12" customHeight="1"/>
    <row r="22303" ht="12" customHeight="1"/>
    <row r="22304" ht="12" customHeight="1"/>
    <row r="22305" ht="12" customHeight="1"/>
    <row r="22306" ht="12" customHeight="1"/>
    <row r="22307" ht="12" customHeight="1"/>
    <row r="22308" ht="12" customHeight="1"/>
    <row r="22309" ht="12" customHeight="1"/>
    <row r="22310" ht="12" customHeight="1"/>
    <row r="22311" ht="12" customHeight="1"/>
    <row r="22312" ht="12" customHeight="1"/>
    <row r="22313" ht="12" customHeight="1"/>
    <row r="22314" ht="12" customHeight="1"/>
    <row r="22315" ht="12" customHeight="1"/>
    <row r="22316" ht="12" customHeight="1"/>
    <row r="22317" ht="12" customHeight="1"/>
    <row r="22318" ht="12" customHeight="1"/>
    <row r="22319" ht="12" customHeight="1"/>
    <row r="22320" ht="12" customHeight="1"/>
    <row r="22321" ht="12" customHeight="1"/>
    <row r="22322" ht="12" customHeight="1"/>
    <row r="22323" ht="12" customHeight="1"/>
    <row r="22324" ht="12" customHeight="1"/>
    <row r="22325" ht="12" customHeight="1"/>
    <row r="22326" ht="12" customHeight="1"/>
    <row r="22327" ht="12" customHeight="1"/>
    <row r="22328" ht="12" customHeight="1"/>
    <row r="22329" ht="12" customHeight="1"/>
    <row r="22330" ht="12" customHeight="1"/>
    <row r="22331" ht="12" customHeight="1"/>
    <row r="22332" ht="12" customHeight="1"/>
    <row r="22333" ht="12" customHeight="1"/>
    <row r="22334" ht="12" customHeight="1"/>
    <row r="22335" ht="12" customHeight="1"/>
    <row r="22336" ht="12" customHeight="1"/>
    <row r="22337" ht="12" customHeight="1"/>
    <row r="22338" ht="12" customHeight="1"/>
    <row r="22339" ht="12" customHeight="1"/>
    <row r="22340" ht="12" customHeight="1"/>
    <row r="22341" ht="12" customHeight="1"/>
    <row r="22342" ht="12" customHeight="1"/>
    <row r="22343" ht="12" customHeight="1"/>
    <row r="22344" ht="12" customHeight="1"/>
    <row r="22345" ht="12" customHeight="1"/>
    <row r="22346" ht="12" customHeight="1"/>
    <row r="22347" ht="12" customHeight="1"/>
    <row r="22348" ht="12" customHeight="1"/>
    <row r="22349" ht="12" customHeight="1"/>
    <row r="22350" ht="12" customHeight="1"/>
    <row r="22351" ht="12" customHeight="1"/>
    <row r="22352" ht="12" customHeight="1"/>
    <row r="22353" ht="12" customHeight="1"/>
    <row r="22354" ht="12" customHeight="1"/>
    <row r="22355" ht="12" customHeight="1"/>
    <row r="22356" ht="12" customHeight="1"/>
    <row r="22357" ht="12" customHeight="1"/>
    <row r="22358" ht="12" customHeight="1"/>
    <row r="22359" ht="12" customHeight="1"/>
    <row r="22360" ht="12" customHeight="1"/>
    <row r="22361" ht="12" customHeight="1"/>
    <row r="22362" ht="12" customHeight="1"/>
    <row r="22363" ht="12" customHeight="1"/>
    <row r="22364" ht="12" customHeight="1"/>
    <row r="22365" ht="12" customHeight="1"/>
    <row r="22366" ht="12" customHeight="1"/>
    <row r="22367" ht="12" customHeight="1"/>
    <row r="22368" ht="12" customHeight="1"/>
    <row r="22369" ht="12" customHeight="1"/>
    <row r="22370" ht="12" customHeight="1"/>
    <row r="22371" ht="12" customHeight="1"/>
    <row r="22372" ht="12" customHeight="1"/>
    <row r="22373" ht="12" customHeight="1"/>
    <row r="22374" ht="12" customHeight="1"/>
    <row r="22375" ht="12" customHeight="1"/>
    <row r="22376" ht="12" customHeight="1"/>
    <row r="22377" ht="12" customHeight="1"/>
    <row r="22378" ht="12" customHeight="1"/>
    <row r="22379" ht="12" customHeight="1"/>
    <row r="22380" ht="12" customHeight="1"/>
    <row r="22381" ht="12" customHeight="1"/>
    <row r="22382" ht="12" customHeight="1"/>
    <row r="22383" ht="12" customHeight="1"/>
    <row r="22384" ht="12" customHeight="1"/>
    <row r="22385" ht="12" customHeight="1"/>
    <row r="22386" ht="12" customHeight="1"/>
    <row r="22387" ht="12" customHeight="1"/>
    <row r="22388" ht="12" customHeight="1"/>
    <row r="22389" ht="12" customHeight="1"/>
    <row r="22390" ht="12" customHeight="1"/>
    <row r="22391" ht="12" customHeight="1"/>
    <row r="22392" ht="12" customHeight="1"/>
    <row r="22393" ht="12" customHeight="1"/>
    <row r="22394" ht="12" customHeight="1"/>
    <row r="22395" ht="12" customHeight="1"/>
    <row r="22396" ht="12" customHeight="1"/>
    <row r="22397" ht="12" customHeight="1"/>
    <row r="22398" ht="12" customHeight="1"/>
    <row r="22399" ht="12" customHeight="1"/>
    <row r="22400" ht="12" customHeight="1"/>
    <row r="22401" ht="12" customHeight="1"/>
    <row r="22402" ht="12" customHeight="1"/>
    <row r="22403" ht="12" customHeight="1"/>
    <row r="22404" ht="12" customHeight="1"/>
    <row r="22405" ht="12" customHeight="1"/>
    <row r="22406" ht="12" customHeight="1"/>
    <row r="22407" ht="12" customHeight="1"/>
    <row r="22408" ht="12" customHeight="1"/>
    <row r="22409" ht="12" customHeight="1"/>
    <row r="22410" ht="12" customHeight="1"/>
    <row r="22411" ht="12" customHeight="1"/>
    <row r="22412" ht="12" customHeight="1"/>
    <row r="22413" ht="12" customHeight="1"/>
    <row r="22414" ht="12" customHeight="1"/>
    <row r="22415" ht="12" customHeight="1"/>
    <row r="22416" ht="12" customHeight="1"/>
    <row r="22417" ht="12" customHeight="1"/>
    <row r="22418" ht="12" customHeight="1"/>
    <row r="22419" ht="12" customHeight="1"/>
    <row r="22420" ht="12" customHeight="1"/>
    <row r="22421" ht="12" customHeight="1"/>
    <row r="22422" ht="12" customHeight="1"/>
    <row r="22423" ht="12" customHeight="1"/>
    <row r="22424" ht="12" customHeight="1"/>
    <row r="22425" ht="12" customHeight="1"/>
    <row r="22426" ht="12" customHeight="1"/>
    <row r="22427" ht="12" customHeight="1"/>
    <row r="22428" ht="12" customHeight="1"/>
    <row r="22429" ht="12" customHeight="1"/>
    <row r="22430" ht="12" customHeight="1"/>
    <row r="22431" ht="12" customHeight="1"/>
    <row r="22432" ht="12" customHeight="1"/>
    <row r="22433" ht="12" customHeight="1"/>
    <row r="22434" ht="12" customHeight="1"/>
    <row r="22435" ht="12" customHeight="1"/>
    <row r="22436" ht="12" customHeight="1"/>
    <row r="22437" ht="12" customHeight="1"/>
    <row r="22438" ht="12" customHeight="1"/>
    <row r="22439" ht="12" customHeight="1"/>
    <row r="22440" ht="12" customHeight="1"/>
    <row r="22441" ht="12" customHeight="1"/>
    <row r="22442" ht="12" customHeight="1"/>
    <row r="22443" ht="12" customHeight="1"/>
    <row r="22444" ht="12" customHeight="1"/>
    <row r="22445" ht="12" customHeight="1"/>
    <row r="22446" ht="12" customHeight="1"/>
    <row r="22447" ht="12" customHeight="1"/>
    <row r="22448" ht="12" customHeight="1"/>
    <row r="22449" ht="12" customHeight="1"/>
    <row r="22450" ht="12" customHeight="1"/>
    <row r="22451" ht="12" customHeight="1"/>
    <row r="22452" ht="12" customHeight="1"/>
    <row r="22453" ht="12" customHeight="1"/>
    <row r="22454" ht="12" customHeight="1"/>
    <row r="22455" ht="12" customHeight="1"/>
    <row r="22456" ht="12" customHeight="1"/>
    <row r="22457" ht="12" customHeight="1"/>
    <row r="22458" ht="12" customHeight="1"/>
    <row r="22459" ht="12" customHeight="1"/>
    <row r="22460" ht="12" customHeight="1"/>
    <row r="22461" ht="12" customHeight="1"/>
    <row r="22462" ht="12" customHeight="1"/>
    <row r="22463" ht="12" customHeight="1"/>
    <row r="22464" ht="12" customHeight="1"/>
    <row r="22465" ht="12" customHeight="1"/>
    <row r="22466" ht="12" customHeight="1"/>
    <row r="22467" ht="12" customHeight="1"/>
    <row r="22468" ht="12" customHeight="1"/>
    <row r="22469" ht="12" customHeight="1"/>
    <row r="22470" ht="12" customHeight="1"/>
    <row r="22471" ht="12" customHeight="1"/>
    <row r="22472" ht="12" customHeight="1"/>
    <row r="22473" ht="12" customHeight="1"/>
    <row r="22474" ht="12" customHeight="1"/>
    <row r="22475" ht="12" customHeight="1"/>
    <row r="22476" ht="12" customHeight="1"/>
    <row r="22477" ht="12" customHeight="1"/>
    <row r="22478" ht="12" customHeight="1"/>
    <row r="22479" ht="12" customHeight="1"/>
    <row r="22480" ht="12" customHeight="1"/>
    <row r="22481" ht="12" customHeight="1"/>
    <row r="22482" ht="12" customHeight="1"/>
    <row r="22483" ht="12" customHeight="1"/>
    <row r="22484" ht="12" customHeight="1"/>
    <row r="22485" ht="12" customHeight="1"/>
    <row r="22486" ht="12" customHeight="1"/>
    <row r="22487" ht="12" customHeight="1"/>
    <row r="22488" ht="12" customHeight="1"/>
    <row r="22489" ht="12" customHeight="1"/>
    <row r="22490" ht="12" customHeight="1"/>
    <row r="22491" ht="12" customHeight="1"/>
    <row r="22492" ht="12" customHeight="1"/>
    <row r="22493" ht="12" customHeight="1"/>
    <row r="22494" ht="12" customHeight="1"/>
    <row r="22495" ht="12" customHeight="1"/>
    <row r="22496" ht="12" customHeight="1"/>
    <row r="22497" ht="12" customHeight="1"/>
    <row r="22498" ht="12" customHeight="1"/>
    <row r="22499" ht="12" customHeight="1"/>
    <row r="22500" ht="12" customHeight="1"/>
    <row r="22501" ht="12" customHeight="1"/>
    <row r="22502" ht="12" customHeight="1"/>
    <row r="22503" ht="12" customHeight="1"/>
    <row r="22504" ht="12" customHeight="1"/>
    <row r="22505" ht="12" customHeight="1"/>
    <row r="22506" ht="12" customHeight="1"/>
    <row r="22507" ht="12" customHeight="1"/>
    <row r="22508" ht="12" customHeight="1"/>
    <row r="22509" ht="12" customHeight="1"/>
    <row r="22510" ht="12" customHeight="1"/>
    <row r="22511" ht="12" customHeight="1"/>
    <row r="22512" ht="12" customHeight="1"/>
    <row r="22513" ht="12" customHeight="1"/>
    <row r="22514" ht="12" customHeight="1"/>
    <row r="22515" ht="12" customHeight="1"/>
    <row r="22516" ht="12" customHeight="1"/>
    <row r="22517" ht="12" customHeight="1"/>
    <row r="22518" ht="12" customHeight="1"/>
    <row r="22519" ht="12" customHeight="1"/>
    <row r="22520" ht="12" customHeight="1"/>
    <row r="22521" ht="12" customHeight="1"/>
    <row r="22522" ht="12" customHeight="1"/>
    <row r="22523" ht="12" customHeight="1"/>
    <row r="22524" ht="12" customHeight="1"/>
    <row r="22525" ht="12" customHeight="1"/>
    <row r="22526" ht="12" customHeight="1"/>
    <row r="22527" ht="12" customHeight="1"/>
    <row r="22528" ht="12" customHeight="1"/>
    <row r="22529" ht="12" customHeight="1"/>
    <row r="22530" ht="12" customHeight="1"/>
    <row r="22531" ht="12" customHeight="1"/>
    <row r="22532" ht="12" customHeight="1"/>
    <row r="22533" ht="12" customHeight="1"/>
    <row r="22534" ht="12" customHeight="1"/>
    <row r="22535" ht="12" customHeight="1"/>
    <row r="22536" ht="12" customHeight="1"/>
    <row r="22537" ht="12" customHeight="1"/>
    <row r="22538" ht="12" customHeight="1"/>
    <row r="22539" ht="12" customHeight="1"/>
    <row r="22540" ht="12" customHeight="1"/>
    <row r="22541" ht="12" customHeight="1"/>
    <row r="22542" ht="12" customHeight="1"/>
    <row r="22543" ht="12" customHeight="1"/>
    <row r="22544" ht="12" customHeight="1"/>
    <row r="22545" ht="12" customHeight="1"/>
    <row r="22546" ht="12" customHeight="1"/>
    <row r="22547" ht="12" customHeight="1"/>
    <row r="22548" ht="12" customHeight="1"/>
    <row r="22549" ht="12" customHeight="1"/>
    <row r="22550" ht="12" customHeight="1"/>
    <row r="22551" ht="12" customHeight="1"/>
    <row r="22552" ht="12" customHeight="1"/>
    <row r="22553" ht="12" customHeight="1"/>
    <row r="22554" ht="12" customHeight="1"/>
    <row r="22555" ht="12" customHeight="1"/>
    <row r="22556" ht="12" customHeight="1"/>
    <row r="22557" ht="12" customHeight="1"/>
    <row r="22558" ht="12" customHeight="1"/>
    <row r="22559" ht="12" customHeight="1"/>
    <row r="22560" ht="12" customHeight="1"/>
    <row r="22561" ht="12" customHeight="1"/>
    <row r="22562" ht="12" customHeight="1"/>
    <row r="22563" ht="12" customHeight="1"/>
    <row r="22564" ht="12" customHeight="1"/>
    <row r="22565" ht="12" customHeight="1"/>
    <row r="22566" ht="12" customHeight="1"/>
    <row r="22567" ht="12" customHeight="1"/>
    <row r="22568" ht="12" customHeight="1"/>
    <row r="22569" ht="12" customHeight="1"/>
    <row r="22570" ht="12" customHeight="1"/>
    <row r="22571" ht="12" customHeight="1"/>
    <row r="22572" ht="12" customHeight="1"/>
    <row r="22573" ht="12" customHeight="1"/>
    <row r="22574" ht="12" customHeight="1"/>
    <row r="22575" ht="12" customHeight="1"/>
    <row r="22576" ht="12" customHeight="1"/>
    <row r="22577" ht="12" customHeight="1"/>
    <row r="22578" ht="12" customHeight="1"/>
    <row r="22579" ht="12" customHeight="1"/>
    <row r="22580" ht="12" customHeight="1"/>
    <row r="22581" ht="12" customHeight="1"/>
    <row r="22582" ht="12" customHeight="1"/>
    <row r="22583" ht="12" customHeight="1"/>
    <row r="22584" ht="12" customHeight="1"/>
    <row r="22585" ht="12" customHeight="1"/>
    <row r="22586" ht="12" customHeight="1"/>
    <row r="22587" ht="12" customHeight="1"/>
    <row r="22588" ht="12" customHeight="1"/>
    <row r="22589" ht="12" customHeight="1"/>
    <row r="22590" ht="12" customHeight="1"/>
    <row r="22591" ht="12" customHeight="1"/>
    <row r="22592" ht="12" customHeight="1"/>
    <row r="22593" ht="12" customHeight="1"/>
    <row r="22594" ht="12" customHeight="1"/>
    <row r="22595" ht="12" customHeight="1"/>
    <row r="22596" ht="12" customHeight="1"/>
    <row r="22597" ht="12" customHeight="1"/>
    <row r="22598" ht="12" customHeight="1"/>
    <row r="22599" ht="12" customHeight="1"/>
    <row r="22600" ht="12" customHeight="1"/>
    <row r="22601" ht="12" customHeight="1"/>
    <row r="22602" ht="12" customHeight="1"/>
    <row r="22603" ht="12" customHeight="1"/>
    <row r="22604" ht="12" customHeight="1"/>
    <row r="22605" ht="12" customHeight="1"/>
    <row r="22606" ht="12" customHeight="1"/>
    <row r="22607" ht="12" customHeight="1"/>
    <row r="22608" ht="12" customHeight="1"/>
    <row r="22609" ht="12" customHeight="1"/>
    <row r="22610" ht="12" customHeight="1"/>
    <row r="22611" ht="12" customHeight="1"/>
    <row r="22612" ht="12" customHeight="1"/>
    <row r="22613" ht="12" customHeight="1"/>
    <row r="22614" ht="12" customHeight="1"/>
    <row r="22615" ht="12" customHeight="1"/>
    <row r="22616" ht="12" customHeight="1"/>
    <row r="22617" ht="12" customHeight="1"/>
    <row r="22618" ht="12" customHeight="1"/>
    <row r="22619" ht="12" customHeight="1"/>
    <row r="22620" ht="12" customHeight="1"/>
    <row r="22621" ht="12" customHeight="1"/>
    <row r="22622" ht="12" customHeight="1"/>
    <row r="22623" ht="12" customHeight="1"/>
    <row r="22624" ht="12" customHeight="1"/>
    <row r="22625" ht="12" customHeight="1"/>
    <row r="22626" ht="12" customHeight="1"/>
    <row r="22627" ht="12" customHeight="1"/>
    <row r="22628" ht="12" customHeight="1"/>
    <row r="22629" ht="12" customHeight="1"/>
    <row r="22630" ht="12" customHeight="1"/>
    <row r="22631" ht="12" customHeight="1"/>
    <row r="22632" ht="12" customHeight="1"/>
    <row r="22633" ht="12" customHeight="1"/>
    <row r="22634" ht="12" customHeight="1"/>
    <row r="22635" ht="12" customHeight="1"/>
    <row r="22636" ht="12" customHeight="1"/>
    <row r="22637" ht="12" customHeight="1"/>
    <row r="22638" ht="12" customHeight="1"/>
    <row r="22639" ht="12" customHeight="1"/>
    <row r="22640" ht="12" customHeight="1"/>
    <row r="22641" ht="12" customHeight="1"/>
    <row r="22642" ht="12" customHeight="1"/>
    <row r="22643" ht="12" customHeight="1"/>
    <row r="22644" ht="12" customHeight="1"/>
    <row r="22645" ht="12" customHeight="1"/>
    <row r="22646" ht="12" customHeight="1"/>
    <row r="22647" ht="12" customHeight="1"/>
    <row r="22648" ht="12" customHeight="1"/>
    <row r="22649" ht="12" customHeight="1"/>
    <row r="22650" ht="12" customHeight="1"/>
    <row r="22651" ht="12" customHeight="1"/>
    <row r="22652" ht="12" customHeight="1"/>
    <row r="22653" ht="12" customHeight="1"/>
    <row r="22654" ht="12" customHeight="1"/>
    <row r="22655" ht="12" customHeight="1"/>
    <row r="22656" ht="12" customHeight="1"/>
    <row r="22657" ht="12" customHeight="1"/>
    <row r="22658" ht="12" customHeight="1"/>
    <row r="22659" ht="12" customHeight="1"/>
    <row r="22660" ht="12" customHeight="1"/>
    <row r="22661" ht="12" customHeight="1"/>
    <row r="22662" ht="12" customHeight="1"/>
    <row r="22663" ht="12" customHeight="1"/>
    <row r="22664" ht="12" customHeight="1"/>
    <row r="22665" ht="12" customHeight="1"/>
    <row r="22666" ht="12" customHeight="1"/>
    <row r="22667" ht="12" customHeight="1"/>
    <row r="22668" ht="12" customHeight="1"/>
    <row r="22669" ht="12" customHeight="1"/>
    <row r="22670" ht="12" customHeight="1"/>
    <row r="22671" ht="12" customHeight="1"/>
    <row r="22672" ht="12" customHeight="1"/>
    <row r="22673" ht="12" customHeight="1"/>
    <row r="22674" ht="12" customHeight="1"/>
    <row r="22675" ht="12" customHeight="1"/>
    <row r="22676" ht="12" customHeight="1"/>
    <row r="22677" ht="12" customHeight="1"/>
    <row r="22678" ht="12" customHeight="1"/>
    <row r="22679" ht="12" customHeight="1"/>
    <row r="22680" ht="12" customHeight="1"/>
    <row r="22681" ht="12" customHeight="1"/>
    <row r="22682" ht="12" customHeight="1"/>
    <row r="22683" ht="12" customHeight="1"/>
    <row r="22684" ht="12" customHeight="1"/>
    <row r="22685" ht="12" customHeight="1"/>
    <row r="22686" ht="12" customHeight="1"/>
    <row r="22687" ht="12" customHeight="1"/>
    <row r="22688" ht="12" customHeight="1"/>
    <row r="22689" ht="12" customHeight="1"/>
    <row r="22690" ht="12" customHeight="1"/>
    <row r="22691" ht="12" customHeight="1"/>
    <row r="22692" ht="12" customHeight="1"/>
    <row r="22693" ht="12" customHeight="1"/>
    <row r="22694" ht="12" customHeight="1"/>
    <row r="22695" ht="12" customHeight="1"/>
    <row r="22696" ht="12" customHeight="1"/>
    <row r="22697" ht="12" customHeight="1"/>
    <row r="22698" ht="12" customHeight="1"/>
    <row r="22699" ht="12" customHeight="1"/>
    <row r="22700" ht="12" customHeight="1"/>
    <row r="22701" ht="12" customHeight="1"/>
    <row r="22702" ht="12" customHeight="1"/>
    <row r="22703" ht="12" customHeight="1"/>
    <row r="22704" ht="12" customHeight="1"/>
    <row r="22705" ht="12" customHeight="1"/>
    <row r="22706" ht="12" customHeight="1"/>
    <row r="22707" ht="12" customHeight="1"/>
    <row r="22708" ht="12" customHeight="1"/>
    <row r="22709" ht="12" customHeight="1"/>
    <row r="22710" ht="12" customHeight="1"/>
    <row r="22711" ht="12" customHeight="1"/>
    <row r="22712" ht="12" customHeight="1"/>
    <row r="22713" ht="12" customHeight="1"/>
    <row r="22714" ht="12" customHeight="1"/>
    <row r="22715" ht="12" customHeight="1"/>
    <row r="22716" ht="12" customHeight="1"/>
    <row r="22717" ht="12" customHeight="1"/>
    <row r="22718" ht="12" customHeight="1"/>
    <row r="22719" ht="12" customHeight="1"/>
    <row r="22720" ht="12" customHeight="1"/>
    <row r="22721" ht="12" customHeight="1"/>
    <row r="22722" ht="12" customHeight="1"/>
    <row r="22723" ht="12" customHeight="1"/>
    <row r="22724" ht="12" customHeight="1"/>
    <row r="22725" ht="12" customHeight="1"/>
    <row r="22726" ht="12" customHeight="1"/>
    <row r="22727" ht="12" customHeight="1"/>
    <row r="22728" ht="12" customHeight="1"/>
    <row r="22729" ht="12" customHeight="1"/>
    <row r="22730" ht="12" customHeight="1"/>
    <row r="22731" ht="12" customHeight="1"/>
    <row r="22732" ht="12" customHeight="1"/>
    <row r="22733" ht="12" customHeight="1"/>
    <row r="22734" ht="12" customHeight="1"/>
    <row r="22735" ht="12" customHeight="1"/>
    <row r="22736" ht="12" customHeight="1"/>
    <row r="22737" ht="12" customHeight="1"/>
    <row r="22738" ht="12" customHeight="1"/>
    <row r="22739" ht="12" customHeight="1"/>
    <row r="22740" ht="12" customHeight="1"/>
    <row r="22741" ht="12" customHeight="1"/>
    <row r="22742" ht="12" customHeight="1"/>
    <row r="22743" ht="12" customHeight="1"/>
    <row r="22744" ht="12" customHeight="1"/>
    <row r="22745" ht="12" customHeight="1"/>
    <row r="22746" ht="12" customHeight="1"/>
    <row r="22747" ht="12" customHeight="1"/>
    <row r="22748" ht="12" customHeight="1"/>
    <row r="22749" ht="12" customHeight="1"/>
    <row r="22750" ht="12" customHeight="1"/>
    <row r="22751" ht="12" customHeight="1"/>
    <row r="22752" ht="12" customHeight="1"/>
    <row r="22753" ht="12" customHeight="1"/>
    <row r="22754" ht="12" customHeight="1"/>
    <row r="22755" ht="12" customHeight="1"/>
    <row r="22756" ht="12" customHeight="1"/>
    <row r="22757" ht="12" customHeight="1"/>
    <row r="22758" ht="12" customHeight="1"/>
    <row r="22759" ht="12" customHeight="1"/>
    <row r="22760" ht="12" customHeight="1"/>
    <row r="22761" ht="12" customHeight="1"/>
    <row r="22762" ht="12" customHeight="1"/>
    <row r="22763" ht="12" customHeight="1"/>
    <row r="22764" ht="12" customHeight="1"/>
    <row r="22765" ht="12" customHeight="1"/>
    <row r="22766" ht="12" customHeight="1"/>
    <row r="22767" ht="12" customHeight="1"/>
    <row r="22768" ht="12" customHeight="1"/>
    <row r="22769" ht="12" customHeight="1"/>
    <row r="22770" ht="12" customHeight="1"/>
    <row r="22771" ht="12" customHeight="1"/>
    <row r="22772" ht="12" customHeight="1"/>
    <row r="22773" ht="12" customHeight="1"/>
    <row r="22774" ht="12" customHeight="1"/>
    <row r="22775" ht="12" customHeight="1"/>
    <row r="22776" ht="12" customHeight="1"/>
    <row r="22777" ht="12" customHeight="1"/>
    <row r="22778" ht="12" customHeight="1"/>
    <row r="22779" ht="12" customHeight="1"/>
    <row r="22780" ht="12" customHeight="1"/>
    <row r="22781" ht="12" customHeight="1"/>
    <row r="22782" ht="12" customHeight="1"/>
    <row r="22783" ht="12" customHeight="1"/>
    <row r="22784" ht="12" customHeight="1"/>
    <row r="22785" ht="12" customHeight="1"/>
    <row r="22786" ht="12" customHeight="1"/>
    <row r="22787" ht="12" customHeight="1"/>
    <row r="22788" ht="12" customHeight="1"/>
    <row r="22789" ht="12" customHeight="1"/>
    <row r="22790" ht="12" customHeight="1"/>
    <row r="22791" ht="12" customHeight="1"/>
    <row r="22792" ht="12" customHeight="1"/>
    <row r="22793" ht="12" customHeight="1"/>
    <row r="22794" ht="12" customHeight="1"/>
    <row r="22795" ht="12" customHeight="1"/>
    <row r="22796" ht="12" customHeight="1"/>
    <row r="22797" ht="12" customHeight="1"/>
    <row r="22798" ht="12" customHeight="1"/>
    <row r="22799" ht="12" customHeight="1"/>
    <row r="22800" ht="12" customHeight="1"/>
    <row r="22801" ht="12" customHeight="1"/>
    <row r="22802" ht="12" customHeight="1"/>
    <row r="22803" ht="12" customHeight="1"/>
    <row r="22804" ht="12" customHeight="1"/>
    <row r="22805" ht="12" customHeight="1"/>
    <row r="22806" ht="12" customHeight="1"/>
    <row r="22807" ht="12" customHeight="1"/>
    <row r="22808" ht="12" customHeight="1"/>
    <row r="22809" ht="12" customHeight="1"/>
    <row r="22810" ht="12" customHeight="1"/>
    <row r="22811" ht="12" customHeight="1"/>
    <row r="22812" ht="12" customHeight="1"/>
    <row r="22813" ht="12" customHeight="1"/>
    <row r="22814" ht="12" customHeight="1"/>
    <row r="22815" ht="12" customHeight="1"/>
    <row r="22816" ht="12" customHeight="1"/>
    <row r="22817" ht="12" customHeight="1"/>
    <row r="22818" ht="12" customHeight="1"/>
    <row r="22819" ht="12" customHeight="1"/>
    <row r="22820" ht="12" customHeight="1"/>
    <row r="22821" ht="12" customHeight="1"/>
    <row r="22822" ht="12" customHeight="1"/>
    <row r="22823" ht="12" customHeight="1"/>
    <row r="22824" ht="12" customHeight="1"/>
    <row r="22825" ht="12" customHeight="1"/>
    <row r="22826" ht="12" customHeight="1"/>
    <row r="22827" ht="12" customHeight="1"/>
    <row r="22828" ht="12" customHeight="1"/>
    <row r="22829" ht="12" customHeight="1"/>
    <row r="22830" ht="12" customHeight="1"/>
    <row r="22831" ht="12" customHeight="1"/>
    <row r="22832" ht="12" customHeight="1"/>
    <row r="22833" ht="12" customHeight="1"/>
    <row r="22834" ht="12" customHeight="1"/>
    <row r="22835" ht="12" customHeight="1"/>
    <row r="22836" ht="12" customHeight="1"/>
    <row r="22837" ht="12" customHeight="1"/>
    <row r="22838" ht="12" customHeight="1"/>
    <row r="22839" ht="12" customHeight="1"/>
    <row r="22840" ht="12" customHeight="1"/>
    <row r="22841" ht="12" customHeight="1"/>
    <row r="22842" ht="12" customHeight="1"/>
    <row r="22843" ht="12" customHeight="1"/>
    <row r="22844" ht="12" customHeight="1"/>
    <row r="22845" ht="12" customHeight="1"/>
    <row r="22846" ht="12" customHeight="1"/>
    <row r="22847" ht="12" customHeight="1"/>
    <row r="22848" ht="12" customHeight="1"/>
    <row r="22849" ht="12" customHeight="1"/>
    <row r="22850" ht="12" customHeight="1"/>
    <row r="22851" ht="12" customHeight="1"/>
    <row r="22852" ht="12" customHeight="1"/>
    <row r="22853" ht="12" customHeight="1"/>
    <row r="22854" ht="12" customHeight="1"/>
    <row r="22855" ht="12" customHeight="1"/>
    <row r="22856" ht="12" customHeight="1"/>
    <row r="22857" ht="12" customHeight="1"/>
    <row r="22858" ht="12" customHeight="1"/>
    <row r="22859" ht="12" customHeight="1"/>
    <row r="22860" ht="12" customHeight="1"/>
    <row r="22861" ht="12" customHeight="1"/>
    <row r="22862" ht="12" customHeight="1"/>
    <row r="22863" ht="12" customHeight="1"/>
    <row r="22864" ht="12" customHeight="1"/>
    <row r="22865" ht="12" customHeight="1"/>
    <row r="22866" ht="12" customHeight="1"/>
    <row r="22867" ht="12" customHeight="1"/>
    <row r="22868" ht="12" customHeight="1"/>
    <row r="22869" ht="12" customHeight="1"/>
    <row r="22870" ht="12" customHeight="1"/>
    <row r="22871" ht="12" customHeight="1"/>
    <row r="22872" ht="12" customHeight="1"/>
    <row r="22873" ht="12" customHeight="1"/>
    <row r="22874" ht="12" customHeight="1"/>
    <row r="22875" ht="12" customHeight="1"/>
    <row r="22876" ht="12" customHeight="1"/>
    <row r="22877" ht="12" customHeight="1"/>
    <row r="22878" ht="12" customHeight="1"/>
    <row r="22879" ht="12" customHeight="1"/>
    <row r="22880" ht="12" customHeight="1"/>
    <row r="22881" ht="12" customHeight="1"/>
    <row r="22882" ht="12" customHeight="1"/>
    <row r="22883" ht="12" customHeight="1"/>
    <row r="22884" ht="12" customHeight="1"/>
    <row r="22885" ht="12" customHeight="1"/>
    <row r="22886" ht="12" customHeight="1"/>
    <row r="22887" ht="12" customHeight="1"/>
    <row r="22888" ht="12" customHeight="1"/>
    <row r="22889" ht="12" customHeight="1"/>
    <row r="22890" ht="12" customHeight="1"/>
    <row r="22891" ht="12" customHeight="1"/>
    <row r="22892" ht="12" customHeight="1"/>
    <row r="22893" ht="12" customHeight="1"/>
    <row r="22894" ht="12" customHeight="1"/>
    <row r="22895" ht="12" customHeight="1"/>
    <row r="22896" ht="12" customHeight="1"/>
    <row r="22897" ht="12" customHeight="1"/>
    <row r="22898" ht="12" customHeight="1"/>
    <row r="22899" ht="12" customHeight="1"/>
    <row r="22900" ht="12" customHeight="1"/>
    <row r="22901" ht="12" customHeight="1"/>
    <row r="22902" ht="12" customHeight="1"/>
    <row r="22903" ht="12" customHeight="1"/>
    <row r="22904" ht="12" customHeight="1"/>
    <row r="22905" ht="12" customHeight="1"/>
    <row r="22906" ht="12" customHeight="1"/>
    <row r="22907" ht="12" customHeight="1"/>
    <row r="22908" ht="12" customHeight="1"/>
    <row r="22909" ht="12" customHeight="1"/>
    <row r="22910" ht="12" customHeight="1"/>
    <row r="22911" ht="12" customHeight="1"/>
    <row r="22912" ht="12" customHeight="1"/>
    <row r="22913" ht="12" customHeight="1"/>
    <row r="22914" ht="12" customHeight="1"/>
    <row r="22915" ht="12" customHeight="1"/>
    <row r="22916" ht="12" customHeight="1"/>
    <row r="22917" ht="12" customHeight="1"/>
    <row r="22918" ht="12" customHeight="1"/>
    <row r="22919" ht="12" customHeight="1"/>
    <row r="22920" ht="12" customHeight="1"/>
    <row r="22921" ht="12" customHeight="1"/>
    <row r="22922" ht="12" customHeight="1"/>
    <row r="22923" ht="12" customHeight="1"/>
    <row r="22924" ht="12" customHeight="1"/>
    <row r="22925" ht="12" customHeight="1"/>
    <row r="22926" ht="12" customHeight="1"/>
    <row r="22927" ht="12" customHeight="1"/>
    <row r="22928" ht="12" customHeight="1"/>
    <row r="22929" ht="12" customHeight="1"/>
    <row r="22930" ht="12" customHeight="1"/>
    <row r="22931" ht="12" customHeight="1"/>
    <row r="22932" ht="12" customHeight="1"/>
    <row r="22933" ht="12" customHeight="1"/>
    <row r="22934" ht="12" customHeight="1"/>
    <row r="22935" ht="12" customHeight="1"/>
    <row r="22936" ht="12" customHeight="1"/>
    <row r="22937" ht="12" customHeight="1"/>
    <row r="22938" ht="12" customHeight="1"/>
    <row r="22939" ht="12" customHeight="1"/>
    <row r="22940" ht="12" customHeight="1"/>
    <row r="22941" ht="12" customHeight="1"/>
    <row r="22942" ht="12" customHeight="1"/>
    <row r="22943" ht="12" customHeight="1"/>
    <row r="22944" ht="12" customHeight="1"/>
    <row r="22945" ht="12" customHeight="1"/>
    <row r="22946" ht="12" customHeight="1"/>
    <row r="22947" ht="12" customHeight="1"/>
    <row r="22948" ht="12" customHeight="1"/>
    <row r="22949" ht="12" customHeight="1"/>
    <row r="22950" ht="12" customHeight="1"/>
    <row r="22951" ht="12" customHeight="1"/>
    <row r="22952" ht="12" customHeight="1"/>
    <row r="22953" ht="12" customHeight="1"/>
    <row r="22954" ht="12" customHeight="1"/>
    <row r="22955" ht="12" customHeight="1"/>
    <row r="22956" ht="12" customHeight="1"/>
    <row r="22957" ht="12" customHeight="1"/>
    <row r="22958" ht="12" customHeight="1"/>
    <row r="22959" ht="12" customHeight="1"/>
    <row r="22960" ht="12" customHeight="1"/>
    <row r="22961" ht="12" customHeight="1"/>
    <row r="22962" ht="12" customHeight="1"/>
    <row r="22963" ht="12" customHeight="1"/>
    <row r="22964" ht="12" customHeight="1"/>
    <row r="22965" ht="12" customHeight="1"/>
    <row r="22966" ht="12" customHeight="1"/>
    <row r="22967" ht="12" customHeight="1"/>
    <row r="22968" ht="12" customHeight="1"/>
    <row r="22969" ht="12" customHeight="1"/>
    <row r="22970" ht="12" customHeight="1"/>
    <row r="22971" ht="12" customHeight="1"/>
    <row r="22972" ht="12" customHeight="1"/>
    <row r="22973" ht="12" customHeight="1"/>
    <row r="22974" ht="12" customHeight="1"/>
    <row r="22975" ht="12" customHeight="1"/>
    <row r="22976" ht="12" customHeight="1"/>
    <row r="22977" ht="12" customHeight="1"/>
    <row r="22978" ht="12" customHeight="1"/>
    <row r="22979" ht="12" customHeight="1"/>
    <row r="22980" ht="12" customHeight="1"/>
    <row r="22981" ht="12" customHeight="1"/>
    <row r="22982" ht="12" customHeight="1"/>
    <row r="22983" ht="12" customHeight="1"/>
    <row r="22984" ht="12" customHeight="1"/>
    <row r="22985" ht="12" customHeight="1"/>
    <row r="22986" ht="12" customHeight="1"/>
    <row r="22987" ht="12" customHeight="1"/>
    <row r="22988" ht="12" customHeight="1"/>
    <row r="22989" ht="12" customHeight="1"/>
    <row r="22990" ht="12" customHeight="1"/>
    <row r="22991" ht="12" customHeight="1"/>
    <row r="22992" ht="12" customHeight="1"/>
    <row r="22993" ht="12" customHeight="1"/>
    <row r="22994" ht="12" customHeight="1"/>
    <row r="22995" ht="12" customHeight="1"/>
    <row r="22996" ht="12" customHeight="1"/>
    <row r="22997" ht="12" customHeight="1"/>
    <row r="22998" ht="12" customHeight="1"/>
    <row r="22999" ht="12" customHeight="1"/>
    <row r="23000" ht="12" customHeight="1"/>
    <row r="23001" ht="12" customHeight="1"/>
    <row r="23002" ht="12" customHeight="1"/>
    <row r="23003" ht="12" customHeight="1"/>
    <row r="23004" ht="12" customHeight="1"/>
    <row r="23005" ht="12" customHeight="1"/>
    <row r="23006" ht="12" customHeight="1"/>
    <row r="23007" ht="12" customHeight="1"/>
    <row r="23008" ht="12" customHeight="1"/>
    <row r="23009" ht="12" customHeight="1"/>
    <row r="23010" ht="12" customHeight="1"/>
    <row r="23011" ht="12" customHeight="1"/>
    <row r="23012" ht="12" customHeight="1"/>
    <row r="23013" ht="12" customHeight="1"/>
    <row r="23014" ht="12" customHeight="1"/>
    <row r="23015" ht="12" customHeight="1"/>
    <row r="23016" ht="12" customHeight="1"/>
    <row r="23017" ht="12" customHeight="1"/>
    <row r="23018" ht="12" customHeight="1"/>
    <row r="23019" ht="12" customHeight="1"/>
    <row r="23020" ht="12" customHeight="1"/>
    <row r="23021" ht="12" customHeight="1"/>
    <row r="23022" ht="12" customHeight="1"/>
    <row r="23023" ht="12" customHeight="1"/>
    <row r="23024" ht="12" customHeight="1"/>
    <row r="23025" ht="12" customHeight="1"/>
    <row r="23026" ht="12" customHeight="1"/>
    <row r="23027" ht="12" customHeight="1"/>
    <row r="23028" ht="12" customHeight="1"/>
    <row r="23029" ht="12" customHeight="1"/>
    <row r="23030" ht="12" customHeight="1"/>
    <row r="23031" ht="12" customHeight="1"/>
    <row r="23032" ht="12" customHeight="1"/>
    <row r="23033" ht="12" customHeight="1"/>
    <row r="23034" ht="12" customHeight="1"/>
    <row r="23035" ht="12" customHeight="1"/>
    <row r="23036" ht="12" customHeight="1"/>
    <row r="23037" ht="12" customHeight="1"/>
    <row r="23038" ht="12" customHeight="1"/>
    <row r="23039" ht="12" customHeight="1"/>
    <row r="23040" ht="12" customHeight="1"/>
    <row r="23041" ht="12" customHeight="1"/>
    <row r="23042" ht="12" customHeight="1"/>
    <row r="23043" ht="12" customHeight="1"/>
    <row r="23044" ht="12" customHeight="1"/>
    <row r="23045" ht="12" customHeight="1"/>
    <row r="23046" ht="12" customHeight="1"/>
    <row r="23047" ht="12" customHeight="1"/>
    <row r="23048" ht="12" customHeight="1"/>
    <row r="23049" ht="12" customHeight="1"/>
    <row r="23050" ht="12" customHeight="1"/>
    <row r="23051" ht="12" customHeight="1"/>
    <row r="23052" ht="12" customHeight="1"/>
    <row r="23053" ht="12" customHeight="1"/>
    <row r="23054" ht="12" customHeight="1"/>
    <row r="23055" ht="12" customHeight="1"/>
    <row r="23056" ht="12" customHeight="1"/>
    <row r="23057" ht="12" customHeight="1"/>
    <row r="23058" ht="12" customHeight="1"/>
    <row r="23059" ht="12" customHeight="1"/>
    <row r="23060" ht="12" customHeight="1"/>
    <row r="23061" ht="12" customHeight="1"/>
    <row r="23062" ht="12" customHeight="1"/>
    <row r="23063" ht="12" customHeight="1"/>
    <row r="23064" ht="12" customHeight="1"/>
    <row r="23065" ht="12" customHeight="1"/>
    <row r="23066" ht="12" customHeight="1"/>
    <row r="23067" ht="12" customHeight="1"/>
    <row r="23068" ht="12" customHeight="1"/>
    <row r="23069" ht="12" customHeight="1"/>
    <row r="23070" ht="12" customHeight="1"/>
    <row r="23071" ht="12" customHeight="1"/>
    <row r="23072" ht="12" customHeight="1"/>
    <row r="23073" ht="12" customHeight="1"/>
    <row r="23074" ht="12" customHeight="1"/>
    <row r="23075" ht="12" customHeight="1"/>
    <row r="23076" ht="12" customHeight="1"/>
    <row r="23077" ht="12" customHeight="1"/>
    <row r="23078" ht="12" customHeight="1"/>
    <row r="23079" ht="12" customHeight="1"/>
    <row r="23080" ht="12" customHeight="1"/>
    <row r="23081" ht="12" customHeight="1"/>
    <row r="23082" ht="12" customHeight="1"/>
    <row r="23083" ht="12" customHeight="1"/>
    <row r="23084" ht="12" customHeight="1"/>
    <row r="23085" ht="12" customHeight="1"/>
    <row r="23086" ht="12" customHeight="1"/>
    <row r="23087" ht="12" customHeight="1"/>
    <row r="23088" ht="12" customHeight="1"/>
    <row r="23089" ht="12" customHeight="1"/>
    <row r="23090" ht="12" customHeight="1"/>
    <row r="23091" ht="12" customHeight="1"/>
    <row r="23092" ht="12" customHeight="1"/>
    <row r="23093" ht="12" customHeight="1"/>
    <row r="23094" ht="12" customHeight="1"/>
    <row r="23095" ht="12" customHeight="1"/>
    <row r="23096" ht="12" customHeight="1"/>
    <row r="23097" ht="12" customHeight="1"/>
    <row r="23098" ht="12" customHeight="1"/>
    <row r="23099" ht="12" customHeight="1"/>
    <row r="23100" ht="12" customHeight="1"/>
    <row r="23101" ht="12" customHeight="1"/>
    <row r="23102" ht="12" customHeight="1"/>
    <row r="23103" ht="12" customHeight="1"/>
    <row r="23104" ht="12" customHeight="1"/>
    <row r="23105" ht="12" customHeight="1"/>
    <row r="23106" ht="12" customHeight="1"/>
    <row r="23107" ht="12" customHeight="1"/>
    <row r="23108" ht="12" customHeight="1"/>
    <row r="23109" ht="12" customHeight="1"/>
    <row r="23110" ht="12" customHeight="1"/>
    <row r="23111" ht="12" customHeight="1"/>
    <row r="23112" ht="12" customHeight="1"/>
    <row r="23113" ht="12" customHeight="1"/>
    <row r="23114" ht="12" customHeight="1"/>
    <row r="23115" ht="12" customHeight="1"/>
    <row r="23116" ht="12" customHeight="1"/>
    <row r="23117" ht="12" customHeight="1"/>
    <row r="23118" ht="12" customHeight="1"/>
    <row r="23119" ht="12" customHeight="1"/>
    <row r="23120" ht="12" customHeight="1"/>
    <row r="23121" ht="12" customHeight="1"/>
    <row r="23122" ht="12" customHeight="1"/>
    <row r="23123" ht="12" customHeight="1"/>
    <row r="23124" ht="12" customHeight="1"/>
    <row r="23125" ht="12" customHeight="1"/>
    <row r="23126" ht="12" customHeight="1"/>
    <row r="23127" ht="12" customHeight="1"/>
    <row r="23128" ht="12" customHeight="1"/>
    <row r="23129" ht="12" customHeight="1"/>
    <row r="23130" ht="12" customHeight="1"/>
    <row r="23131" ht="12" customHeight="1"/>
    <row r="23132" ht="12" customHeight="1"/>
    <row r="23133" ht="12" customHeight="1"/>
    <row r="23134" ht="12" customHeight="1"/>
    <row r="23135" ht="12" customHeight="1"/>
    <row r="23136" ht="12" customHeight="1"/>
    <row r="23137" ht="12" customHeight="1"/>
    <row r="23138" ht="12" customHeight="1"/>
    <row r="23139" ht="12" customHeight="1"/>
    <row r="23140" ht="12" customHeight="1"/>
    <row r="23141" ht="12" customHeight="1"/>
    <row r="23142" ht="12" customHeight="1"/>
    <row r="23143" ht="12" customHeight="1"/>
    <row r="23144" ht="12" customHeight="1"/>
    <row r="23145" ht="12" customHeight="1"/>
    <row r="23146" ht="12" customHeight="1"/>
    <row r="23147" ht="12" customHeight="1"/>
    <row r="23148" ht="12" customHeight="1"/>
    <row r="23149" ht="12" customHeight="1"/>
    <row r="23150" ht="12" customHeight="1"/>
    <row r="23151" ht="12" customHeight="1"/>
    <row r="23152" ht="12" customHeight="1"/>
    <row r="23153" ht="12" customHeight="1"/>
    <row r="23154" ht="12" customHeight="1"/>
    <row r="23155" ht="12" customHeight="1"/>
    <row r="23156" ht="12" customHeight="1"/>
    <row r="23157" ht="12" customHeight="1"/>
    <row r="23158" ht="12" customHeight="1"/>
    <row r="23159" ht="12" customHeight="1"/>
    <row r="23160" ht="12" customHeight="1"/>
    <row r="23161" ht="12" customHeight="1"/>
    <row r="23162" ht="12" customHeight="1"/>
    <row r="23163" ht="12" customHeight="1"/>
    <row r="23164" ht="12" customHeight="1"/>
    <row r="23165" ht="12" customHeight="1"/>
    <row r="23166" ht="12" customHeight="1"/>
    <row r="23167" ht="12" customHeight="1"/>
    <row r="23168" ht="12" customHeight="1"/>
    <row r="23169" ht="12" customHeight="1"/>
    <row r="23170" ht="12" customHeight="1"/>
    <row r="23171" ht="12" customHeight="1"/>
    <row r="23172" ht="12" customHeight="1"/>
    <row r="23173" ht="12" customHeight="1"/>
    <row r="23174" ht="12" customHeight="1"/>
    <row r="23175" ht="12" customHeight="1"/>
    <row r="23176" ht="12" customHeight="1"/>
    <row r="23177" ht="12" customHeight="1"/>
    <row r="23178" ht="12" customHeight="1"/>
    <row r="23179" ht="12" customHeight="1"/>
    <row r="23180" ht="12" customHeight="1"/>
    <row r="23181" ht="12" customHeight="1"/>
    <row r="23182" ht="12" customHeight="1"/>
    <row r="23183" ht="12" customHeight="1"/>
    <row r="23184" ht="12" customHeight="1"/>
    <row r="23185" ht="12" customHeight="1"/>
    <row r="23186" ht="12" customHeight="1"/>
    <row r="23187" ht="12" customHeight="1"/>
    <row r="23188" ht="12" customHeight="1"/>
    <row r="23189" ht="12" customHeight="1"/>
    <row r="23190" ht="12" customHeight="1"/>
    <row r="23191" ht="12" customHeight="1"/>
    <row r="23192" ht="12" customHeight="1"/>
    <row r="23193" ht="12" customHeight="1"/>
    <row r="23194" ht="12" customHeight="1"/>
    <row r="23195" ht="12" customHeight="1"/>
    <row r="23196" ht="12" customHeight="1"/>
    <row r="23197" ht="12" customHeight="1"/>
    <row r="23198" ht="12" customHeight="1"/>
    <row r="23199" ht="12" customHeight="1"/>
    <row r="23200" ht="12" customHeight="1"/>
    <row r="23201" ht="12" customHeight="1"/>
    <row r="23202" ht="12" customHeight="1"/>
    <row r="23203" ht="12" customHeight="1"/>
    <row r="23204" ht="12" customHeight="1"/>
    <row r="23205" ht="12" customHeight="1"/>
    <row r="23206" ht="12" customHeight="1"/>
    <row r="23207" ht="12" customHeight="1"/>
    <row r="23208" ht="12" customHeight="1"/>
    <row r="23209" ht="12" customHeight="1"/>
    <row r="23210" ht="12" customHeight="1"/>
    <row r="23211" ht="12" customHeight="1"/>
    <row r="23212" ht="12" customHeight="1"/>
    <row r="23213" ht="12" customHeight="1"/>
    <row r="23214" ht="12" customHeight="1"/>
    <row r="23215" ht="12" customHeight="1"/>
    <row r="23216" ht="12" customHeight="1"/>
    <row r="23217" ht="12" customHeight="1"/>
    <row r="23218" ht="12" customHeight="1"/>
    <row r="23219" ht="12" customHeight="1"/>
    <row r="23220" ht="12" customHeight="1"/>
    <row r="23221" ht="12" customHeight="1"/>
    <row r="23222" ht="12" customHeight="1"/>
    <row r="23223" ht="12" customHeight="1"/>
    <row r="23224" ht="12" customHeight="1"/>
    <row r="23225" ht="12" customHeight="1"/>
    <row r="23226" ht="12" customHeight="1"/>
    <row r="23227" ht="12" customHeight="1"/>
    <row r="23228" ht="12" customHeight="1"/>
    <row r="23229" ht="12" customHeight="1"/>
    <row r="23230" ht="12" customHeight="1"/>
    <row r="23231" ht="12" customHeight="1"/>
    <row r="23232" ht="12" customHeight="1"/>
    <row r="23233" ht="12" customHeight="1"/>
    <row r="23234" ht="12" customHeight="1"/>
    <row r="23235" ht="12" customHeight="1"/>
    <row r="23236" ht="12" customHeight="1"/>
    <row r="23237" ht="12" customHeight="1"/>
    <row r="23238" ht="12" customHeight="1"/>
    <row r="23239" ht="12" customHeight="1"/>
    <row r="23240" ht="12" customHeight="1"/>
    <row r="23241" ht="12" customHeight="1"/>
    <row r="23242" ht="12" customHeight="1"/>
    <row r="23243" ht="12" customHeight="1"/>
    <row r="23244" ht="12" customHeight="1"/>
    <row r="23245" ht="12" customHeight="1"/>
    <row r="23246" ht="12" customHeight="1"/>
    <row r="23247" ht="12" customHeight="1"/>
    <row r="23248" ht="12" customHeight="1"/>
    <row r="23249" ht="12" customHeight="1"/>
    <row r="23250" ht="12" customHeight="1"/>
    <row r="23251" ht="12" customHeight="1"/>
    <row r="23252" ht="12" customHeight="1"/>
    <row r="23253" ht="12" customHeight="1"/>
    <row r="23254" ht="12" customHeight="1"/>
    <row r="23255" ht="12" customHeight="1"/>
    <row r="23256" ht="12" customHeight="1"/>
    <row r="23257" ht="12" customHeight="1"/>
    <row r="23258" ht="12" customHeight="1"/>
    <row r="23259" ht="12" customHeight="1"/>
    <row r="23260" ht="12" customHeight="1"/>
    <row r="23261" ht="12" customHeight="1"/>
    <row r="23262" ht="12" customHeight="1"/>
    <row r="23263" ht="12" customHeight="1"/>
    <row r="23264" ht="12" customHeight="1"/>
    <row r="23265" ht="12" customHeight="1"/>
    <row r="23266" ht="12" customHeight="1"/>
    <row r="23267" ht="12" customHeight="1"/>
    <row r="23268" ht="12" customHeight="1"/>
    <row r="23269" ht="12" customHeight="1"/>
    <row r="23270" ht="12" customHeight="1"/>
    <row r="23271" ht="12" customHeight="1"/>
    <row r="23272" ht="12" customHeight="1"/>
    <row r="23273" ht="12" customHeight="1"/>
    <row r="23274" ht="12" customHeight="1"/>
    <row r="23275" ht="12" customHeight="1"/>
    <row r="23276" ht="12" customHeight="1"/>
    <row r="23277" ht="12" customHeight="1"/>
    <row r="23278" ht="12" customHeight="1"/>
    <row r="23279" ht="12" customHeight="1"/>
    <row r="23280" ht="12" customHeight="1"/>
    <row r="23281" ht="12" customHeight="1"/>
    <row r="23282" ht="12" customHeight="1"/>
    <row r="23283" ht="12" customHeight="1"/>
    <row r="23284" ht="12" customHeight="1"/>
    <row r="23285" ht="12" customHeight="1"/>
    <row r="23286" ht="12" customHeight="1"/>
    <row r="23287" ht="12" customHeight="1"/>
    <row r="23288" ht="12" customHeight="1"/>
    <row r="23289" ht="12" customHeight="1"/>
    <row r="23290" ht="12" customHeight="1"/>
    <row r="23291" ht="12" customHeight="1"/>
    <row r="23292" ht="12" customHeight="1"/>
    <row r="23293" ht="12" customHeight="1"/>
    <row r="23294" ht="12" customHeight="1"/>
    <row r="23295" ht="12" customHeight="1"/>
    <row r="23296" ht="12" customHeight="1"/>
    <row r="23297" ht="12" customHeight="1"/>
    <row r="23298" ht="12" customHeight="1"/>
    <row r="23299" ht="12" customHeight="1"/>
    <row r="23300" ht="12" customHeight="1"/>
    <row r="23301" ht="12" customHeight="1"/>
    <row r="23302" ht="12" customHeight="1"/>
    <row r="23303" ht="12" customHeight="1"/>
    <row r="23304" ht="12" customHeight="1"/>
    <row r="23305" ht="12" customHeight="1"/>
    <row r="23306" ht="12" customHeight="1"/>
    <row r="23307" ht="12" customHeight="1"/>
    <row r="23308" ht="12" customHeight="1"/>
    <row r="23309" ht="12" customHeight="1"/>
    <row r="23310" ht="12" customHeight="1"/>
    <row r="23311" ht="12" customHeight="1"/>
    <row r="23312" ht="12" customHeight="1"/>
    <row r="23313" ht="12" customHeight="1"/>
    <row r="23314" ht="12" customHeight="1"/>
    <row r="23315" ht="12" customHeight="1"/>
    <row r="23316" ht="12" customHeight="1"/>
    <row r="23317" ht="12" customHeight="1"/>
    <row r="23318" ht="12" customHeight="1"/>
    <row r="23319" ht="12" customHeight="1"/>
    <row r="23320" ht="12" customHeight="1"/>
    <row r="23321" ht="12" customHeight="1"/>
    <row r="23322" ht="12" customHeight="1"/>
    <row r="23323" ht="12" customHeight="1"/>
    <row r="23324" ht="12" customHeight="1"/>
    <row r="23325" ht="12" customHeight="1"/>
    <row r="23326" ht="12" customHeight="1"/>
    <row r="23327" ht="12" customHeight="1"/>
    <row r="23328" ht="12" customHeight="1"/>
    <row r="23329" ht="12" customHeight="1"/>
    <row r="23330" ht="12" customHeight="1"/>
    <row r="23331" ht="12" customHeight="1"/>
    <row r="23332" ht="12" customHeight="1"/>
    <row r="23333" ht="12" customHeight="1"/>
    <row r="23334" ht="12" customHeight="1"/>
    <row r="23335" ht="12" customHeight="1"/>
    <row r="23336" ht="12" customHeight="1"/>
    <row r="23337" ht="12" customHeight="1"/>
    <row r="23338" ht="12" customHeight="1"/>
    <row r="23339" ht="12" customHeight="1"/>
    <row r="23340" ht="12" customHeight="1"/>
    <row r="23341" ht="12" customHeight="1"/>
    <row r="23342" ht="12" customHeight="1"/>
    <row r="23343" ht="12" customHeight="1"/>
    <row r="23344" ht="12" customHeight="1"/>
    <row r="23345" ht="12" customHeight="1"/>
    <row r="23346" ht="12" customHeight="1"/>
    <row r="23347" ht="12" customHeight="1"/>
    <row r="23348" ht="12" customHeight="1"/>
    <row r="23349" ht="12" customHeight="1"/>
    <row r="23350" ht="12" customHeight="1"/>
    <row r="23351" ht="12" customHeight="1"/>
    <row r="23352" ht="12" customHeight="1"/>
    <row r="23353" ht="12" customHeight="1"/>
    <row r="23354" ht="12" customHeight="1"/>
    <row r="23355" ht="12" customHeight="1"/>
    <row r="23356" ht="12" customHeight="1"/>
    <row r="23357" ht="12" customHeight="1"/>
    <row r="23358" ht="12" customHeight="1"/>
    <row r="23359" ht="12" customHeight="1"/>
    <row r="23360" ht="12" customHeight="1"/>
    <row r="23361" ht="12" customHeight="1"/>
    <row r="23362" ht="12" customHeight="1"/>
    <row r="23363" ht="12" customHeight="1"/>
    <row r="23364" ht="12" customHeight="1"/>
    <row r="23365" ht="12" customHeight="1"/>
    <row r="23366" ht="12" customHeight="1"/>
    <row r="23367" ht="12" customHeight="1"/>
    <row r="23368" ht="12" customHeight="1"/>
    <row r="23369" ht="12" customHeight="1"/>
    <row r="23370" ht="12" customHeight="1"/>
    <row r="23371" ht="12" customHeight="1"/>
    <row r="23372" ht="12" customHeight="1"/>
    <row r="23373" ht="12" customHeight="1"/>
    <row r="23374" ht="12" customHeight="1"/>
    <row r="23375" ht="12" customHeight="1"/>
    <row r="23376" ht="12" customHeight="1"/>
    <row r="23377" ht="12" customHeight="1"/>
    <row r="23378" ht="12" customHeight="1"/>
    <row r="23379" ht="12" customHeight="1"/>
    <row r="23380" ht="12" customHeight="1"/>
    <row r="23381" ht="12" customHeight="1"/>
    <row r="23382" ht="12" customHeight="1"/>
    <row r="23383" ht="12" customHeight="1"/>
    <row r="23384" ht="12" customHeight="1"/>
    <row r="23385" ht="12" customHeight="1"/>
    <row r="23386" ht="12" customHeight="1"/>
    <row r="23387" ht="12" customHeight="1"/>
    <row r="23388" ht="12" customHeight="1"/>
    <row r="23389" ht="12" customHeight="1"/>
    <row r="23390" ht="12" customHeight="1"/>
    <row r="23391" ht="12" customHeight="1"/>
    <row r="23392" ht="12" customHeight="1"/>
    <row r="23393" ht="12" customHeight="1"/>
    <row r="23394" ht="12" customHeight="1"/>
    <row r="23395" ht="12" customHeight="1"/>
    <row r="23396" ht="12" customHeight="1"/>
    <row r="23397" ht="12" customHeight="1"/>
    <row r="23398" ht="12" customHeight="1"/>
    <row r="23399" ht="12" customHeight="1"/>
    <row r="23400" ht="12" customHeight="1"/>
    <row r="23401" ht="12" customHeight="1"/>
    <row r="23402" ht="12" customHeight="1"/>
    <row r="23403" ht="12" customHeight="1"/>
    <row r="23404" ht="12" customHeight="1"/>
    <row r="23405" ht="12" customHeight="1"/>
    <row r="23406" ht="12" customHeight="1"/>
    <row r="23407" ht="12" customHeight="1"/>
    <row r="23408" ht="12" customHeight="1"/>
    <row r="23409" ht="12" customHeight="1"/>
    <row r="23410" ht="12" customHeight="1"/>
    <row r="23411" ht="12" customHeight="1"/>
    <row r="23412" ht="12" customHeight="1"/>
    <row r="23413" ht="12" customHeight="1"/>
    <row r="23414" ht="12" customHeight="1"/>
    <row r="23415" ht="12" customHeight="1"/>
    <row r="23416" ht="12" customHeight="1"/>
    <row r="23417" ht="12" customHeight="1"/>
    <row r="23418" ht="12" customHeight="1"/>
    <row r="23419" ht="12" customHeight="1"/>
    <row r="23420" ht="12" customHeight="1"/>
    <row r="23421" ht="12" customHeight="1"/>
    <row r="23422" ht="12" customHeight="1"/>
    <row r="23423" ht="12" customHeight="1"/>
    <row r="23424" ht="12" customHeight="1"/>
    <row r="23425" ht="12" customHeight="1"/>
    <row r="23426" ht="12" customHeight="1"/>
    <row r="23427" ht="12" customHeight="1"/>
    <row r="23428" ht="12" customHeight="1"/>
    <row r="23429" ht="12" customHeight="1"/>
    <row r="23430" ht="12" customHeight="1"/>
    <row r="23431" ht="12" customHeight="1"/>
    <row r="23432" ht="12" customHeight="1"/>
    <row r="23433" ht="12" customHeight="1"/>
    <row r="23434" ht="12" customHeight="1"/>
    <row r="23435" ht="12" customHeight="1"/>
    <row r="23436" ht="12" customHeight="1"/>
    <row r="23437" ht="12" customHeight="1"/>
    <row r="23438" ht="12" customHeight="1"/>
    <row r="23439" ht="12" customHeight="1"/>
    <row r="23440" ht="12" customHeight="1"/>
    <row r="23441" ht="12" customHeight="1"/>
    <row r="23442" ht="12" customHeight="1"/>
    <row r="23443" ht="12" customHeight="1"/>
    <row r="23444" ht="12" customHeight="1"/>
    <row r="23445" ht="12" customHeight="1"/>
    <row r="23446" ht="12" customHeight="1"/>
    <row r="23447" ht="12" customHeight="1"/>
    <row r="23448" ht="12" customHeight="1"/>
    <row r="23449" ht="12" customHeight="1"/>
    <row r="23450" ht="12" customHeight="1"/>
    <row r="23451" ht="12" customHeight="1"/>
    <row r="23452" ht="12" customHeight="1"/>
    <row r="23453" ht="12" customHeight="1"/>
    <row r="23454" ht="12" customHeight="1"/>
    <row r="23455" ht="12" customHeight="1"/>
    <row r="23456" ht="12" customHeight="1"/>
    <row r="23457" ht="12" customHeight="1"/>
    <row r="23458" ht="12" customHeight="1"/>
    <row r="23459" ht="12" customHeight="1"/>
    <row r="23460" ht="12" customHeight="1"/>
    <row r="23461" ht="12" customHeight="1"/>
    <row r="23462" ht="12" customHeight="1"/>
    <row r="23463" ht="12" customHeight="1"/>
    <row r="23464" ht="12" customHeight="1"/>
    <row r="23465" ht="12" customHeight="1"/>
    <row r="23466" ht="12" customHeight="1"/>
    <row r="23467" ht="12" customHeight="1"/>
    <row r="23468" ht="12" customHeight="1"/>
    <row r="23469" ht="12" customHeight="1"/>
    <row r="23470" ht="12" customHeight="1"/>
    <row r="23471" ht="12" customHeight="1"/>
    <row r="23472" ht="12" customHeight="1"/>
    <row r="23473" ht="12" customHeight="1"/>
    <row r="23474" ht="12" customHeight="1"/>
    <row r="23475" ht="12" customHeight="1"/>
    <row r="23476" ht="12" customHeight="1"/>
    <row r="23477" ht="12" customHeight="1"/>
    <row r="23478" ht="12" customHeight="1"/>
    <row r="23479" ht="12" customHeight="1"/>
    <row r="23480" ht="12" customHeight="1"/>
    <row r="23481" ht="12" customHeight="1"/>
    <row r="23482" ht="12" customHeight="1"/>
    <row r="23483" ht="12" customHeight="1"/>
    <row r="23484" ht="12" customHeight="1"/>
    <row r="23485" ht="12" customHeight="1"/>
    <row r="23486" ht="12" customHeight="1"/>
    <row r="23487" ht="12" customHeight="1"/>
    <row r="23488" ht="12" customHeight="1"/>
    <row r="23489" ht="12" customHeight="1"/>
    <row r="23490" ht="12" customHeight="1"/>
    <row r="23491" ht="12" customHeight="1"/>
    <row r="23492" ht="12" customHeight="1"/>
    <row r="23493" ht="12" customHeight="1"/>
    <row r="23494" ht="12" customHeight="1"/>
    <row r="23495" ht="12" customHeight="1"/>
    <row r="23496" ht="12" customHeight="1"/>
    <row r="23497" ht="12" customHeight="1"/>
    <row r="23498" ht="12" customHeight="1"/>
    <row r="23499" ht="12" customHeight="1"/>
    <row r="23500" ht="12" customHeight="1"/>
    <row r="23501" ht="12" customHeight="1"/>
    <row r="23502" ht="12" customHeight="1"/>
    <row r="23503" ht="12" customHeight="1"/>
    <row r="23504" ht="12" customHeight="1"/>
    <row r="23505" ht="12" customHeight="1"/>
    <row r="23506" ht="12" customHeight="1"/>
    <row r="23507" ht="12" customHeight="1"/>
    <row r="23508" ht="12" customHeight="1"/>
    <row r="23509" ht="12" customHeight="1"/>
    <row r="23510" ht="12" customHeight="1"/>
    <row r="23511" ht="12" customHeight="1"/>
    <row r="23512" ht="12" customHeight="1"/>
    <row r="23513" ht="12" customHeight="1"/>
    <row r="23514" ht="12" customHeight="1"/>
    <row r="23515" ht="12" customHeight="1"/>
    <row r="23516" ht="12" customHeight="1"/>
    <row r="23517" ht="12" customHeight="1"/>
    <row r="23518" ht="12" customHeight="1"/>
    <row r="23519" ht="12" customHeight="1"/>
    <row r="23520" ht="12" customHeight="1"/>
    <row r="23521" ht="12" customHeight="1"/>
    <row r="23522" ht="12" customHeight="1"/>
    <row r="23523" ht="12" customHeight="1"/>
    <row r="23524" ht="12" customHeight="1"/>
    <row r="23525" ht="12" customHeight="1"/>
    <row r="23526" ht="12" customHeight="1"/>
    <row r="23527" ht="12" customHeight="1"/>
    <row r="23528" ht="12" customHeight="1"/>
    <row r="23529" ht="12" customHeight="1"/>
    <row r="23530" ht="12" customHeight="1"/>
    <row r="23531" ht="12" customHeight="1"/>
    <row r="23532" ht="12" customHeight="1"/>
    <row r="23533" ht="12" customHeight="1"/>
    <row r="23534" ht="12" customHeight="1"/>
    <row r="23535" ht="12" customHeight="1"/>
    <row r="23536" ht="12" customHeight="1"/>
    <row r="23537" ht="12" customHeight="1"/>
    <row r="23538" ht="12" customHeight="1"/>
    <row r="23539" ht="12" customHeight="1"/>
    <row r="23540" ht="12" customHeight="1"/>
    <row r="23541" ht="12" customHeight="1"/>
    <row r="23542" ht="12" customHeight="1"/>
    <row r="23543" ht="12" customHeight="1"/>
    <row r="23544" ht="12" customHeight="1"/>
    <row r="23545" ht="12" customHeight="1"/>
    <row r="23546" ht="12" customHeight="1"/>
    <row r="23547" ht="12" customHeight="1"/>
    <row r="23548" ht="12" customHeight="1"/>
    <row r="23549" ht="12" customHeight="1"/>
    <row r="23550" ht="12" customHeight="1"/>
    <row r="23551" ht="12" customHeight="1"/>
    <row r="23552" ht="12" customHeight="1"/>
    <row r="23553" ht="12" customHeight="1"/>
    <row r="23554" ht="12" customHeight="1"/>
    <row r="23555" ht="12" customHeight="1"/>
    <row r="23556" ht="12" customHeight="1"/>
    <row r="23557" ht="12" customHeight="1"/>
    <row r="23558" ht="12" customHeight="1"/>
    <row r="23559" ht="12" customHeight="1"/>
    <row r="23560" ht="12" customHeight="1"/>
    <row r="23561" ht="12" customHeight="1"/>
    <row r="23562" ht="12" customHeight="1"/>
    <row r="23563" ht="12" customHeight="1"/>
    <row r="23564" ht="12" customHeight="1"/>
    <row r="23565" ht="12" customHeight="1"/>
    <row r="23566" ht="12" customHeight="1"/>
    <row r="23567" ht="12" customHeight="1"/>
    <row r="23568" ht="12" customHeight="1"/>
    <row r="23569" ht="12" customHeight="1"/>
    <row r="23570" ht="12" customHeight="1"/>
    <row r="23571" ht="12" customHeight="1"/>
    <row r="23572" ht="12" customHeight="1"/>
    <row r="23573" ht="12" customHeight="1"/>
    <row r="23574" ht="12" customHeight="1"/>
    <row r="23575" ht="12" customHeight="1"/>
    <row r="23576" ht="12" customHeight="1"/>
    <row r="23577" ht="12" customHeight="1"/>
    <row r="23578" ht="12" customHeight="1"/>
    <row r="23579" ht="12" customHeight="1"/>
    <row r="23580" ht="12" customHeight="1"/>
    <row r="23581" ht="12" customHeight="1"/>
    <row r="23582" ht="12" customHeight="1"/>
    <row r="23583" ht="12" customHeight="1"/>
    <row r="23584" ht="12" customHeight="1"/>
    <row r="23585" ht="12" customHeight="1"/>
    <row r="23586" ht="12" customHeight="1"/>
    <row r="23587" ht="12" customHeight="1"/>
    <row r="23588" ht="12" customHeight="1"/>
    <row r="23589" ht="12" customHeight="1"/>
    <row r="23590" ht="12" customHeight="1"/>
    <row r="23591" ht="12" customHeight="1"/>
    <row r="23592" ht="12" customHeight="1"/>
    <row r="23593" ht="12" customHeight="1"/>
    <row r="23594" ht="12" customHeight="1"/>
    <row r="23595" ht="12" customHeight="1"/>
    <row r="23596" ht="12" customHeight="1"/>
    <row r="23597" ht="12" customHeight="1"/>
    <row r="23598" ht="12" customHeight="1"/>
    <row r="23599" ht="12" customHeight="1"/>
    <row r="23600" ht="12" customHeight="1"/>
    <row r="23601" ht="12" customHeight="1"/>
    <row r="23602" ht="12" customHeight="1"/>
    <row r="23603" ht="12" customHeight="1"/>
    <row r="23604" ht="12" customHeight="1"/>
    <row r="23605" ht="12" customHeight="1"/>
    <row r="23606" ht="12" customHeight="1"/>
    <row r="23607" ht="12" customHeight="1"/>
    <row r="23608" ht="12" customHeight="1"/>
    <row r="23609" ht="12" customHeight="1"/>
    <row r="23610" ht="12" customHeight="1"/>
    <row r="23611" ht="12" customHeight="1"/>
    <row r="23612" ht="12" customHeight="1"/>
    <row r="23613" ht="12" customHeight="1"/>
    <row r="23614" ht="12" customHeight="1"/>
    <row r="23615" ht="12" customHeight="1"/>
    <row r="23616" ht="12" customHeight="1"/>
    <row r="23617" ht="12" customHeight="1"/>
    <row r="23618" ht="12" customHeight="1"/>
    <row r="23619" ht="12" customHeight="1"/>
    <row r="23620" ht="12" customHeight="1"/>
    <row r="23621" ht="12" customHeight="1"/>
    <row r="23622" ht="12" customHeight="1"/>
    <row r="23623" ht="12" customHeight="1"/>
    <row r="23624" ht="12" customHeight="1"/>
    <row r="23625" ht="12" customHeight="1"/>
    <row r="23626" ht="12" customHeight="1"/>
    <row r="23627" ht="12" customHeight="1"/>
    <row r="23628" ht="12" customHeight="1"/>
    <row r="23629" ht="12" customHeight="1"/>
    <row r="23630" ht="12" customHeight="1"/>
    <row r="23631" ht="12" customHeight="1"/>
    <row r="23632" ht="12" customHeight="1"/>
    <row r="23633" ht="12" customHeight="1"/>
    <row r="23634" ht="12" customHeight="1"/>
    <row r="23635" ht="12" customHeight="1"/>
    <row r="23636" ht="12" customHeight="1"/>
    <row r="23637" ht="12" customHeight="1"/>
    <row r="23638" ht="12" customHeight="1"/>
    <row r="23639" ht="12" customHeight="1"/>
    <row r="23640" ht="12" customHeight="1"/>
    <row r="23641" ht="12" customHeight="1"/>
    <row r="23642" ht="12" customHeight="1"/>
    <row r="23643" ht="12" customHeight="1"/>
    <row r="23644" ht="12" customHeight="1"/>
    <row r="23645" ht="12" customHeight="1"/>
    <row r="23646" ht="12" customHeight="1"/>
    <row r="23647" ht="12" customHeight="1"/>
    <row r="23648" ht="12" customHeight="1"/>
    <row r="23649" ht="12" customHeight="1"/>
    <row r="23650" ht="12" customHeight="1"/>
    <row r="23651" ht="12" customHeight="1"/>
    <row r="23652" ht="12" customHeight="1"/>
    <row r="23653" ht="12" customHeight="1"/>
    <row r="23654" ht="12" customHeight="1"/>
    <row r="23655" ht="12" customHeight="1"/>
    <row r="23656" ht="12" customHeight="1"/>
    <row r="23657" ht="12" customHeight="1"/>
    <row r="23658" ht="12" customHeight="1"/>
    <row r="23659" ht="12" customHeight="1"/>
    <row r="23660" ht="12" customHeight="1"/>
    <row r="23661" ht="12" customHeight="1"/>
    <row r="23662" ht="12" customHeight="1"/>
    <row r="23663" ht="12" customHeight="1"/>
    <row r="23664" ht="12" customHeight="1"/>
    <row r="23665" ht="12" customHeight="1"/>
    <row r="23666" ht="12" customHeight="1"/>
    <row r="23667" ht="12" customHeight="1"/>
    <row r="23668" ht="12" customHeight="1"/>
    <row r="23669" ht="12" customHeight="1"/>
    <row r="23670" ht="12" customHeight="1"/>
    <row r="23671" ht="12" customHeight="1"/>
    <row r="23672" ht="12" customHeight="1"/>
    <row r="23673" ht="12" customHeight="1"/>
    <row r="23674" ht="12" customHeight="1"/>
    <row r="23675" ht="12" customHeight="1"/>
    <row r="23676" ht="12" customHeight="1"/>
    <row r="23677" ht="12" customHeight="1"/>
    <row r="23678" ht="12" customHeight="1"/>
    <row r="23679" ht="12" customHeight="1"/>
    <row r="23680" ht="12" customHeight="1"/>
    <row r="23681" ht="12" customHeight="1"/>
    <row r="23682" ht="12" customHeight="1"/>
    <row r="23683" ht="12" customHeight="1"/>
    <row r="23684" ht="12" customHeight="1"/>
    <row r="23685" ht="12" customHeight="1"/>
    <row r="23686" ht="12" customHeight="1"/>
    <row r="23687" ht="12" customHeight="1"/>
    <row r="23688" ht="12" customHeight="1"/>
    <row r="23689" ht="12" customHeight="1"/>
    <row r="23690" ht="12" customHeight="1"/>
    <row r="23691" ht="12" customHeight="1"/>
    <row r="23692" ht="12" customHeight="1"/>
    <row r="23693" ht="12" customHeight="1"/>
    <row r="23694" ht="12" customHeight="1"/>
    <row r="23695" ht="12" customHeight="1"/>
    <row r="23696" ht="12" customHeight="1"/>
    <row r="23697" ht="12" customHeight="1"/>
    <row r="23698" ht="12" customHeight="1"/>
    <row r="23699" ht="12" customHeight="1"/>
    <row r="23700" ht="12" customHeight="1"/>
    <row r="23701" ht="12" customHeight="1"/>
    <row r="23702" ht="12" customHeight="1"/>
    <row r="23703" ht="12" customHeight="1"/>
    <row r="23704" ht="12" customHeight="1"/>
    <row r="23705" ht="12" customHeight="1"/>
    <row r="23706" ht="12" customHeight="1"/>
    <row r="23707" ht="12" customHeight="1"/>
    <row r="23708" ht="12" customHeight="1"/>
    <row r="23709" ht="12" customHeight="1"/>
    <row r="23710" ht="12" customHeight="1"/>
    <row r="23711" ht="12" customHeight="1"/>
    <row r="23712" ht="12" customHeight="1"/>
    <row r="23713" ht="12" customHeight="1"/>
    <row r="23714" ht="12" customHeight="1"/>
    <row r="23715" ht="12" customHeight="1"/>
    <row r="23716" ht="12" customHeight="1"/>
    <row r="23717" ht="12" customHeight="1"/>
    <row r="23718" ht="12" customHeight="1"/>
    <row r="23719" ht="12" customHeight="1"/>
    <row r="23720" ht="12" customHeight="1"/>
    <row r="23721" ht="12" customHeight="1"/>
    <row r="23722" ht="12" customHeight="1"/>
    <row r="23723" ht="12" customHeight="1"/>
    <row r="23724" ht="12" customHeight="1"/>
    <row r="23725" ht="12" customHeight="1"/>
    <row r="23726" ht="12" customHeight="1"/>
    <row r="23727" ht="12" customHeight="1"/>
    <row r="23728" ht="12" customHeight="1"/>
    <row r="23729" ht="12" customHeight="1"/>
    <row r="23730" ht="12" customHeight="1"/>
    <row r="23731" ht="12" customHeight="1"/>
    <row r="23732" ht="12" customHeight="1"/>
    <row r="23733" ht="12" customHeight="1"/>
    <row r="23734" ht="12" customHeight="1"/>
    <row r="23735" ht="12" customHeight="1"/>
    <row r="23736" ht="12" customHeight="1"/>
    <row r="23737" ht="12" customHeight="1"/>
    <row r="23738" ht="12" customHeight="1"/>
    <row r="23739" ht="12" customHeight="1"/>
    <row r="23740" ht="12" customHeight="1"/>
    <row r="23741" ht="12" customHeight="1"/>
    <row r="23742" ht="12" customHeight="1"/>
    <row r="23743" ht="12" customHeight="1"/>
    <row r="23744" ht="12" customHeight="1"/>
    <row r="23745" ht="12" customHeight="1"/>
    <row r="23746" ht="12" customHeight="1"/>
    <row r="23747" ht="12" customHeight="1"/>
    <row r="23748" ht="12" customHeight="1"/>
    <row r="23749" ht="12" customHeight="1"/>
    <row r="23750" ht="12" customHeight="1"/>
    <row r="23751" ht="12" customHeight="1"/>
    <row r="23752" ht="12" customHeight="1"/>
    <row r="23753" ht="12" customHeight="1"/>
    <row r="23754" ht="12" customHeight="1"/>
    <row r="23755" ht="12" customHeight="1"/>
    <row r="23756" ht="12" customHeight="1"/>
    <row r="23757" ht="12" customHeight="1"/>
    <row r="23758" ht="12" customHeight="1"/>
    <row r="23759" ht="12" customHeight="1"/>
    <row r="23760" ht="12" customHeight="1"/>
    <row r="23761" ht="12" customHeight="1"/>
    <row r="23762" ht="12" customHeight="1"/>
    <row r="23763" ht="12" customHeight="1"/>
    <row r="23764" ht="12" customHeight="1"/>
    <row r="23765" ht="12" customHeight="1"/>
    <row r="23766" ht="12" customHeight="1"/>
    <row r="23767" ht="12" customHeight="1"/>
    <row r="23768" ht="12" customHeight="1"/>
    <row r="23769" ht="12" customHeight="1"/>
    <row r="23770" ht="12" customHeight="1"/>
    <row r="23771" ht="12" customHeight="1"/>
    <row r="23772" ht="12" customHeight="1"/>
    <row r="23773" ht="12" customHeight="1"/>
    <row r="23774" ht="12" customHeight="1"/>
    <row r="23775" ht="12" customHeight="1"/>
    <row r="23776" ht="12" customHeight="1"/>
    <row r="23777" ht="12" customHeight="1"/>
    <row r="23778" ht="12" customHeight="1"/>
    <row r="23779" ht="12" customHeight="1"/>
    <row r="23780" ht="12" customHeight="1"/>
    <row r="23781" ht="12" customHeight="1"/>
    <row r="23782" ht="12" customHeight="1"/>
    <row r="23783" ht="12" customHeight="1"/>
    <row r="23784" ht="12" customHeight="1"/>
    <row r="23785" ht="12" customHeight="1"/>
    <row r="23786" ht="12" customHeight="1"/>
    <row r="23787" ht="12" customHeight="1"/>
    <row r="23788" ht="12" customHeight="1"/>
    <row r="23789" ht="12" customHeight="1"/>
    <row r="23790" ht="12" customHeight="1"/>
    <row r="23791" ht="12" customHeight="1"/>
    <row r="23792" ht="12" customHeight="1"/>
    <row r="23793" ht="12" customHeight="1"/>
    <row r="23794" ht="12" customHeight="1"/>
    <row r="23795" ht="12" customHeight="1"/>
    <row r="23796" ht="12" customHeight="1"/>
    <row r="23797" ht="12" customHeight="1"/>
    <row r="23798" ht="12" customHeight="1"/>
    <row r="23799" ht="12" customHeight="1"/>
    <row r="23800" ht="12" customHeight="1"/>
    <row r="23801" ht="12" customHeight="1"/>
    <row r="23802" ht="12" customHeight="1"/>
    <row r="23803" ht="12" customHeight="1"/>
    <row r="23804" ht="12" customHeight="1"/>
    <row r="23805" ht="12" customHeight="1"/>
    <row r="23806" ht="12" customHeight="1"/>
    <row r="23807" ht="12" customHeight="1"/>
    <row r="23808" ht="12" customHeight="1"/>
    <row r="23809" ht="12" customHeight="1"/>
    <row r="23810" ht="12" customHeight="1"/>
    <row r="23811" ht="12" customHeight="1"/>
    <row r="23812" ht="12" customHeight="1"/>
    <row r="23813" ht="12" customHeight="1"/>
    <row r="23814" ht="12" customHeight="1"/>
    <row r="23815" ht="12" customHeight="1"/>
    <row r="23816" ht="12" customHeight="1"/>
    <row r="23817" ht="12" customHeight="1"/>
    <row r="23818" ht="12" customHeight="1"/>
    <row r="23819" ht="12" customHeight="1"/>
    <row r="23820" ht="12" customHeight="1"/>
    <row r="23821" ht="12" customHeight="1"/>
    <row r="23822" ht="12" customHeight="1"/>
    <row r="23823" ht="12" customHeight="1"/>
    <row r="23824" ht="12" customHeight="1"/>
    <row r="23825" ht="12" customHeight="1"/>
    <row r="23826" ht="12" customHeight="1"/>
    <row r="23827" ht="12" customHeight="1"/>
    <row r="23828" ht="12" customHeight="1"/>
    <row r="23829" ht="12" customHeight="1"/>
    <row r="23830" ht="12" customHeight="1"/>
    <row r="23831" ht="12" customHeight="1"/>
    <row r="23832" ht="12" customHeight="1"/>
    <row r="23833" ht="12" customHeight="1"/>
    <row r="23834" ht="12" customHeight="1"/>
    <row r="23835" ht="12" customHeight="1"/>
    <row r="23836" ht="12" customHeight="1"/>
    <row r="23837" ht="12" customHeight="1"/>
    <row r="23838" ht="12" customHeight="1"/>
    <row r="23839" ht="12" customHeight="1"/>
    <row r="23840" ht="12" customHeight="1"/>
    <row r="23841" ht="12" customHeight="1"/>
    <row r="23842" ht="12" customHeight="1"/>
    <row r="23843" ht="12" customHeight="1"/>
    <row r="23844" ht="12" customHeight="1"/>
    <row r="23845" ht="12" customHeight="1"/>
    <row r="23846" ht="12" customHeight="1"/>
    <row r="23847" ht="12" customHeight="1"/>
    <row r="23848" ht="12" customHeight="1"/>
    <row r="23849" ht="12" customHeight="1"/>
    <row r="23850" ht="12" customHeight="1"/>
    <row r="23851" ht="12" customHeight="1"/>
    <row r="23852" ht="12" customHeight="1"/>
    <row r="23853" ht="12" customHeight="1"/>
    <row r="23854" ht="12" customHeight="1"/>
    <row r="23855" ht="12" customHeight="1"/>
    <row r="23856" ht="12" customHeight="1"/>
    <row r="23857" ht="12" customHeight="1"/>
    <row r="23858" ht="12" customHeight="1"/>
    <row r="23859" ht="12" customHeight="1"/>
    <row r="23860" ht="12" customHeight="1"/>
    <row r="23861" ht="12" customHeight="1"/>
    <row r="23862" ht="12" customHeight="1"/>
    <row r="23863" ht="12" customHeight="1"/>
    <row r="23864" ht="12" customHeight="1"/>
    <row r="23865" ht="12" customHeight="1"/>
    <row r="23866" ht="12" customHeight="1"/>
    <row r="23867" ht="12" customHeight="1"/>
    <row r="23868" ht="12" customHeight="1"/>
    <row r="23869" ht="12" customHeight="1"/>
    <row r="23870" ht="12" customHeight="1"/>
    <row r="23871" ht="12" customHeight="1"/>
    <row r="23872" ht="12" customHeight="1"/>
    <row r="23873" ht="12" customHeight="1"/>
    <row r="23874" ht="12" customHeight="1"/>
    <row r="23875" ht="12" customHeight="1"/>
    <row r="23876" ht="12" customHeight="1"/>
    <row r="23877" ht="12" customHeight="1"/>
    <row r="23878" ht="12" customHeight="1"/>
    <row r="23879" ht="12" customHeight="1"/>
    <row r="23880" ht="12" customHeight="1"/>
    <row r="23881" ht="12" customHeight="1"/>
    <row r="23882" ht="12" customHeight="1"/>
    <row r="23883" ht="12" customHeight="1"/>
    <row r="23884" ht="12" customHeight="1"/>
    <row r="23885" ht="12" customHeight="1"/>
    <row r="23886" ht="12" customHeight="1"/>
    <row r="23887" ht="12" customHeight="1"/>
    <row r="23888" ht="12" customHeight="1"/>
    <row r="23889" ht="12" customHeight="1"/>
    <row r="23890" ht="12" customHeight="1"/>
    <row r="23891" ht="12" customHeight="1"/>
    <row r="23892" ht="12" customHeight="1"/>
    <row r="23893" ht="12" customHeight="1"/>
    <row r="23894" ht="12" customHeight="1"/>
    <row r="23895" ht="12" customHeight="1"/>
    <row r="23896" ht="12" customHeight="1"/>
    <row r="23897" ht="12" customHeight="1"/>
    <row r="23898" ht="12" customHeight="1"/>
    <row r="23899" ht="12" customHeight="1"/>
    <row r="23900" ht="12" customHeight="1"/>
    <row r="23901" ht="12" customHeight="1"/>
    <row r="23902" ht="12" customHeight="1"/>
    <row r="23903" ht="12" customHeight="1"/>
    <row r="23904" ht="12" customHeight="1"/>
    <row r="23905" ht="12" customHeight="1"/>
    <row r="23906" ht="12" customHeight="1"/>
    <row r="23907" ht="12" customHeight="1"/>
    <row r="23908" ht="12" customHeight="1"/>
    <row r="23909" ht="12" customHeight="1"/>
    <row r="23910" ht="12" customHeight="1"/>
    <row r="23911" ht="12" customHeight="1"/>
    <row r="23912" ht="12" customHeight="1"/>
    <row r="23913" ht="12" customHeight="1"/>
    <row r="23914" ht="12" customHeight="1"/>
    <row r="23915" ht="12" customHeight="1"/>
    <row r="23916" ht="12" customHeight="1"/>
    <row r="23917" ht="12" customHeight="1"/>
    <row r="23918" ht="12" customHeight="1"/>
    <row r="23919" ht="12" customHeight="1"/>
    <row r="23920" ht="12" customHeight="1"/>
    <row r="23921" ht="12" customHeight="1"/>
    <row r="23922" ht="12" customHeight="1"/>
    <row r="23923" ht="12" customHeight="1"/>
    <row r="23924" ht="12" customHeight="1"/>
    <row r="23925" ht="12" customHeight="1"/>
    <row r="23926" ht="12" customHeight="1"/>
    <row r="23927" ht="12" customHeight="1"/>
    <row r="23928" ht="12" customHeight="1"/>
    <row r="23929" ht="12" customHeight="1"/>
    <row r="23930" ht="12" customHeight="1"/>
    <row r="23931" ht="12" customHeight="1"/>
    <row r="23932" ht="12" customHeight="1"/>
    <row r="23933" ht="12" customHeight="1"/>
    <row r="23934" ht="12" customHeight="1"/>
    <row r="23935" ht="12" customHeight="1"/>
    <row r="23936" ht="12" customHeight="1"/>
    <row r="23937" ht="12" customHeight="1"/>
    <row r="23938" ht="12" customHeight="1"/>
    <row r="23939" ht="12" customHeight="1"/>
    <row r="23940" ht="12" customHeight="1"/>
    <row r="23941" ht="12" customHeight="1"/>
    <row r="23942" ht="12" customHeight="1"/>
    <row r="23943" ht="12" customHeight="1"/>
    <row r="23944" ht="12" customHeight="1"/>
    <row r="23945" ht="12" customHeight="1"/>
    <row r="23946" ht="12" customHeight="1"/>
    <row r="23947" ht="12" customHeight="1"/>
    <row r="23948" ht="12" customHeight="1"/>
    <row r="23949" ht="12" customHeight="1"/>
    <row r="23950" ht="12" customHeight="1"/>
    <row r="23951" ht="12" customHeight="1"/>
    <row r="23952" ht="12" customHeight="1"/>
    <row r="23953" ht="12" customHeight="1"/>
    <row r="23954" ht="12" customHeight="1"/>
    <row r="23955" ht="12" customHeight="1"/>
    <row r="23956" ht="12" customHeight="1"/>
    <row r="23957" ht="12" customHeight="1"/>
    <row r="23958" ht="12" customHeight="1"/>
    <row r="23959" ht="12" customHeight="1"/>
    <row r="23960" ht="12" customHeight="1"/>
    <row r="23961" ht="12" customHeight="1"/>
    <row r="23962" ht="12" customHeight="1"/>
    <row r="23963" ht="12" customHeight="1"/>
    <row r="23964" ht="12" customHeight="1"/>
    <row r="23965" ht="12" customHeight="1"/>
    <row r="23966" ht="12" customHeight="1"/>
    <row r="23967" ht="12" customHeight="1"/>
    <row r="23968" ht="12" customHeight="1"/>
    <row r="23969" ht="12" customHeight="1"/>
    <row r="23970" ht="12" customHeight="1"/>
    <row r="23971" ht="12" customHeight="1"/>
    <row r="23972" ht="12" customHeight="1"/>
    <row r="23973" ht="12" customHeight="1"/>
    <row r="23974" ht="12" customHeight="1"/>
    <row r="23975" ht="12" customHeight="1"/>
    <row r="23976" ht="12" customHeight="1"/>
    <row r="23977" ht="12" customHeight="1"/>
    <row r="23978" ht="12" customHeight="1"/>
    <row r="23979" ht="12" customHeight="1"/>
    <row r="23980" ht="12" customHeight="1"/>
    <row r="23981" ht="12" customHeight="1"/>
    <row r="23982" ht="12" customHeight="1"/>
    <row r="23983" ht="12" customHeight="1"/>
    <row r="23984" ht="12" customHeight="1"/>
    <row r="23985" ht="12" customHeight="1"/>
    <row r="23986" ht="12" customHeight="1"/>
    <row r="23987" ht="12" customHeight="1"/>
    <row r="23988" ht="12" customHeight="1"/>
    <row r="23989" ht="12" customHeight="1"/>
    <row r="23990" ht="12" customHeight="1"/>
    <row r="23991" ht="12" customHeight="1"/>
    <row r="23992" ht="12" customHeight="1"/>
    <row r="23993" ht="12" customHeight="1"/>
    <row r="23994" ht="12" customHeight="1"/>
    <row r="23995" ht="12" customHeight="1"/>
    <row r="23996" ht="12" customHeight="1"/>
    <row r="23997" ht="12" customHeight="1"/>
    <row r="23998" ht="12" customHeight="1"/>
    <row r="23999" ht="12" customHeight="1"/>
    <row r="24000" ht="12" customHeight="1"/>
    <row r="24001" ht="12" customHeight="1"/>
    <row r="24002" ht="12" customHeight="1"/>
    <row r="24003" ht="12" customHeight="1"/>
    <row r="24004" ht="12" customHeight="1"/>
    <row r="24005" ht="12" customHeight="1"/>
    <row r="24006" ht="12" customHeight="1"/>
    <row r="24007" ht="12" customHeight="1"/>
    <row r="24008" ht="12" customHeight="1"/>
    <row r="24009" ht="12" customHeight="1"/>
    <row r="24010" ht="12" customHeight="1"/>
    <row r="24011" ht="12" customHeight="1"/>
    <row r="24012" ht="12" customHeight="1"/>
    <row r="24013" ht="12" customHeight="1"/>
    <row r="24014" ht="12" customHeight="1"/>
    <row r="24015" ht="12" customHeight="1"/>
    <row r="24016" ht="12" customHeight="1"/>
    <row r="24017" ht="12" customHeight="1"/>
    <row r="24018" ht="12" customHeight="1"/>
    <row r="24019" ht="12" customHeight="1"/>
    <row r="24020" ht="12" customHeight="1"/>
    <row r="24021" ht="12" customHeight="1"/>
    <row r="24022" ht="12" customHeight="1"/>
    <row r="24023" ht="12" customHeight="1"/>
    <row r="24024" ht="12" customHeight="1"/>
    <row r="24025" ht="12" customHeight="1"/>
    <row r="24026" ht="12" customHeight="1"/>
    <row r="24027" ht="12" customHeight="1"/>
    <row r="24028" ht="12" customHeight="1"/>
    <row r="24029" ht="12" customHeight="1"/>
    <row r="24030" ht="12" customHeight="1"/>
    <row r="24031" ht="12" customHeight="1"/>
    <row r="24032" ht="12" customHeight="1"/>
    <row r="24033" ht="12" customHeight="1"/>
    <row r="24034" ht="12" customHeight="1"/>
    <row r="24035" ht="12" customHeight="1"/>
    <row r="24036" ht="12" customHeight="1"/>
    <row r="24037" ht="12" customHeight="1"/>
    <row r="24038" ht="12" customHeight="1"/>
    <row r="24039" ht="12" customHeight="1"/>
    <row r="24040" ht="12" customHeight="1"/>
    <row r="24041" ht="12" customHeight="1"/>
    <row r="24042" ht="12" customHeight="1"/>
    <row r="24043" ht="12" customHeight="1"/>
    <row r="24044" ht="12" customHeight="1"/>
    <row r="24045" ht="12" customHeight="1"/>
    <row r="24046" ht="12" customHeight="1"/>
    <row r="24047" ht="12" customHeight="1"/>
    <row r="24048" ht="12" customHeight="1"/>
    <row r="24049" ht="12" customHeight="1"/>
    <row r="24050" ht="12" customHeight="1"/>
    <row r="24051" ht="12" customHeight="1"/>
    <row r="24052" ht="12" customHeight="1"/>
    <row r="24053" ht="12" customHeight="1"/>
    <row r="24054" ht="12" customHeight="1"/>
    <row r="24055" ht="12" customHeight="1"/>
    <row r="24056" ht="12" customHeight="1"/>
    <row r="24057" ht="12" customHeight="1"/>
    <row r="24058" ht="12" customHeight="1"/>
    <row r="24059" ht="12" customHeight="1"/>
    <row r="24060" ht="12" customHeight="1"/>
    <row r="24061" ht="12" customHeight="1"/>
    <row r="24062" ht="12" customHeight="1"/>
    <row r="24063" ht="12" customHeight="1"/>
    <row r="24064" ht="12" customHeight="1"/>
    <row r="24065" ht="12" customHeight="1"/>
    <row r="24066" ht="12" customHeight="1"/>
    <row r="24067" ht="12" customHeight="1"/>
    <row r="24068" ht="12" customHeight="1"/>
    <row r="24069" ht="12" customHeight="1"/>
    <row r="24070" ht="12" customHeight="1"/>
    <row r="24071" ht="12" customHeight="1"/>
    <row r="24072" ht="12" customHeight="1"/>
    <row r="24073" ht="12" customHeight="1"/>
    <row r="24074" ht="12" customHeight="1"/>
    <row r="24075" ht="12" customHeight="1"/>
    <row r="24076" ht="12" customHeight="1"/>
    <row r="24077" ht="12" customHeight="1"/>
    <row r="24078" ht="12" customHeight="1"/>
    <row r="24079" ht="12" customHeight="1"/>
    <row r="24080" ht="12" customHeight="1"/>
    <row r="24081" ht="12" customHeight="1"/>
    <row r="24082" ht="12" customHeight="1"/>
    <row r="24083" ht="12" customHeight="1"/>
    <row r="24084" ht="12" customHeight="1"/>
    <row r="24085" ht="12" customHeight="1"/>
    <row r="24086" ht="12" customHeight="1"/>
    <row r="24087" ht="12" customHeight="1"/>
    <row r="24088" ht="12" customHeight="1"/>
    <row r="24089" ht="12" customHeight="1"/>
    <row r="24090" ht="12" customHeight="1"/>
    <row r="24091" ht="12" customHeight="1"/>
    <row r="24092" ht="12" customHeight="1"/>
    <row r="24093" ht="12" customHeight="1"/>
    <row r="24094" ht="12" customHeight="1"/>
    <row r="24095" ht="12" customHeight="1"/>
    <row r="24096" ht="12" customHeight="1"/>
    <row r="24097" ht="12" customHeight="1"/>
    <row r="24098" ht="12" customHeight="1"/>
    <row r="24099" ht="12" customHeight="1"/>
    <row r="24100" ht="12" customHeight="1"/>
    <row r="24101" ht="12" customHeight="1"/>
    <row r="24102" ht="12" customHeight="1"/>
    <row r="24103" ht="12" customHeight="1"/>
    <row r="24104" ht="12" customHeight="1"/>
    <row r="24105" ht="12" customHeight="1"/>
    <row r="24106" ht="12" customHeight="1"/>
    <row r="24107" ht="12" customHeight="1"/>
    <row r="24108" ht="12" customHeight="1"/>
    <row r="24109" ht="12" customHeight="1"/>
    <row r="24110" ht="12" customHeight="1"/>
    <row r="24111" ht="12" customHeight="1"/>
    <row r="24112" ht="12" customHeight="1"/>
    <row r="24113" ht="12" customHeight="1"/>
    <row r="24114" ht="12" customHeight="1"/>
    <row r="24115" ht="12" customHeight="1"/>
    <row r="24116" ht="12" customHeight="1"/>
    <row r="24117" ht="12" customHeight="1"/>
    <row r="24118" ht="12" customHeight="1"/>
    <row r="24119" ht="12" customHeight="1"/>
    <row r="24120" ht="12" customHeight="1"/>
    <row r="24121" ht="12" customHeight="1"/>
    <row r="24122" ht="12" customHeight="1"/>
    <row r="24123" ht="12" customHeight="1"/>
    <row r="24124" ht="12" customHeight="1"/>
    <row r="24125" ht="12" customHeight="1"/>
    <row r="24126" ht="12" customHeight="1"/>
    <row r="24127" ht="12" customHeight="1"/>
    <row r="24128" ht="12" customHeight="1"/>
    <row r="24129" ht="12" customHeight="1"/>
    <row r="24130" ht="12" customHeight="1"/>
    <row r="24131" ht="12" customHeight="1"/>
    <row r="24132" ht="12" customHeight="1"/>
    <row r="24133" ht="12" customHeight="1"/>
    <row r="24134" ht="12" customHeight="1"/>
    <row r="24135" ht="12" customHeight="1"/>
    <row r="24136" ht="12" customHeight="1"/>
    <row r="24137" ht="12" customHeight="1"/>
    <row r="24138" ht="12" customHeight="1"/>
    <row r="24139" ht="12" customHeight="1"/>
    <row r="24140" ht="12" customHeight="1"/>
    <row r="24141" ht="12" customHeight="1"/>
    <row r="24142" ht="12" customHeight="1"/>
    <row r="24143" ht="12" customHeight="1"/>
    <row r="24144" ht="12" customHeight="1"/>
    <row r="24145" ht="12" customHeight="1"/>
    <row r="24146" ht="12" customHeight="1"/>
    <row r="24147" ht="12" customHeight="1"/>
    <row r="24148" ht="12" customHeight="1"/>
    <row r="24149" ht="12" customHeight="1"/>
    <row r="24150" ht="12" customHeight="1"/>
    <row r="24151" ht="12" customHeight="1"/>
    <row r="24152" ht="12" customHeight="1"/>
    <row r="24153" ht="12" customHeight="1"/>
    <row r="24154" ht="12" customHeight="1"/>
    <row r="24155" ht="12" customHeight="1"/>
    <row r="24156" ht="12" customHeight="1"/>
    <row r="24157" ht="12" customHeight="1"/>
    <row r="24158" ht="12" customHeight="1"/>
    <row r="24159" ht="12" customHeight="1"/>
    <row r="24160" ht="12" customHeight="1"/>
    <row r="24161" ht="12" customHeight="1"/>
    <row r="24162" ht="12" customHeight="1"/>
    <row r="24163" ht="12" customHeight="1"/>
    <row r="24164" ht="12" customHeight="1"/>
    <row r="24165" ht="12" customHeight="1"/>
    <row r="24166" ht="12" customHeight="1"/>
    <row r="24167" ht="12" customHeight="1"/>
    <row r="24168" ht="12" customHeight="1"/>
    <row r="24169" ht="12" customHeight="1"/>
    <row r="24170" ht="12" customHeight="1"/>
    <row r="24171" ht="12" customHeight="1"/>
    <row r="24172" ht="12" customHeight="1"/>
    <row r="24173" ht="12" customHeight="1"/>
    <row r="24174" ht="12" customHeight="1"/>
    <row r="24175" ht="12" customHeight="1"/>
    <row r="24176" ht="12" customHeight="1"/>
    <row r="24177" ht="12" customHeight="1"/>
    <row r="24178" ht="12" customHeight="1"/>
    <row r="24179" ht="12" customHeight="1"/>
    <row r="24180" ht="12" customHeight="1"/>
    <row r="24181" ht="12" customHeight="1"/>
    <row r="24182" ht="12" customHeight="1"/>
    <row r="24183" ht="12" customHeight="1"/>
    <row r="24184" ht="12" customHeight="1"/>
    <row r="24185" ht="12" customHeight="1"/>
    <row r="24186" ht="12" customHeight="1"/>
    <row r="24187" ht="12" customHeight="1"/>
    <row r="24188" ht="12" customHeight="1"/>
    <row r="24189" ht="12" customHeight="1"/>
    <row r="24190" ht="12" customHeight="1"/>
    <row r="24191" ht="12" customHeight="1"/>
    <row r="24192" ht="12" customHeight="1"/>
    <row r="24193" ht="12" customHeight="1"/>
    <row r="24194" ht="12" customHeight="1"/>
    <row r="24195" ht="12" customHeight="1"/>
    <row r="24196" ht="12" customHeight="1"/>
    <row r="24197" ht="12" customHeight="1"/>
    <row r="24198" ht="12" customHeight="1"/>
    <row r="24199" ht="12" customHeight="1"/>
    <row r="24200" ht="12" customHeight="1"/>
    <row r="24201" ht="12" customHeight="1"/>
    <row r="24202" ht="12" customHeight="1"/>
    <row r="24203" ht="12" customHeight="1"/>
    <row r="24204" ht="12" customHeight="1"/>
    <row r="24205" ht="12" customHeight="1"/>
    <row r="24206" ht="12" customHeight="1"/>
    <row r="24207" ht="12" customHeight="1"/>
    <row r="24208" ht="12" customHeight="1"/>
    <row r="24209" ht="12" customHeight="1"/>
    <row r="24210" ht="12" customHeight="1"/>
    <row r="24211" ht="12" customHeight="1"/>
    <row r="24212" ht="12" customHeight="1"/>
    <row r="24213" ht="12" customHeight="1"/>
    <row r="24214" ht="12" customHeight="1"/>
    <row r="24215" ht="12" customHeight="1"/>
    <row r="24216" ht="12" customHeight="1"/>
    <row r="24217" ht="12" customHeight="1"/>
    <row r="24218" ht="12" customHeight="1"/>
    <row r="24219" ht="12" customHeight="1"/>
    <row r="24220" ht="12" customHeight="1"/>
    <row r="24221" ht="12" customHeight="1"/>
    <row r="24222" ht="12" customHeight="1"/>
    <row r="24223" ht="12" customHeight="1"/>
    <row r="24224" ht="12" customHeight="1"/>
    <row r="24225" ht="12" customHeight="1"/>
    <row r="24226" ht="12" customHeight="1"/>
    <row r="24227" ht="12" customHeight="1"/>
    <row r="24228" ht="12" customHeight="1"/>
    <row r="24229" ht="12" customHeight="1"/>
    <row r="24230" ht="12" customHeight="1"/>
    <row r="24231" ht="12" customHeight="1"/>
    <row r="24232" ht="12" customHeight="1"/>
    <row r="24233" ht="12" customHeight="1"/>
    <row r="24234" ht="12" customHeight="1"/>
    <row r="24235" ht="12" customHeight="1"/>
    <row r="24236" ht="12" customHeight="1"/>
    <row r="24237" ht="12" customHeight="1"/>
    <row r="24238" ht="12" customHeight="1"/>
    <row r="24239" ht="12" customHeight="1"/>
    <row r="24240" ht="12" customHeight="1"/>
    <row r="24241" ht="12" customHeight="1"/>
    <row r="24242" ht="12" customHeight="1"/>
    <row r="24243" ht="12" customHeight="1"/>
    <row r="24244" ht="12" customHeight="1"/>
    <row r="24245" ht="12" customHeight="1"/>
    <row r="24246" ht="12" customHeight="1"/>
    <row r="24247" ht="12" customHeight="1"/>
    <row r="24248" ht="12" customHeight="1"/>
    <row r="24249" ht="12" customHeight="1"/>
    <row r="24250" ht="12" customHeight="1"/>
    <row r="24251" ht="12" customHeight="1"/>
    <row r="24252" ht="12" customHeight="1"/>
    <row r="24253" ht="12" customHeight="1"/>
    <row r="24254" ht="12" customHeight="1"/>
    <row r="24255" ht="12" customHeight="1"/>
    <row r="24256" ht="12" customHeight="1"/>
    <row r="24257" ht="12" customHeight="1"/>
    <row r="24258" ht="12" customHeight="1"/>
    <row r="24259" ht="12" customHeight="1"/>
    <row r="24260" ht="12" customHeight="1"/>
    <row r="24261" ht="12" customHeight="1"/>
    <row r="24262" ht="12" customHeight="1"/>
    <row r="24263" ht="12" customHeight="1"/>
    <row r="24264" ht="12" customHeight="1"/>
    <row r="24265" ht="12" customHeight="1"/>
    <row r="24266" ht="12" customHeight="1"/>
    <row r="24267" ht="12" customHeight="1"/>
    <row r="24268" ht="12" customHeight="1"/>
    <row r="24269" ht="12" customHeight="1"/>
    <row r="24270" ht="12" customHeight="1"/>
    <row r="24271" ht="12" customHeight="1"/>
    <row r="24272" ht="12" customHeight="1"/>
    <row r="24273" ht="12" customHeight="1"/>
    <row r="24274" ht="12" customHeight="1"/>
    <row r="24275" ht="12" customHeight="1"/>
    <row r="24276" ht="12" customHeight="1"/>
    <row r="24277" ht="12" customHeight="1"/>
    <row r="24278" ht="12" customHeight="1"/>
    <row r="24279" ht="12" customHeight="1"/>
    <row r="24280" ht="12" customHeight="1"/>
    <row r="24281" ht="12" customHeight="1"/>
    <row r="24282" ht="12" customHeight="1"/>
    <row r="24283" ht="12" customHeight="1"/>
    <row r="24284" ht="12" customHeight="1"/>
    <row r="24285" ht="12" customHeight="1"/>
    <row r="24286" ht="12" customHeight="1"/>
    <row r="24287" ht="12" customHeight="1"/>
    <row r="24288" ht="12" customHeight="1"/>
    <row r="24289" ht="12" customHeight="1"/>
    <row r="24290" ht="12" customHeight="1"/>
    <row r="24291" ht="12" customHeight="1"/>
    <row r="24292" ht="12" customHeight="1"/>
    <row r="24293" ht="12" customHeight="1"/>
    <row r="24294" ht="12" customHeight="1"/>
    <row r="24295" ht="12" customHeight="1"/>
    <row r="24296" ht="12" customHeight="1"/>
    <row r="24297" ht="12" customHeight="1"/>
    <row r="24298" ht="12" customHeight="1"/>
    <row r="24299" ht="12" customHeight="1"/>
    <row r="24300" ht="12" customHeight="1"/>
    <row r="24301" ht="12" customHeight="1"/>
    <row r="24302" ht="12" customHeight="1"/>
    <row r="24303" ht="12" customHeight="1"/>
    <row r="24304" ht="12" customHeight="1"/>
    <row r="24305" ht="12" customHeight="1"/>
    <row r="24306" ht="12" customHeight="1"/>
    <row r="24307" ht="12" customHeight="1"/>
    <row r="24308" ht="12" customHeight="1"/>
    <row r="24309" ht="12" customHeight="1"/>
    <row r="24310" ht="12" customHeight="1"/>
    <row r="24311" ht="12" customHeight="1"/>
    <row r="24312" ht="12" customHeight="1"/>
    <row r="24313" ht="12" customHeight="1"/>
    <row r="24314" ht="12" customHeight="1"/>
    <row r="24315" ht="12" customHeight="1"/>
    <row r="24316" ht="12" customHeight="1"/>
    <row r="24317" ht="12" customHeight="1"/>
    <row r="24318" ht="12" customHeight="1"/>
    <row r="24319" ht="12" customHeight="1"/>
    <row r="24320" ht="12" customHeight="1"/>
    <row r="24321" ht="12" customHeight="1"/>
    <row r="24322" ht="12" customHeight="1"/>
    <row r="24323" ht="12" customHeight="1"/>
    <row r="24324" ht="12" customHeight="1"/>
    <row r="24325" ht="12" customHeight="1"/>
    <row r="24326" ht="12" customHeight="1"/>
    <row r="24327" ht="12" customHeight="1"/>
    <row r="24328" ht="12" customHeight="1"/>
    <row r="24329" ht="12" customHeight="1"/>
    <row r="24330" ht="12" customHeight="1"/>
    <row r="24331" ht="12" customHeight="1"/>
    <row r="24332" ht="12" customHeight="1"/>
    <row r="24333" ht="12" customHeight="1"/>
    <row r="24334" ht="12" customHeight="1"/>
    <row r="24335" ht="12" customHeight="1"/>
    <row r="24336" ht="12" customHeight="1"/>
    <row r="24337" ht="12" customHeight="1"/>
    <row r="24338" ht="12" customHeight="1"/>
    <row r="24339" ht="12" customHeight="1"/>
    <row r="24340" ht="12" customHeight="1"/>
    <row r="24341" ht="12" customHeight="1"/>
    <row r="24342" ht="12" customHeight="1"/>
    <row r="24343" ht="12" customHeight="1"/>
    <row r="24344" ht="12" customHeight="1"/>
    <row r="24345" ht="12" customHeight="1"/>
    <row r="24346" ht="12" customHeight="1"/>
    <row r="24347" ht="12" customHeight="1"/>
    <row r="24348" ht="12" customHeight="1"/>
    <row r="24349" ht="12" customHeight="1"/>
    <row r="24350" ht="12" customHeight="1"/>
    <row r="24351" ht="12" customHeight="1"/>
    <row r="24352" ht="12" customHeight="1"/>
    <row r="24353" ht="12" customHeight="1"/>
    <row r="24354" ht="12" customHeight="1"/>
    <row r="24355" ht="12" customHeight="1"/>
    <row r="24356" ht="12" customHeight="1"/>
    <row r="24357" ht="12" customHeight="1"/>
    <row r="24358" ht="12" customHeight="1"/>
    <row r="24359" ht="12" customHeight="1"/>
    <row r="24360" ht="12" customHeight="1"/>
    <row r="24361" ht="12" customHeight="1"/>
    <row r="24362" ht="12" customHeight="1"/>
    <row r="24363" ht="12" customHeight="1"/>
    <row r="24364" ht="12" customHeight="1"/>
    <row r="24365" ht="12" customHeight="1"/>
    <row r="24366" ht="12" customHeight="1"/>
    <row r="24367" ht="12" customHeight="1"/>
    <row r="24368" ht="12" customHeight="1"/>
    <row r="24369" ht="12" customHeight="1"/>
    <row r="24370" ht="12" customHeight="1"/>
    <row r="24371" ht="12" customHeight="1"/>
    <row r="24372" ht="12" customHeight="1"/>
    <row r="24373" ht="12" customHeight="1"/>
    <row r="24374" ht="12" customHeight="1"/>
    <row r="24375" ht="12" customHeight="1"/>
    <row r="24376" ht="12" customHeight="1"/>
    <row r="24377" ht="12" customHeight="1"/>
    <row r="24378" ht="12" customHeight="1"/>
    <row r="24379" ht="12" customHeight="1"/>
    <row r="24380" ht="12" customHeight="1"/>
    <row r="24381" ht="12" customHeight="1"/>
    <row r="24382" ht="12" customHeight="1"/>
    <row r="24383" ht="12" customHeight="1"/>
    <row r="24384" ht="12" customHeight="1"/>
    <row r="24385" ht="12" customHeight="1"/>
    <row r="24386" ht="12" customHeight="1"/>
    <row r="24387" ht="12" customHeight="1"/>
    <row r="24388" ht="12" customHeight="1"/>
    <row r="24389" ht="12" customHeight="1"/>
    <row r="24390" ht="12" customHeight="1"/>
    <row r="24391" ht="12" customHeight="1"/>
    <row r="24392" ht="12" customHeight="1"/>
    <row r="24393" ht="12" customHeight="1"/>
    <row r="24394" ht="12" customHeight="1"/>
    <row r="24395" ht="12" customHeight="1"/>
    <row r="24396" ht="12" customHeight="1"/>
    <row r="24397" ht="12" customHeight="1"/>
    <row r="24398" ht="12" customHeight="1"/>
    <row r="24399" ht="12" customHeight="1"/>
    <row r="24400" ht="12" customHeight="1"/>
    <row r="24401" ht="12" customHeight="1"/>
    <row r="24402" ht="12" customHeight="1"/>
    <row r="24403" ht="12" customHeight="1"/>
    <row r="24404" ht="12" customHeight="1"/>
    <row r="24405" ht="12" customHeight="1"/>
    <row r="24406" ht="12" customHeight="1"/>
    <row r="24407" ht="12" customHeight="1"/>
    <row r="24408" ht="12" customHeight="1"/>
    <row r="24409" ht="12" customHeight="1"/>
    <row r="24410" ht="12" customHeight="1"/>
    <row r="24411" ht="12" customHeight="1"/>
    <row r="24412" ht="12" customHeight="1"/>
    <row r="24413" ht="12" customHeight="1"/>
    <row r="24414" ht="12" customHeight="1"/>
    <row r="24415" ht="12" customHeight="1"/>
    <row r="24416" ht="12" customHeight="1"/>
    <row r="24417" ht="12" customHeight="1"/>
    <row r="24418" ht="12" customHeight="1"/>
    <row r="24419" ht="12" customHeight="1"/>
    <row r="24420" ht="12" customHeight="1"/>
    <row r="24421" ht="12" customHeight="1"/>
    <row r="24422" ht="12" customHeight="1"/>
    <row r="24423" ht="12" customHeight="1"/>
    <row r="24424" ht="12" customHeight="1"/>
    <row r="24425" ht="12" customHeight="1"/>
    <row r="24426" ht="12" customHeight="1"/>
    <row r="24427" ht="12" customHeight="1"/>
    <row r="24428" ht="12" customHeight="1"/>
    <row r="24429" ht="12" customHeight="1"/>
    <row r="24430" ht="12" customHeight="1"/>
    <row r="24431" ht="12" customHeight="1"/>
    <row r="24432" ht="12" customHeight="1"/>
    <row r="24433" ht="12" customHeight="1"/>
    <row r="24434" ht="12" customHeight="1"/>
    <row r="24435" ht="12" customHeight="1"/>
    <row r="24436" ht="12" customHeight="1"/>
    <row r="24437" ht="12" customHeight="1"/>
    <row r="24438" ht="12" customHeight="1"/>
    <row r="24439" ht="12" customHeight="1"/>
    <row r="24440" ht="12" customHeight="1"/>
    <row r="24441" ht="12" customHeight="1"/>
    <row r="24442" ht="12" customHeight="1"/>
    <row r="24443" ht="12" customHeight="1"/>
    <row r="24444" ht="12" customHeight="1"/>
    <row r="24445" ht="12" customHeight="1"/>
    <row r="24446" ht="12" customHeight="1"/>
    <row r="24447" ht="12" customHeight="1"/>
    <row r="24448" ht="12" customHeight="1"/>
    <row r="24449" ht="12" customHeight="1"/>
    <row r="24450" ht="12" customHeight="1"/>
    <row r="24451" ht="12" customHeight="1"/>
    <row r="24452" ht="12" customHeight="1"/>
    <row r="24453" ht="12" customHeight="1"/>
    <row r="24454" ht="12" customHeight="1"/>
    <row r="24455" ht="12" customHeight="1"/>
    <row r="24456" ht="12" customHeight="1"/>
    <row r="24457" ht="12" customHeight="1"/>
    <row r="24458" ht="12" customHeight="1"/>
    <row r="24459" ht="12" customHeight="1"/>
    <row r="24460" ht="12" customHeight="1"/>
    <row r="24461" ht="12" customHeight="1"/>
    <row r="24462" ht="12" customHeight="1"/>
    <row r="24463" ht="12" customHeight="1"/>
    <row r="24464" ht="12" customHeight="1"/>
    <row r="24465" ht="12" customHeight="1"/>
    <row r="24466" ht="12" customHeight="1"/>
    <row r="24467" ht="12" customHeight="1"/>
    <row r="24468" ht="12" customHeight="1"/>
    <row r="24469" ht="12" customHeight="1"/>
    <row r="24470" ht="12" customHeight="1"/>
    <row r="24471" ht="12" customHeight="1"/>
    <row r="24472" ht="12" customHeight="1"/>
    <row r="24473" ht="12" customHeight="1"/>
    <row r="24474" ht="12" customHeight="1"/>
    <row r="24475" ht="12" customHeight="1"/>
    <row r="24476" ht="12" customHeight="1"/>
    <row r="24477" ht="12" customHeight="1"/>
    <row r="24478" ht="12" customHeight="1"/>
    <row r="24479" ht="12" customHeight="1"/>
    <row r="24480" ht="12" customHeight="1"/>
    <row r="24481" ht="12" customHeight="1"/>
    <row r="24482" ht="12" customHeight="1"/>
    <row r="24483" ht="12" customHeight="1"/>
    <row r="24484" ht="12" customHeight="1"/>
    <row r="24485" ht="12" customHeight="1"/>
    <row r="24486" ht="12" customHeight="1"/>
    <row r="24487" ht="12" customHeight="1"/>
    <row r="24488" ht="12" customHeight="1"/>
    <row r="24489" ht="12" customHeight="1"/>
    <row r="24490" ht="12" customHeight="1"/>
    <row r="24491" ht="12" customHeight="1"/>
    <row r="24492" ht="12" customHeight="1"/>
    <row r="24493" ht="12" customHeight="1"/>
    <row r="24494" ht="12" customHeight="1"/>
    <row r="24495" ht="12" customHeight="1"/>
    <row r="24496" ht="12" customHeight="1"/>
    <row r="24497" ht="12" customHeight="1"/>
    <row r="24498" ht="12" customHeight="1"/>
    <row r="24499" ht="12" customHeight="1"/>
    <row r="24500" ht="12" customHeight="1"/>
    <row r="24501" ht="12" customHeight="1"/>
    <row r="24502" ht="12" customHeight="1"/>
    <row r="24503" ht="12" customHeight="1"/>
    <row r="24504" ht="12" customHeight="1"/>
    <row r="24505" ht="12" customHeight="1"/>
    <row r="24506" ht="12" customHeight="1"/>
    <row r="24507" ht="12" customHeight="1"/>
    <row r="24508" ht="12" customHeight="1"/>
    <row r="24509" ht="12" customHeight="1"/>
    <row r="24510" ht="12" customHeight="1"/>
    <row r="24511" ht="12" customHeight="1"/>
    <row r="24512" ht="12" customHeight="1"/>
    <row r="24513" ht="12" customHeight="1"/>
    <row r="24514" ht="12" customHeight="1"/>
    <row r="24515" ht="12" customHeight="1"/>
    <row r="24516" ht="12" customHeight="1"/>
    <row r="24517" ht="12" customHeight="1"/>
    <row r="24518" ht="12" customHeight="1"/>
    <row r="24519" ht="12" customHeight="1"/>
    <row r="24520" ht="12" customHeight="1"/>
    <row r="24521" ht="12" customHeight="1"/>
    <row r="24522" ht="12" customHeight="1"/>
    <row r="24523" ht="12" customHeight="1"/>
    <row r="24524" ht="12" customHeight="1"/>
    <row r="24525" ht="12" customHeight="1"/>
    <row r="24526" ht="12" customHeight="1"/>
    <row r="24527" ht="12" customHeight="1"/>
    <row r="24528" ht="12" customHeight="1"/>
    <row r="24529" ht="12" customHeight="1"/>
    <row r="24530" ht="12" customHeight="1"/>
    <row r="24531" ht="12" customHeight="1"/>
    <row r="24532" ht="12" customHeight="1"/>
    <row r="24533" ht="12" customHeight="1"/>
    <row r="24534" ht="12" customHeight="1"/>
    <row r="24535" ht="12" customHeight="1"/>
    <row r="24536" ht="12" customHeight="1"/>
    <row r="24537" ht="12" customHeight="1"/>
    <row r="24538" ht="12" customHeight="1"/>
    <row r="24539" ht="12" customHeight="1"/>
    <row r="24540" ht="12" customHeight="1"/>
    <row r="24541" ht="12" customHeight="1"/>
    <row r="24542" ht="12" customHeight="1"/>
    <row r="24543" ht="12" customHeight="1"/>
    <row r="24544" ht="12" customHeight="1"/>
    <row r="24545" ht="12" customHeight="1"/>
    <row r="24546" ht="12" customHeight="1"/>
    <row r="24547" ht="12" customHeight="1"/>
    <row r="24548" ht="12" customHeight="1"/>
    <row r="24549" ht="12" customHeight="1"/>
    <row r="24550" ht="12" customHeight="1"/>
    <row r="24551" ht="12" customHeight="1"/>
    <row r="24552" ht="12" customHeight="1"/>
    <row r="24553" ht="12" customHeight="1"/>
    <row r="24554" ht="12" customHeight="1"/>
    <row r="24555" ht="12" customHeight="1"/>
    <row r="24556" ht="12" customHeight="1"/>
    <row r="24557" ht="12" customHeight="1"/>
    <row r="24558" ht="12" customHeight="1"/>
    <row r="24559" ht="12" customHeight="1"/>
    <row r="24560" ht="12" customHeight="1"/>
    <row r="24561" ht="12" customHeight="1"/>
    <row r="24562" ht="12" customHeight="1"/>
    <row r="24563" ht="12" customHeight="1"/>
    <row r="24564" ht="12" customHeight="1"/>
    <row r="24565" ht="12" customHeight="1"/>
    <row r="24566" ht="12" customHeight="1"/>
    <row r="24567" ht="12" customHeight="1"/>
    <row r="24568" ht="12" customHeight="1"/>
    <row r="24569" ht="12" customHeight="1"/>
    <row r="24570" ht="12" customHeight="1"/>
    <row r="24571" ht="12" customHeight="1"/>
    <row r="24572" ht="12" customHeight="1"/>
    <row r="24573" ht="12" customHeight="1"/>
    <row r="24574" ht="12" customHeight="1"/>
    <row r="24575" ht="12" customHeight="1"/>
    <row r="24576" ht="12" customHeight="1"/>
    <row r="24577" ht="12" customHeight="1"/>
    <row r="24578" ht="12" customHeight="1"/>
    <row r="24579" ht="12" customHeight="1"/>
    <row r="24580" ht="12" customHeight="1"/>
    <row r="24581" ht="12" customHeight="1"/>
    <row r="24582" ht="12" customHeight="1"/>
    <row r="24583" ht="12" customHeight="1"/>
    <row r="24584" ht="12" customHeight="1"/>
    <row r="24585" ht="12" customHeight="1"/>
    <row r="24586" ht="12" customHeight="1"/>
    <row r="24587" ht="12" customHeight="1"/>
    <row r="24588" ht="12" customHeight="1"/>
    <row r="24589" ht="12" customHeight="1"/>
    <row r="24590" ht="12" customHeight="1"/>
    <row r="24591" ht="12" customHeight="1"/>
    <row r="24592" ht="12" customHeight="1"/>
    <row r="24593" ht="12" customHeight="1"/>
    <row r="24594" ht="12" customHeight="1"/>
    <row r="24595" ht="12" customHeight="1"/>
    <row r="24596" ht="12" customHeight="1"/>
    <row r="24597" ht="12" customHeight="1"/>
    <row r="24598" ht="12" customHeight="1"/>
    <row r="24599" ht="12" customHeight="1"/>
    <row r="24600" ht="12" customHeight="1"/>
    <row r="24601" ht="12" customHeight="1"/>
    <row r="24602" ht="12" customHeight="1"/>
    <row r="24603" ht="12" customHeight="1"/>
    <row r="24604" ht="12" customHeight="1"/>
    <row r="24605" ht="12" customHeight="1"/>
    <row r="24606" ht="12" customHeight="1"/>
    <row r="24607" ht="12" customHeight="1"/>
    <row r="24608" ht="12" customHeight="1"/>
    <row r="24609" ht="12" customHeight="1"/>
    <row r="24610" ht="12" customHeight="1"/>
    <row r="24611" ht="12" customHeight="1"/>
    <row r="24612" ht="12" customHeight="1"/>
    <row r="24613" ht="12" customHeight="1"/>
    <row r="24614" ht="12" customHeight="1"/>
    <row r="24615" ht="12" customHeight="1"/>
    <row r="24616" ht="12" customHeight="1"/>
    <row r="24617" ht="12" customHeight="1"/>
    <row r="24618" ht="12" customHeight="1"/>
    <row r="24619" ht="12" customHeight="1"/>
    <row r="24620" ht="12" customHeight="1"/>
    <row r="24621" ht="12" customHeight="1"/>
    <row r="24622" ht="12" customHeight="1"/>
    <row r="24623" ht="12" customHeight="1"/>
    <row r="24624" ht="12" customHeight="1"/>
    <row r="24625" ht="12" customHeight="1"/>
    <row r="24626" ht="12" customHeight="1"/>
    <row r="24627" ht="12" customHeight="1"/>
    <row r="24628" ht="12" customHeight="1"/>
    <row r="24629" ht="12" customHeight="1"/>
    <row r="24630" ht="12" customHeight="1"/>
    <row r="24631" ht="12" customHeight="1"/>
    <row r="24632" ht="12" customHeight="1"/>
    <row r="24633" ht="12" customHeight="1"/>
    <row r="24634" ht="12" customHeight="1"/>
    <row r="24635" ht="12" customHeight="1"/>
    <row r="24636" ht="12" customHeight="1"/>
    <row r="24637" ht="12" customHeight="1"/>
    <row r="24638" ht="12" customHeight="1"/>
    <row r="24639" ht="12" customHeight="1"/>
    <row r="24640" ht="12" customHeight="1"/>
    <row r="24641" ht="12" customHeight="1"/>
    <row r="24642" ht="12" customHeight="1"/>
    <row r="24643" ht="12" customHeight="1"/>
    <row r="24644" ht="12" customHeight="1"/>
    <row r="24645" ht="12" customHeight="1"/>
    <row r="24646" ht="12" customHeight="1"/>
    <row r="24647" ht="12" customHeight="1"/>
    <row r="24648" ht="12" customHeight="1"/>
    <row r="24649" ht="12" customHeight="1"/>
    <row r="24650" ht="12" customHeight="1"/>
    <row r="24651" ht="12" customHeight="1"/>
    <row r="24652" ht="12" customHeight="1"/>
    <row r="24653" ht="12" customHeight="1"/>
    <row r="24654" ht="12" customHeight="1"/>
    <row r="24655" ht="12" customHeight="1"/>
    <row r="24656" ht="12" customHeight="1"/>
    <row r="24657" ht="12" customHeight="1"/>
    <row r="24658" ht="12" customHeight="1"/>
    <row r="24659" ht="12" customHeight="1"/>
    <row r="24660" ht="12" customHeight="1"/>
    <row r="24661" ht="12" customHeight="1"/>
    <row r="24662" ht="12" customHeight="1"/>
    <row r="24663" ht="12" customHeight="1"/>
    <row r="24664" ht="12" customHeight="1"/>
    <row r="24665" ht="12" customHeight="1"/>
    <row r="24666" ht="12" customHeight="1"/>
    <row r="24667" ht="12" customHeight="1"/>
    <row r="24668" ht="12" customHeight="1"/>
    <row r="24669" ht="12" customHeight="1"/>
    <row r="24670" ht="12" customHeight="1"/>
    <row r="24671" ht="12" customHeight="1"/>
    <row r="24672" ht="12" customHeight="1"/>
    <row r="24673" ht="12" customHeight="1"/>
    <row r="24674" ht="12" customHeight="1"/>
    <row r="24675" ht="12" customHeight="1"/>
    <row r="24676" ht="12" customHeight="1"/>
    <row r="24677" ht="12" customHeight="1"/>
    <row r="24678" ht="12" customHeight="1"/>
    <row r="24679" ht="12" customHeight="1"/>
    <row r="24680" ht="12" customHeight="1"/>
    <row r="24681" ht="12" customHeight="1"/>
    <row r="24682" ht="12" customHeight="1"/>
    <row r="24683" ht="12" customHeight="1"/>
    <row r="24684" ht="12" customHeight="1"/>
    <row r="24685" ht="12" customHeight="1"/>
    <row r="24686" ht="12" customHeight="1"/>
    <row r="24687" ht="12" customHeight="1"/>
    <row r="24688" ht="12" customHeight="1"/>
    <row r="24689" ht="12" customHeight="1"/>
    <row r="24690" ht="12" customHeight="1"/>
    <row r="24691" ht="12" customHeight="1"/>
    <row r="24692" ht="12" customHeight="1"/>
    <row r="24693" ht="12" customHeight="1"/>
    <row r="24694" ht="12" customHeight="1"/>
    <row r="24695" ht="12" customHeight="1"/>
    <row r="24696" ht="12" customHeight="1"/>
    <row r="24697" ht="12" customHeight="1"/>
    <row r="24698" ht="12" customHeight="1"/>
    <row r="24699" ht="12" customHeight="1"/>
    <row r="24700" ht="12" customHeight="1"/>
    <row r="24701" ht="12" customHeight="1"/>
    <row r="24702" ht="12" customHeight="1"/>
    <row r="24703" ht="12" customHeight="1"/>
    <row r="24704" ht="12" customHeight="1"/>
    <row r="24705" ht="12" customHeight="1"/>
    <row r="24706" ht="12" customHeight="1"/>
    <row r="24707" ht="12" customHeight="1"/>
    <row r="24708" ht="12" customHeight="1"/>
    <row r="24709" ht="12" customHeight="1"/>
    <row r="24710" ht="12" customHeight="1"/>
    <row r="24711" ht="12" customHeight="1"/>
    <row r="24712" ht="12" customHeight="1"/>
    <row r="24713" ht="12" customHeight="1"/>
    <row r="24714" ht="12" customHeight="1"/>
    <row r="24715" ht="12" customHeight="1"/>
    <row r="24716" ht="12" customHeight="1"/>
    <row r="24717" ht="12" customHeight="1"/>
    <row r="24718" ht="12" customHeight="1"/>
    <row r="24719" ht="12" customHeight="1"/>
    <row r="24720" ht="12" customHeight="1"/>
    <row r="24721" ht="12" customHeight="1"/>
    <row r="24722" ht="12" customHeight="1"/>
    <row r="24723" ht="12" customHeight="1"/>
    <row r="24724" ht="12" customHeight="1"/>
    <row r="24725" ht="12" customHeight="1"/>
    <row r="24726" ht="12" customHeight="1"/>
    <row r="24727" ht="12" customHeight="1"/>
    <row r="24728" ht="12" customHeight="1"/>
    <row r="24729" ht="12" customHeight="1"/>
    <row r="24730" ht="12" customHeight="1"/>
    <row r="24731" ht="12" customHeight="1"/>
    <row r="24732" ht="12" customHeight="1"/>
    <row r="24733" ht="12" customHeight="1"/>
    <row r="24734" ht="12" customHeight="1"/>
    <row r="24735" ht="12" customHeight="1"/>
    <row r="24736" ht="12" customHeight="1"/>
    <row r="24737" ht="12" customHeight="1"/>
    <row r="24738" ht="12" customHeight="1"/>
    <row r="24739" ht="12" customHeight="1"/>
    <row r="24740" ht="12" customHeight="1"/>
    <row r="24741" ht="12" customHeight="1"/>
    <row r="24742" ht="12" customHeight="1"/>
    <row r="24743" ht="12" customHeight="1"/>
    <row r="24744" ht="12" customHeight="1"/>
    <row r="24745" ht="12" customHeight="1"/>
    <row r="24746" ht="12" customHeight="1"/>
    <row r="24747" ht="12" customHeight="1"/>
    <row r="24748" ht="12" customHeight="1"/>
    <row r="24749" ht="12" customHeight="1"/>
    <row r="24750" ht="12" customHeight="1"/>
    <row r="24751" ht="12" customHeight="1"/>
    <row r="24752" ht="12" customHeight="1"/>
    <row r="24753" ht="12" customHeight="1"/>
    <row r="24754" ht="12" customHeight="1"/>
    <row r="24755" ht="12" customHeight="1"/>
    <row r="24756" ht="12" customHeight="1"/>
    <row r="24757" ht="12" customHeight="1"/>
    <row r="24758" ht="12" customHeight="1"/>
    <row r="24759" ht="12" customHeight="1"/>
    <row r="24760" ht="12" customHeight="1"/>
    <row r="24761" ht="12" customHeight="1"/>
    <row r="24762" ht="12" customHeight="1"/>
    <row r="24763" ht="12" customHeight="1"/>
    <row r="24764" ht="12" customHeight="1"/>
    <row r="24765" ht="12" customHeight="1"/>
    <row r="24766" ht="12" customHeight="1"/>
    <row r="24767" ht="12" customHeight="1"/>
    <row r="24768" ht="12" customHeight="1"/>
    <row r="24769" ht="12" customHeight="1"/>
    <row r="24770" ht="12" customHeight="1"/>
    <row r="24771" ht="12" customHeight="1"/>
    <row r="24772" ht="12" customHeight="1"/>
    <row r="24773" ht="12" customHeight="1"/>
    <row r="24774" ht="12" customHeight="1"/>
    <row r="24775" ht="12" customHeight="1"/>
    <row r="24776" ht="12" customHeight="1"/>
    <row r="24777" ht="12" customHeight="1"/>
    <row r="24778" ht="12" customHeight="1"/>
    <row r="24779" ht="12" customHeight="1"/>
    <row r="24780" ht="12" customHeight="1"/>
    <row r="24781" ht="12" customHeight="1"/>
    <row r="24782" ht="12" customHeight="1"/>
    <row r="24783" ht="12" customHeight="1"/>
    <row r="24784" ht="12" customHeight="1"/>
    <row r="24785" ht="12" customHeight="1"/>
    <row r="24786" ht="12" customHeight="1"/>
    <row r="24787" ht="12" customHeight="1"/>
    <row r="24788" ht="12" customHeight="1"/>
    <row r="24789" ht="12" customHeight="1"/>
    <row r="24790" ht="12" customHeight="1"/>
    <row r="24791" ht="12" customHeight="1"/>
    <row r="24792" ht="12" customHeight="1"/>
    <row r="24793" ht="12" customHeight="1"/>
    <row r="24794" ht="12" customHeight="1"/>
    <row r="24795" ht="12" customHeight="1"/>
    <row r="24796" ht="12" customHeight="1"/>
    <row r="24797" ht="12" customHeight="1"/>
    <row r="24798" ht="12" customHeight="1"/>
    <row r="24799" ht="12" customHeight="1"/>
    <row r="24800" ht="12" customHeight="1"/>
    <row r="24801" ht="12" customHeight="1"/>
    <row r="24802" ht="12" customHeight="1"/>
    <row r="24803" ht="12" customHeight="1"/>
    <row r="24804" ht="12" customHeight="1"/>
    <row r="24805" ht="12" customHeight="1"/>
    <row r="24806" ht="12" customHeight="1"/>
    <row r="24807" ht="12" customHeight="1"/>
    <row r="24808" ht="12" customHeight="1"/>
    <row r="24809" ht="12" customHeight="1"/>
    <row r="24810" ht="12" customHeight="1"/>
    <row r="24811" ht="12" customHeight="1"/>
    <row r="24812" ht="12" customHeight="1"/>
    <row r="24813" ht="12" customHeight="1"/>
    <row r="24814" ht="12" customHeight="1"/>
    <row r="24815" ht="12" customHeight="1"/>
    <row r="24816" ht="12" customHeight="1"/>
    <row r="24817" ht="12" customHeight="1"/>
    <row r="24818" ht="12" customHeight="1"/>
    <row r="24819" ht="12" customHeight="1"/>
    <row r="24820" ht="12" customHeight="1"/>
    <row r="24821" ht="12" customHeight="1"/>
    <row r="24822" ht="12" customHeight="1"/>
    <row r="24823" ht="12" customHeight="1"/>
    <row r="24824" ht="12" customHeight="1"/>
    <row r="24825" ht="12" customHeight="1"/>
    <row r="24826" ht="12" customHeight="1"/>
    <row r="24827" ht="12" customHeight="1"/>
    <row r="24828" ht="12" customHeight="1"/>
    <row r="24829" ht="12" customHeight="1"/>
    <row r="24830" ht="12" customHeight="1"/>
    <row r="24831" ht="12" customHeight="1"/>
    <row r="24832" ht="12" customHeight="1"/>
    <row r="24833" ht="12" customHeight="1"/>
    <row r="24834" ht="12" customHeight="1"/>
    <row r="24835" ht="12" customHeight="1"/>
    <row r="24836" ht="12" customHeight="1"/>
    <row r="24837" ht="12" customHeight="1"/>
    <row r="24838" ht="12" customHeight="1"/>
    <row r="24839" ht="12" customHeight="1"/>
    <row r="24840" ht="12" customHeight="1"/>
    <row r="24841" ht="12" customHeight="1"/>
    <row r="24842" ht="12" customHeight="1"/>
    <row r="24843" ht="12" customHeight="1"/>
    <row r="24844" ht="12" customHeight="1"/>
    <row r="24845" ht="12" customHeight="1"/>
    <row r="24846" ht="12" customHeight="1"/>
    <row r="24847" ht="12" customHeight="1"/>
    <row r="24848" ht="12" customHeight="1"/>
    <row r="24849" ht="12" customHeight="1"/>
    <row r="24850" ht="12" customHeight="1"/>
    <row r="24851" ht="12" customHeight="1"/>
    <row r="24852" ht="12" customHeight="1"/>
    <row r="24853" ht="12" customHeight="1"/>
    <row r="24854" ht="12" customHeight="1"/>
    <row r="24855" ht="12" customHeight="1"/>
    <row r="24856" ht="12" customHeight="1"/>
    <row r="24857" ht="12" customHeight="1"/>
    <row r="24858" ht="12" customHeight="1"/>
    <row r="24859" ht="12" customHeight="1"/>
    <row r="24860" ht="12" customHeight="1"/>
    <row r="24861" ht="12" customHeight="1"/>
    <row r="24862" ht="12" customHeight="1"/>
    <row r="24863" ht="12" customHeight="1"/>
    <row r="24864" ht="12" customHeight="1"/>
    <row r="24865" ht="12" customHeight="1"/>
    <row r="24866" ht="12" customHeight="1"/>
    <row r="24867" ht="12" customHeight="1"/>
    <row r="24868" ht="12" customHeight="1"/>
    <row r="24869" ht="12" customHeight="1"/>
    <row r="24870" ht="12" customHeight="1"/>
    <row r="24871" ht="12" customHeight="1"/>
    <row r="24872" ht="12" customHeight="1"/>
    <row r="24873" ht="12" customHeight="1"/>
    <row r="24874" ht="12" customHeight="1"/>
    <row r="24875" ht="12" customHeight="1"/>
    <row r="24876" ht="12" customHeight="1"/>
    <row r="24877" ht="12" customHeight="1"/>
    <row r="24878" ht="12" customHeight="1"/>
    <row r="24879" ht="12" customHeight="1"/>
    <row r="24880" ht="12" customHeight="1"/>
    <row r="24881" ht="12" customHeight="1"/>
    <row r="24882" ht="12" customHeight="1"/>
    <row r="24883" ht="12" customHeight="1"/>
    <row r="24884" ht="12" customHeight="1"/>
    <row r="24885" ht="12" customHeight="1"/>
    <row r="24886" ht="12" customHeight="1"/>
    <row r="24887" ht="12" customHeight="1"/>
    <row r="24888" ht="12" customHeight="1"/>
    <row r="24889" ht="12" customHeight="1"/>
    <row r="24890" ht="12" customHeight="1"/>
    <row r="24891" ht="12" customHeight="1"/>
    <row r="24892" ht="12" customHeight="1"/>
    <row r="24893" ht="12" customHeight="1"/>
    <row r="24894" ht="12" customHeight="1"/>
    <row r="24895" ht="12" customHeight="1"/>
    <row r="24896" ht="12" customHeight="1"/>
    <row r="24897" ht="12" customHeight="1"/>
    <row r="24898" ht="12" customHeight="1"/>
    <row r="24899" ht="12" customHeight="1"/>
    <row r="24900" ht="12" customHeight="1"/>
    <row r="24901" ht="12" customHeight="1"/>
    <row r="24902" ht="12" customHeight="1"/>
    <row r="24903" ht="12" customHeight="1"/>
    <row r="24904" ht="12" customHeight="1"/>
    <row r="24905" ht="12" customHeight="1"/>
    <row r="24906" ht="12" customHeight="1"/>
    <row r="24907" ht="12" customHeight="1"/>
    <row r="24908" ht="12" customHeight="1"/>
    <row r="24909" ht="12" customHeight="1"/>
    <row r="24910" ht="12" customHeight="1"/>
    <row r="24911" ht="12" customHeight="1"/>
    <row r="24912" ht="12" customHeight="1"/>
    <row r="24913" ht="12" customHeight="1"/>
    <row r="24914" ht="12" customHeight="1"/>
    <row r="24915" ht="12" customHeight="1"/>
    <row r="24916" ht="12" customHeight="1"/>
    <row r="24917" ht="12" customHeight="1"/>
    <row r="24918" ht="12" customHeight="1"/>
    <row r="24919" ht="12" customHeight="1"/>
    <row r="24920" ht="12" customHeight="1"/>
    <row r="24921" ht="12" customHeight="1"/>
    <row r="24922" ht="12" customHeight="1"/>
    <row r="24923" ht="12" customHeight="1"/>
    <row r="24924" ht="12" customHeight="1"/>
    <row r="24925" ht="12" customHeight="1"/>
    <row r="24926" ht="12" customHeight="1"/>
    <row r="24927" ht="12" customHeight="1"/>
    <row r="24928" ht="12" customHeight="1"/>
    <row r="24929" ht="12" customHeight="1"/>
    <row r="24930" ht="12" customHeight="1"/>
    <row r="24931" ht="12" customHeight="1"/>
    <row r="24932" ht="12" customHeight="1"/>
    <row r="24933" ht="12" customHeight="1"/>
    <row r="24934" ht="12" customHeight="1"/>
    <row r="24935" ht="12" customHeight="1"/>
    <row r="24936" ht="12" customHeight="1"/>
    <row r="24937" ht="12" customHeight="1"/>
    <row r="24938" ht="12" customHeight="1"/>
    <row r="24939" ht="12" customHeight="1"/>
    <row r="24940" ht="12" customHeight="1"/>
    <row r="24941" ht="12" customHeight="1"/>
    <row r="24942" ht="12" customHeight="1"/>
    <row r="24943" ht="12" customHeight="1"/>
    <row r="24944" ht="12" customHeight="1"/>
    <row r="24945" ht="12" customHeight="1"/>
    <row r="24946" ht="12" customHeight="1"/>
    <row r="24947" ht="12" customHeight="1"/>
    <row r="24948" ht="12" customHeight="1"/>
    <row r="24949" ht="12" customHeight="1"/>
    <row r="24950" ht="12" customHeight="1"/>
    <row r="24951" ht="12" customHeight="1"/>
    <row r="24952" ht="12" customHeight="1"/>
    <row r="24953" ht="12" customHeight="1"/>
    <row r="24954" ht="12" customHeight="1"/>
    <row r="24955" ht="12" customHeight="1"/>
    <row r="24956" ht="12" customHeight="1"/>
    <row r="24957" ht="12" customHeight="1"/>
    <row r="24958" ht="12" customHeight="1"/>
    <row r="24959" ht="12" customHeight="1"/>
    <row r="24960" ht="12" customHeight="1"/>
    <row r="24961" ht="12" customHeight="1"/>
    <row r="24962" ht="12" customHeight="1"/>
    <row r="24963" ht="12" customHeight="1"/>
    <row r="24964" ht="12" customHeight="1"/>
    <row r="24965" ht="12" customHeight="1"/>
    <row r="24966" ht="12" customHeight="1"/>
    <row r="24967" ht="12" customHeight="1"/>
    <row r="24968" ht="12" customHeight="1"/>
    <row r="24969" ht="12" customHeight="1"/>
    <row r="24970" ht="12" customHeight="1"/>
    <row r="24971" ht="12" customHeight="1"/>
    <row r="24972" ht="12" customHeight="1"/>
    <row r="24973" ht="12" customHeight="1"/>
    <row r="24974" ht="12" customHeight="1"/>
    <row r="24975" ht="12" customHeight="1"/>
    <row r="24976" ht="12" customHeight="1"/>
    <row r="24977" ht="12" customHeight="1"/>
    <row r="24978" ht="12" customHeight="1"/>
    <row r="24979" ht="12" customHeight="1"/>
    <row r="24980" ht="12" customHeight="1"/>
    <row r="24981" ht="12" customHeight="1"/>
    <row r="24982" ht="12" customHeight="1"/>
    <row r="24983" ht="12" customHeight="1"/>
    <row r="24984" ht="12" customHeight="1"/>
    <row r="24985" ht="12" customHeight="1"/>
    <row r="24986" ht="12" customHeight="1"/>
    <row r="24987" ht="12" customHeight="1"/>
    <row r="24988" ht="12" customHeight="1"/>
    <row r="24989" ht="12" customHeight="1"/>
    <row r="24990" ht="12" customHeight="1"/>
    <row r="24991" ht="12" customHeight="1"/>
    <row r="24992" ht="12" customHeight="1"/>
    <row r="24993" ht="12" customHeight="1"/>
    <row r="24994" ht="12" customHeight="1"/>
    <row r="24995" ht="12" customHeight="1"/>
    <row r="24996" ht="12" customHeight="1"/>
    <row r="24997" ht="12" customHeight="1"/>
    <row r="24998" ht="12" customHeight="1"/>
    <row r="24999" ht="12" customHeight="1"/>
    <row r="25000" ht="12" customHeight="1"/>
    <row r="25001" ht="12" customHeight="1"/>
    <row r="25002" ht="12" customHeight="1"/>
    <row r="25003" ht="12" customHeight="1"/>
    <row r="25004" ht="12" customHeight="1"/>
    <row r="25005" ht="12" customHeight="1"/>
    <row r="25006" ht="12" customHeight="1"/>
    <row r="25007" ht="12" customHeight="1"/>
    <row r="25008" ht="12" customHeight="1"/>
    <row r="25009" ht="12" customHeight="1"/>
    <row r="25010" ht="12" customHeight="1"/>
    <row r="25011" ht="12" customHeight="1"/>
    <row r="25012" ht="12" customHeight="1"/>
    <row r="25013" ht="12" customHeight="1"/>
    <row r="25014" ht="12" customHeight="1"/>
    <row r="25015" ht="12" customHeight="1"/>
    <row r="25016" ht="12" customHeight="1"/>
    <row r="25017" ht="12" customHeight="1"/>
    <row r="25018" ht="12" customHeight="1"/>
    <row r="25019" ht="12" customHeight="1"/>
    <row r="25020" ht="12" customHeight="1"/>
    <row r="25021" ht="12" customHeight="1"/>
    <row r="25022" ht="12" customHeight="1"/>
    <row r="25023" ht="12" customHeight="1"/>
    <row r="25024" ht="12" customHeight="1"/>
    <row r="25025" ht="12" customHeight="1"/>
    <row r="25026" ht="12" customHeight="1"/>
    <row r="25027" ht="12" customHeight="1"/>
    <row r="25028" ht="12" customHeight="1"/>
    <row r="25029" ht="12" customHeight="1"/>
    <row r="25030" ht="12" customHeight="1"/>
    <row r="25031" ht="12" customHeight="1"/>
    <row r="25032" ht="12" customHeight="1"/>
    <row r="25033" ht="12" customHeight="1"/>
    <row r="25034" ht="12" customHeight="1"/>
    <row r="25035" ht="12" customHeight="1"/>
    <row r="25036" ht="12" customHeight="1"/>
    <row r="25037" ht="12" customHeight="1"/>
    <row r="25038" ht="12" customHeight="1"/>
    <row r="25039" ht="12" customHeight="1"/>
    <row r="25040" ht="12" customHeight="1"/>
    <row r="25041" ht="12" customHeight="1"/>
    <row r="25042" ht="12" customHeight="1"/>
    <row r="25043" ht="12" customHeight="1"/>
    <row r="25044" ht="12" customHeight="1"/>
    <row r="25045" ht="12" customHeight="1"/>
    <row r="25046" ht="12" customHeight="1"/>
    <row r="25047" ht="12" customHeight="1"/>
    <row r="25048" ht="12" customHeight="1"/>
    <row r="25049" ht="12" customHeight="1"/>
    <row r="25050" ht="12" customHeight="1"/>
    <row r="25051" ht="12" customHeight="1"/>
    <row r="25052" ht="12" customHeight="1"/>
    <row r="25053" ht="12" customHeight="1"/>
    <row r="25054" ht="12" customHeight="1"/>
    <row r="25055" ht="12" customHeight="1"/>
    <row r="25056" ht="12" customHeight="1"/>
    <row r="25057" ht="12" customHeight="1"/>
    <row r="25058" ht="12" customHeight="1"/>
    <row r="25059" ht="12" customHeight="1"/>
    <row r="25060" ht="12" customHeight="1"/>
    <row r="25061" ht="12" customHeight="1"/>
    <row r="25062" ht="12" customHeight="1"/>
    <row r="25063" ht="12" customHeight="1"/>
    <row r="25064" ht="12" customHeight="1"/>
    <row r="25065" ht="12" customHeight="1"/>
    <row r="25066" ht="12" customHeight="1"/>
    <row r="25067" ht="12" customHeight="1"/>
    <row r="25068" ht="12" customHeight="1"/>
    <row r="25069" ht="12" customHeight="1"/>
    <row r="25070" ht="12" customHeight="1"/>
    <row r="25071" ht="12" customHeight="1"/>
    <row r="25072" ht="12" customHeight="1"/>
    <row r="25073" ht="12" customHeight="1"/>
    <row r="25074" ht="12" customHeight="1"/>
    <row r="25075" ht="12" customHeight="1"/>
    <row r="25076" ht="12" customHeight="1"/>
    <row r="25077" ht="12" customHeight="1"/>
    <row r="25078" ht="12" customHeight="1"/>
    <row r="25079" ht="12" customHeight="1"/>
    <row r="25080" ht="12" customHeight="1"/>
    <row r="25081" ht="12" customHeight="1"/>
    <row r="25082" ht="12" customHeight="1"/>
    <row r="25083" ht="12" customHeight="1"/>
    <row r="25084" ht="12" customHeight="1"/>
    <row r="25085" ht="12" customHeight="1"/>
    <row r="25086" ht="12" customHeight="1"/>
    <row r="25087" ht="12" customHeight="1"/>
    <row r="25088" ht="12" customHeight="1"/>
    <row r="25089" ht="12" customHeight="1"/>
    <row r="25090" ht="12" customHeight="1"/>
    <row r="25091" ht="12" customHeight="1"/>
    <row r="25092" ht="12" customHeight="1"/>
    <row r="25093" ht="12" customHeight="1"/>
    <row r="25094" ht="12" customHeight="1"/>
    <row r="25095" ht="12" customHeight="1"/>
    <row r="25096" ht="12" customHeight="1"/>
    <row r="25097" ht="12" customHeight="1"/>
    <row r="25098" ht="12" customHeight="1"/>
    <row r="25099" ht="12" customHeight="1"/>
    <row r="25100" ht="12" customHeight="1"/>
    <row r="25101" ht="12" customHeight="1"/>
    <row r="25102" ht="12" customHeight="1"/>
    <row r="25103" ht="12" customHeight="1"/>
    <row r="25104" ht="12" customHeight="1"/>
    <row r="25105" ht="12" customHeight="1"/>
    <row r="25106" ht="12" customHeight="1"/>
    <row r="25107" ht="12" customHeight="1"/>
    <row r="25108" ht="12" customHeight="1"/>
    <row r="25109" ht="12" customHeight="1"/>
    <row r="25110" ht="12" customHeight="1"/>
    <row r="25111" ht="12" customHeight="1"/>
    <row r="25112" ht="12" customHeight="1"/>
    <row r="25113" ht="12" customHeight="1"/>
    <row r="25114" ht="12" customHeight="1"/>
    <row r="25115" ht="12" customHeight="1"/>
    <row r="25116" ht="12" customHeight="1"/>
    <row r="25117" ht="12" customHeight="1"/>
    <row r="25118" ht="12" customHeight="1"/>
    <row r="25119" ht="12" customHeight="1"/>
    <row r="25120" ht="12" customHeight="1"/>
    <row r="25121" ht="12" customHeight="1"/>
    <row r="25122" ht="12" customHeight="1"/>
    <row r="25123" ht="12" customHeight="1"/>
    <row r="25124" ht="12" customHeight="1"/>
    <row r="25125" ht="12" customHeight="1"/>
    <row r="25126" ht="12" customHeight="1"/>
    <row r="25127" ht="12" customHeight="1"/>
    <row r="25128" ht="12" customHeight="1"/>
    <row r="25129" ht="12" customHeight="1"/>
    <row r="25130" ht="12" customHeight="1"/>
    <row r="25131" ht="12" customHeight="1"/>
    <row r="25132" ht="12" customHeight="1"/>
    <row r="25133" ht="12" customHeight="1"/>
    <row r="25134" ht="12" customHeight="1"/>
    <row r="25135" ht="12" customHeight="1"/>
    <row r="25136" ht="12" customHeight="1"/>
    <row r="25137" ht="12" customHeight="1"/>
    <row r="25138" ht="12" customHeight="1"/>
    <row r="25139" ht="12" customHeight="1"/>
    <row r="25140" ht="12" customHeight="1"/>
    <row r="25141" ht="12" customHeight="1"/>
    <row r="25142" ht="12" customHeight="1"/>
    <row r="25143" ht="12" customHeight="1"/>
    <row r="25144" ht="12" customHeight="1"/>
    <row r="25145" ht="12" customHeight="1"/>
    <row r="25146" ht="12" customHeight="1"/>
    <row r="25147" ht="12" customHeight="1"/>
    <row r="25148" ht="12" customHeight="1"/>
    <row r="25149" ht="12" customHeight="1"/>
    <row r="25150" ht="12" customHeight="1"/>
    <row r="25151" ht="12" customHeight="1"/>
    <row r="25152" ht="12" customHeight="1"/>
    <row r="25153" ht="12" customHeight="1"/>
    <row r="25154" ht="12" customHeight="1"/>
    <row r="25155" ht="12" customHeight="1"/>
    <row r="25156" ht="12" customHeight="1"/>
    <row r="25157" ht="12" customHeight="1"/>
    <row r="25158" ht="12" customHeight="1"/>
    <row r="25159" ht="12" customHeight="1"/>
    <row r="25160" ht="12" customHeight="1"/>
    <row r="25161" ht="12" customHeight="1"/>
    <row r="25162" ht="12" customHeight="1"/>
    <row r="25163" ht="12" customHeight="1"/>
    <row r="25164" ht="12" customHeight="1"/>
    <row r="25165" ht="12" customHeight="1"/>
    <row r="25166" ht="12" customHeight="1"/>
    <row r="25167" ht="12" customHeight="1"/>
    <row r="25168" ht="12" customHeight="1"/>
    <row r="25169" ht="12" customHeight="1"/>
    <row r="25170" ht="12" customHeight="1"/>
    <row r="25171" ht="12" customHeight="1"/>
    <row r="25172" ht="12" customHeight="1"/>
    <row r="25173" ht="12" customHeight="1"/>
    <row r="25174" ht="12" customHeight="1"/>
    <row r="25175" ht="12" customHeight="1"/>
    <row r="25176" ht="12" customHeight="1"/>
    <row r="25177" ht="12" customHeight="1"/>
    <row r="25178" ht="12" customHeight="1"/>
    <row r="25179" ht="12" customHeight="1"/>
    <row r="25180" ht="12" customHeight="1"/>
    <row r="25181" ht="12" customHeight="1"/>
    <row r="25182" ht="12" customHeight="1"/>
    <row r="25183" ht="12" customHeight="1"/>
    <row r="25184" ht="12" customHeight="1"/>
    <row r="25185" ht="12" customHeight="1"/>
    <row r="25186" ht="12" customHeight="1"/>
    <row r="25187" ht="12" customHeight="1"/>
    <row r="25188" ht="12" customHeight="1"/>
    <row r="25189" ht="12" customHeight="1"/>
    <row r="25190" ht="12" customHeight="1"/>
    <row r="25191" ht="12" customHeight="1"/>
    <row r="25192" ht="12" customHeight="1"/>
    <row r="25193" ht="12" customHeight="1"/>
    <row r="25194" ht="12" customHeight="1"/>
    <row r="25195" ht="12" customHeight="1"/>
    <row r="25196" ht="12" customHeight="1"/>
    <row r="25197" ht="12" customHeight="1"/>
    <row r="25198" ht="12" customHeight="1"/>
    <row r="25199" ht="12" customHeight="1"/>
    <row r="25200" ht="12" customHeight="1"/>
    <row r="25201" ht="12" customHeight="1"/>
    <row r="25202" ht="12" customHeight="1"/>
    <row r="25203" ht="12" customHeight="1"/>
    <row r="25204" ht="12" customHeight="1"/>
    <row r="25205" ht="12" customHeight="1"/>
    <row r="25206" ht="12" customHeight="1"/>
    <row r="25207" ht="12" customHeight="1"/>
    <row r="25208" ht="12" customHeight="1"/>
    <row r="25209" ht="12" customHeight="1"/>
    <row r="25210" ht="12" customHeight="1"/>
    <row r="25211" ht="12" customHeight="1"/>
    <row r="25212" ht="12" customHeight="1"/>
    <row r="25213" ht="12" customHeight="1"/>
    <row r="25214" ht="12" customHeight="1"/>
    <row r="25215" ht="12" customHeight="1"/>
    <row r="25216" ht="12" customHeight="1"/>
    <row r="25217" ht="12" customHeight="1"/>
    <row r="25218" ht="12" customHeight="1"/>
    <row r="25219" ht="12" customHeight="1"/>
    <row r="25220" ht="12" customHeight="1"/>
    <row r="25221" ht="12" customHeight="1"/>
    <row r="25222" ht="12" customHeight="1"/>
    <row r="25223" ht="12" customHeight="1"/>
    <row r="25224" ht="12" customHeight="1"/>
    <row r="25225" ht="12" customHeight="1"/>
    <row r="25226" ht="12" customHeight="1"/>
    <row r="25227" ht="12" customHeight="1"/>
    <row r="25228" ht="12" customHeight="1"/>
    <row r="25229" ht="12" customHeight="1"/>
    <row r="25230" ht="12" customHeight="1"/>
    <row r="25231" ht="12" customHeight="1"/>
    <row r="25232" ht="12" customHeight="1"/>
    <row r="25233" ht="12" customHeight="1"/>
    <row r="25234" ht="12" customHeight="1"/>
    <row r="25235" ht="12" customHeight="1"/>
    <row r="25236" ht="12" customHeight="1"/>
    <row r="25237" ht="12" customHeight="1"/>
    <row r="25238" ht="12" customHeight="1"/>
    <row r="25239" ht="12" customHeight="1"/>
    <row r="25240" ht="12" customHeight="1"/>
    <row r="25241" ht="12" customHeight="1"/>
    <row r="25242" ht="12" customHeight="1"/>
    <row r="25243" ht="12" customHeight="1"/>
    <row r="25244" ht="12" customHeight="1"/>
    <row r="25245" ht="12" customHeight="1"/>
    <row r="25246" ht="12" customHeight="1"/>
    <row r="25247" ht="12" customHeight="1"/>
    <row r="25248" ht="12" customHeight="1"/>
    <row r="25249" ht="12" customHeight="1"/>
    <row r="25250" ht="12" customHeight="1"/>
    <row r="25251" ht="12" customHeight="1"/>
    <row r="25252" ht="12" customHeight="1"/>
    <row r="25253" ht="12" customHeight="1"/>
    <row r="25254" ht="12" customHeight="1"/>
    <row r="25255" ht="12" customHeight="1"/>
    <row r="25256" ht="12" customHeight="1"/>
    <row r="25257" ht="12" customHeight="1"/>
    <row r="25258" ht="12" customHeight="1"/>
    <row r="25259" ht="12" customHeight="1"/>
    <row r="25260" ht="12" customHeight="1"/>
    <row r="25261" ht="12" customHeight="1"/>
    <row r="25262" ht="12" customHeight="1"/>
    <row r="25263" ht="12" customHeight="1"/>
    <row r="25264" ht="12" customHeight="1"/>
    <row r="25265" ht="12" customHeight="1"/>
    <row r="25266" ht="12" customHeight="1"/>
    <row r="25267" ht="12" customHeight="1"/>
    <row r="25268" ht="12" customHeight="1"/>
    <row r="25269" ht="12" customHeight="1"/>
    <row r="25270" ht="12" customHeight="1"/>
    <row r="25271" ht="12" customHeight="1"/>
    <row r="25272" ht="12" customHeight="1"/>
    <row r="25273" ht="12" customHeight="1"/>
    <row r="25274" ht="12" customHeight="1"/>
    <row r="25275" ht="12" customHeight="1"/>
    <row r="25276" ht="12" customHeight="1"/>
    <row r="25277" ht="12" customHeight="1"/>
    <row r="25278" ht="12" customHeight="1"/>
    <row r="25279" ht="12" customHeight="1"/>
    <row r="25280" ht="12" customHeight="1"/>
    <row r="25281" ht="12" customHeight="1"/>
    <row r="25282" ht="12" customHeight="1"/>
    <row r="25283" ht="12" customHeight="1"/>
    <row r="25284" ht="12" customHeight="1"/>
    <row r="25285" ht="12" customHeight="1"/>
    <row r="25286" ht="12" customHeight="1"/>
    <row r="25287" ht="12" customHeight="1"/>
    <row r="25288" ht="12" customHeight="1"/>
    <row r="25289" ht="12" customHeight="1"/>
    <row r="25290" ht="12" customHeight="1"/>
    <row r="25291" ht="12" customHeight="1"/>
    <row r="25292" ht="12" customHeight="1"/>
    <row r="25293" ht="12" customHeight="1"/>
    <row r="25294" ht="12" customHeight="1"/>
    <row r="25295" ht="12" customHeight="1"/>
    <row r="25296" ht="12" customHeight="1"/>
    <row r="25297" ht="12" customHeight="1"/>
    <row r="25298" ht="12" customHeight="1"/>
    <row r="25299" ht="12" customHeight="1"/>
    <row r="25300" ht="12" customHeight="1"/>
    <row r="25301" ht="12" customHeight="1"/>
    <row r="25302" ht="12" customHeight="1"/>
    <row r="25303" ht="12" customHeight="1"/>
    <row r="25304" ht="12" customHeight="1"/>
    <row r="25305" ht="12" customHeight="1"/>
    <row r="25306" ht="12" customHeight="1"/>
    <row r="25307" ht="12" customHeight="1"/>
    <row r="25308" ht="12" customHeight="1"/>
    <row r="25309" ht="12" customHeight="1"/>
    <row r="25310" ht="12" customHeight="1"/>
    <row r="25311" ht="12" customHeight="1"/>
    <row r="25312" ht="12" customHeight="1"/>
    <row r="25313" ht="12" customHeight="1"/>
    <row r="25314" ht="12" customHeight="1"/>
    <row r="25315" ht="12" customHeight="1"/>
    <row r="25316" ht="12" customHeight="1"/>
    <row r="25317" ht="12" customHeight="1"/>
    <row r="25318" ht="12" customHeight="1"/>
    <row r="25319" ht="12" customHeight="1"/>
    <row r="25320" ht="12" customHeight="1"/>
    <row r="25321" ht="12" customHeight="1"/>
    <row r="25322" ht="12" customHeight="1"/>
    <row r="25323" ht="12" customHeight="1"/>
    <row r="25324" ht="12" customHeight="1"/>
    <row r="25325" ht="12" customHeight="1"/>
    <row r="25326" ht="12" customHeight="1"/>
    <row r="25327" ht="12" customHeight="1"/>
    <row r="25328" ht="12" customHeight="1"/>
    <row r="25329" ht="12" customHeight="1"/>
    <row r="25330" ht="12" customHeight="1"/>
    <row r="25331" ht="12" customHeight="1"/>
    <row r="25332" ht="12" customHeight="1"/>
    <row r="25333" ht="12" customHeight="1"/>
    <row r="25334" ht="12" customHeight="1"/>
    <row r="25335" ht="12" customHeight="1"/>
    <row r="25336" ht="12" customHeight="1"/>
    <row r="25337" ht="12" customHeight="1"/>
    <row r="25338" ht="12" customHeight="1"/>
    <row r="25339" ht="12" customHeight="1"/>
    <row r="25340" ht="12" customHeight="1"/>
    <row r="25341" ht="12" customHeight="1"/>
    <row r="25342" ht="12" customHeight="1"/>
    <row r="25343" ht="12" customHeight="1"/>
    <row r="25344" ht="12" customHeight="1"/>
    <row r="25345" ht="12" customHeight="1"/>
    <row r="25346" ht="12" customHeight="1"/>
    <row r="25347" ht="12" customHeight="1"/>
    <row r="25348" ht="12" customHeight="1"/>
    <row r="25349" ht="12" customHeight="1"/>
    <row r="25350" ht="12" customHeight="1"/>
    <row r="25351" ht="12" customHeight="1"/>
    <row r="25352" ht="12" customHeight="1"/>
    <row r="25353" ht="12" customHeight="1"/>
    <row r="25354" ht="12" customHeight="1"/>
    <row r="25355" ht="12" customHeight="1"/>
    <row r="25356" ht="12" customHeight="1"/>
    <row r="25357" ht="12" customHeight="1"/>
    <row r="25358" ht="12" customHeight="1"/>
    <row r="25359" ht="12" customHeight="1"/>
    <row r="25360" ht="12" customHeight="1"/>
    <row r="25361" ht="12" customHeight="1"/>
    <row r="25362" ht="12" customHeight="1"/>
    <row r="25363" ht="12" customHeight="1"/>
    <row r="25364" ht="12" customHeight="1"/>
    <row r="25365" ht="12" customHeight="1"/>
    <row r="25366" ht="12" customHeight="1"/>
    <row r="25367" ht="12" customHeight="1"/>
    <row r="25368" ht="12" customHeight="1"/>
    <row r="25369" ht="12" customHeight="1"/>
    <row r="25370" ht="12" customHeight="1"/>
    <row r="25371" ht="12" customHeight="1"/>
    <row r="25372" ht="12" customHeight="1"/>
    <row r="25373" ht="12" customHeight="1"/>
    <row r="25374" ht="12" customHeight="1"/>
    <row r="25375" ht="12" customHeight="1"/>
    <row r="25376" ht="12" customHeight="1"/>
    <row r="25377" ht="12" customHeight="1"/>
    <row r="25378" ht="12" customHeight="1"/>
    <row r="25379" ht="12" customHeight="1"/>
    <row r="25380" ht="12" customHeight="1"/>
    <row r="25381" ht="12" customHeight="1"/>
    <row r="25382" ht="12" customHeight="1"/>
    <row r="25383" ht="12" customHeight="1"/>
    <row r="25384" ht="12" customHeight="1"/>
    <row r="25385" ht="12" customHeight="1"/>
    <row r="25386" ht="12" customHeight="1"/>
    <row r="25387" ht="12" customHeight="1"/>
    <row r="25388" ht="12" customHeight="1"/>
    <row r="25389" ht="12" customHeight="1"/>
    <row r="25390" ht="12" customHeight="1"/>
    <row r="25391" ht="12" customHeight="1"/>
    <row r="25392" ht="12" customHeight="1"/>
    <row r="25393" ht="12" customHeight="1"/>
    <row r="25394" ht="12" customHeight="1"/>
    <row r="25395" ht="12" customHeight="1"/>
    <row r="25396" ht="12" customHeight="1"/>
    <row r="25397" ht="12" customHeight="1"/>
    <row r="25398" ht="12" customHeight="1"/>
    <row r="25399" ht="12" customHeight="1"/>
    <row r="25400" ht="12" customHeight="1"/>
    <row r="25401" ht="12" customHeight="1"/>
    <row r="25402" ht="12" customHeight="1"/>
    <row r="25403" ht="12" customHeight="1"/>
    <row r="25404" ht="12" customHeight="1"/>
    <row r="25405" ht="12" customHeight="1"/>
    <row r="25406" ht="12" customHeight="1"/>
    <row r="25407" ht="12" customHeight="1"/>
    <row r="25408" ht="12" customHeight="1"/>
    <row r="25409" ht="12" customHeight="1"/>
    <row r="25410" ht="12" customHeight="1"/>
    <row r="25411" ht="12" customHeight="1"/>
    <row r="25412" ht="12" customHeight="1"/>
    <row r="25413" ht="12" customHeight="1"/>
    <row r="25414" ht="12" customHeight="1"/>
    <row r="25415" ht="12" customHeight="1"/>
    <row r="25416" ht="12" customHeight="1"/>
    <row r="25417" ht="12" customHeight="1"/>
    <row r="25418" ht="12" customHeight="1"/>
    <row r="25419" ht="12" customHeight="1"/>
    <row r="25420" ht="12" customHeight="1"/>
    <row r="25421" ht="12" customHeight="1"/>
    <row r="25422" ht="12" customHeight="1"/>
    <row r="25423" ht="12" customHeight="1"/>
    <row r="25424" ht="12" customHeight="1"/>
    <row r="25425" ht="12" customHeight="1"/>
    <row r="25426" ht="12" customHeight="1"/>
    <row r="25427" ht="12" customHeight="1"/>
    <row r="25428" ht="12" customHeight="1"/>
    <row r="25429" ht="12" customHeight="1"/>
    <row r="25430" ht="12" customHeight="1"/>
    <row r="25431" ht="12" customHeight="1"/>
    <row r="25432" ht="12" customHeight="1"/>
    <row r="25433" ht="12" customHeight="1"/>
    <row r="25434" ht="12" customHeight="1"/>
    <row r="25435" ht="12" customHeight="1"/>
    <row r="25436" ht="12" customHeight="1"/>
    <row r="25437" ht="12" customHeight="1"/>
    <row r="25438" ht="12" customHeight="1"/>
    <row r="25439" ht="12" customHeight="1"/>
    <row r="25440" ht="12" customHeight="1"/>
    <row r="25441" ht="12" customHeight="1"/>
    <row r="25442" ht="12" customHeight="1"/>
    <row r="25443" ht="12" customHeight="1"/>
    <row r="25444" ht="12" customHeight="1"/>
    <row r="25445" ht="12" customHeight="1"/>
    <row r="25446" ht="12" customHeight="1"/>
    <row r="25447" ht="12" customHeight="1"/>
    <row r="25448" ht="12" customHeight="1"/>
    <row r="25449" ht="12" customHeight="1"/>
    <row r="25450" ht="12" customHeight="1"/>
    <row r="25451" ht="12" customHeight="1"/>
    <row r="25452" ht="12" customHeight="1"/>
    <row r="25453" ht="12" customHeight="1"/>
    <row r="25454" ht="12" customHeight="1"/>
    <row r="25455" ht="12" customHeight="1"/>
    <row r="25456" ht="12" customHeight="1"/>
    <row r="25457" ht="12" customHeight="1"/>
    <row r="25458" ht="12" customHeight="1"/>
    <row r="25459" ht="12" customHeight="1"/>
    <row r="25460" ht="12" customHeight="1"/>
    <row r="25461" ht="12" customHeight="1"/>
    <row r="25462" ht="12" customHeight="1"/>
    <row r="25463" ht="12" customHeight="1"/>
    <row r="25464" ht="12" customHeight="1"/>
    <row r="25465" ht="12" customHeight="1"/>
    <row r="25466" ht="12" customHeight="1"/>
    <row r="25467" ht="12" customHeight="1"/>
    <row r="25468" ht="12" customHeight="1"/>
    <row r="25469" ht="12" customHeight="1"/>
    <row r="25470" ht="12" customHeight="1"/>
    <row r="25471" ht="12" customHeight="1"/>
    <row r="25472" ht="12" customHeight="1"/>
    <row r="25473" ht="12" customHeight="1"/>
    <row r="25474" ht="12" customHeight="1"/>
    <row r="25475" ht="12" customHeight="1"/>
    <row r="25476" ht="12" customHeight="1"/>
    <row r="25477" ht="12" customHeight="1"/>
    <row r="25478" ht="12" customHeight="1"/>
    <row r="25479" ht="12" customHeight="1"/>
    <row r="25480" ht="12" customHeight="1"/>
    <row r="25481" ht="12" customHeight="1"/>
    <row r="25482" ht="12" customHeight="1"/>
    <row r="25483" ht="12" customHeight="1"/>
    <row r="25484" ht="12" customHeight="1"/>
    <row r="25485" ht="12" customHeight="1"/>
    <row r="25486" ht="12" customHeight="1"/>
    <row r="25487" ht="12" customHeight="1"/>
    <row r="25488" ht="12" customHeight="1"/>
    <row r="25489" ht="12" customHeight="1"/>
    <row r="25490" ht="12" customHeight="1"/>
    <row r="25491" ht="12" customHeight="1"/>
    <row r="25492" ht="12" customHeight="1"/>
    <row r="25493" ht="12" customHeight="1"/>
    <row r="25494" ht="12" customHeight="1"/>
    <row r="25495" ht="12" customHeight="1"/>
    <row r="25496" ht="12" customHeight="1"/>
    <row r="25497" ht="12" customHeight="1"/>
    <row r="25498" ht="12" customHeight="1"/>
    <row r="25499" ht="12" customHeight="1"/>
    <row r="25500" ht="12" customHeight="1"/>
    <row r="25501" ht="12" customHeight="1"/>
    <row r="25502" ht="12" customHeight="1"/>
    <row r="25503" ht="12" customHeight="1"/>
    <row r="25504" ht="12" customHeight="1"/>
    <row r="25505" ht="12" customHeight="1"/>
    <row r="25506" ht="12" customHeight="1"/>
    <row r="25507" ht="12" customHeight="1"/>
    <row r="25508" ht="12" customHeight="1"/>
    <row r="25509" ht="12" customHeight="1"/>
    <row r="25510" ht="12" customHeight="1"/>
    <row r="25511" ht="12" customHeight="1"/>
    <row r="25512" ht="12" customHeight="1"/>
    <row r="25513" ht="12" customHeight="1"/>
    <row r="25514" ht="12" customHeight="1"/>
    <row r="25515" ht="12" customHeight="1"/>
    <row r="25516" ht="12" customHeight="1"/>
    <row r="25517" ht="12" customHeight="1"/>
    <row r="25518" ht="12" customHeight="1"/>
    <row r="25519" ht="12" customHeight="1"/>
    <row r="25520" ht="12" customHeight="1"/>
    <row r="25521" ht="12" customHeight="1"/>
    <row r="25522" ht="12" customHeight="1"/>
    <row r="25523" ht="12" customHeight="1"/>
    <row r="25524" ht="12" customHeight="1"/>
    <row r="25525" ht="12" customHeight="1"/>
    <row r="25526" ht="12" customHeight="1"/>
    <row r="25527" ht="12" customHeight="1"/>
    <row r="25528" ht="12" customHeight="1"/>
    <row r="25529" ht="12" customHeight="1"/>
    <row r="25530" ht="12" customHeight="1"/>
    <row r="25531" ht="12" customHeight="1"/>
    <row r="25532" ht="12" customHeight="1"/>
    <row r="25533" ht="12" customHeight="1"/>
    <row r="25534" ht="12" customHeight="1"/>
    <row r="25535" ht="12" customHeight="1"/>
    <row r="25536" ht="12" customHeight="1"/>
    <row r="25537" ht="12" customHeight="1"/>
    <row r="25538" ht="12" customHeight="1"/>
    <row r="25539" ht="12" customHeight="1"/>
    <row r="25540" ht="12" customHeight="1"/>
    <row r="25541" ht="12" customHeight="1"/>
    <row r="25542" ht="12" customHeight="1"/>
    <row r="25543" ht="12" customHeight="1"/>
    <row r="25544" ht="12" customHeight="1"/>
    <row r="25545" ht="12" customHeight="1"/>
    <row r="25546" ht="12" customHeight="1"/>
    <row r="25547" ht="12" customHeight="1"/>
    <row r="25548" ht="12" customHeight="1"/>
    <row r="25549" ht="12" customHeight="1"/>
    <row r="25550" ht="12" customHeight="1"/>
    <row r="25551" ht="12" customHeight="1"/>
    <row r="25552" ht="12" customHeight="1"/>
    <row r="25553" ht="12" customHeight="1"/>
    <row r="25554" ht="12" customHeight="1"/>
    <row r="25555" ht="12" customHeight="1"/>
    <row r="25556" ht="12" customHeight="1"/>
    <row r="25557" ht="12" customHeight="1"/>
    <row r="25558" ht="12" customHeight="1"/>
    <row r="25559" ht="12" customHeight="1"/>
    <row r="25560" ht="12" customHeight="1"/>
    <row r="25561" ht="12" customHeight="1"/>
    <row r="25562" ht="12" customHeight="1"/>
    <row r="25563" ht="12" customHeight="1"/>
    <row r="25564" ht="12" customHeight="1"/>
    <row r="25565" ht="12" customHeight="1"/>
    <row r="25566" ht="12" customHeight="1"/>
    <row r="25567" ht="12" customHeight="1"/>
    <row r="25568" ht="12" customHeight="1"/>
    <row r="25569" ht="12" customHeight="1"/>
    <row r="25570" ht="12" customHeight="1"/>
    <row r="25571" ht="12" customHeight="1"/>
    <row r="25572" ht="12" customHeight="1"/>
    <row r="25573" ht="12" customHeight="1"/>
    <row r="25574" ht="12" customHeight="1"/>
    <row r="25575" ht="12" customHeight="1"/>
    <row r="25576" ht="12" customHeight="1"/>
    <row r="25577" ht="12" customHeight="1"/>
    <row r="25578" ht="12" customHeight="1"/>
    <row r="25579" ht="12" customHeight="1"/>
    <row r="25580" ht="12" customHeight="1"/>
    <row r="25581" ht="12" customHeight="1"/>
    <row r="25582" ht="12" customHeight="1"/>
    <row r="25583" ht="12" customHeight="1"/>
    <row r="25584" ht="12" customHeight="1"/>
    <row r="25585" ht="12" customHeight="1"/>
    <row r="25586" ht="12" customHeight="1"/>
    <row r="25587" ht="12" customHeight="1"/>
    <row r="25588" ht="12" customHeight="1"/>
    <row r="25589" ht="12" customHeight="1"/>
    <row r="25590" ht="12" customHeight="1"/>
    <row r="25591" ht="12" customHeight="1"/>
    <row r="25592" ht="12" customHeight="1"/>
    <row r="25593" ht="12" customHeight="1"/>
    <row r="25594" ht="12" customHeight="1"/>
    <row r="25595" ht="12" customHeight="1"/>
    <row r="25596" ht="12" customHeight="1"/>
    <row r="25597" ht="12" customHeight="1"/>
    <row r="25598" ht="12" customHeight="1"/>
    <row r="25599" ht="12" customHeight="1"/>
    <row r="25600" ht="12" customHeight="1"/>
    <row r="25601" ht="12" customHeight="1"/>
    <row r="25602" ht="12" customHeight="1"/>
    <row r="25603" ht="12" customHeight="1"/>
    <row r="25604" ht="12" customHeight="1"/>
    <row r="25605" ht="12" customHeight="1"/>
    <row r="25606" ht="12" customHeight="1"/>
    <row r="25607" ht="12" customHeight="1"/>
    <row r="25608" ht="12" customHeight="1"/>
    <row r="25609" ht="12" customHeight="1"/>
    <row r="25610" ht="12" customHeight="1"/>
    <row r="25611" ht="12" customHeight="1"/>
    <row r="25612" ht="12" customHeight="1"/>
    <row r="25613" ht="12" customHeight="1"/>
    <row r="25614" ht="12" customHeight="1"/>
    <row r="25615" ht="12" customHeight="1"/>
    <row r="25616" ht="12" customHeight="1"/>
    <row r="25617" ht="12" customHeight="1"/>
    <row r="25618" ht="12" customHeight="1"/>
    <row r="25619" ht="12" customHeight="1"/>
    <row r="25620" ht="12" customHeight="1"/>
    <row r="25621" ht="12" customHeight="1"/>
    <row r="25622" ht="12" customHeight="1"/>
    <row r="25623" ht="12" customHeight="1"/>
    <row r="25624" ht="12" customHeight="1"/>
    <row r="25625" ht="12" customHeight="1"/>
    <row r="25626" ht="12" customHeight="1"/>
    <row r="25627" ht="12" customHeight="1"/>
    <row r="25628" ht="12" customHeight="1"/>
    <row r="25629" ht="12" customHeight="1"/>
    <row r="25630" ht="12" customHeight="1"/>
    <row r="25631" ht="12" customHeight="1"/>
    <row r="25632" ht="12" customHeight="1"/>
    <row r="25633" ht="12" customHeight="1"/>
    <row r="25634" ht="12" customHeight="1"/>
    <row r="25635" ht="12" customHeight="1"/>
    <row r="25636" ht="12" customHeight="1"/>
    <row r="25637" ht="12" customHeight="1"/>
    <row r="25638" ht="12" customHeight="1"/>
    <row r="25639" ht="12" customHeight="1"/>
    <row r="25640" ht="12" customHeight="1"/>
    <row r="25641" ht="12" customHeight="1"/>
    <row r="25642" ht="12" customHeight="1"/>
    <row r="25643" ht="12" customHeight="1"/>
    <row r="25644" ht="12" customHeight="1"/>
    <row r="25645" ht="12" customHeight="1"/>
    <row r="25646" ht="12" customHeight="1"/>
    <row r="25647" ht="12" customHeight="1"/>
    <row r="25648" ht="12" customHeight="1"/>
    <row r="25649" ht="12" customHeight="1"/>
    <row r="25650" ht="12" customHeight="1"/>
    <row r="25651" ht="12" customHeight="1"/>
    <row r="25652" ht="12" customHeight="1"/>
    <row r="25653" ht="12" customHeight="1"/>
    <row r="25654" ht="12" customHeight="1"/>
    <row r="25655" ht="12" customHeight="1"/>
    <row r="25656" ht="12" customHeight="1"/>
    <row r="25657" ht="12" customHeight="1"/>
    <row r="25658" ht="12" customHeight="1"/>
    <row r="25659" ht="12" customHeight="1"/>
    <row r="25660" ht="12" customHeight="1"/>
    <row r="25661" ht="12" customHeight="1"/>
    <row r="25662" ht="12" customHeight="1"/>
    <row r="25663" ht="12" customHeight="1"/>
    <row r="25664" ht="12" customHeight="1"/>
    <row r="25665" ht="12" customHeight="1"/>
    <row r="25666" ht="12" customHeight="1"/>
    <row r="25667" ht="12" customHeight="1"/>
    <row r="25668" ht="12" customHeight="1"/>
    <row r="25669" ht="12" customHeight="1"/>
    <row r="25670" ht="12" customHeight="1"/>
    <row r="25671" ht="12" customHeight="1"/>
    <row r="25672" ht="12" customHeight="1"/>
    <row r="25673" ht="12" customHeight="1"/>
    <row r="25674" ht="12" customHeight="1"/>
    <row r="25675" ht="12" customHeight="1"/>
    <row r="25676" ht="12" customHeight="1"/>
    <row r="25677" ht="12" customHeight="1"/>
    <row r="25678" ht="12" customHeight="1"/>
    <row r="25679" ht="12" customHeight="1"/>
    <row r="25680" ht="12" customHeight="1"/>
    <row r="25681" ht="12" customHeight="1"/>
    <row r="25682" ht="12" customHeight="1"/>
    <row r="25683" ht="12" customHeight="1"/>
    <row r="25684" ht="12" customHeight="1"/>
    <row r="25685" ht="12" customHeight="1"/>
    <row r="25686" ht="12" customHeight="1"/>
    <row r="25687" ht="12" customHeight="1"/>
    <row r="25688" ht="12" customHeight="1"/>
    <row r="25689" ht="12" customHeight="1"/>
    <row r="25690" ht="12" customHeight="1"/>
    <row r="25691" ht="12" customHeight="1"/>
    <row r="25692" ht="12" customHeight="1"/>
    <row r="25693" ht="12" customHeight="1"/>
    <row r="25694" ht="12" customHeight="1"/>
    <row r="25695" ht="12" customHeight="1"/>
    <row r="25696" ht="12" customHeight="1"/>
    <row r="25697" ht="12" customHeight="1"/>
    <row r="25698" ht="12" customHeight="1"/>
    <row r="25699" ht="12" customHeight="1"/>
    <row r="25700" ht="12" customHeight="1"/>
    <row r="25701" ht="12" customHeight="1"/>
    <row r="25702" ht="12" customHeight="1"/>
    <row r="25703" ht="12" customHeight="1"/>
    <row r="25704" ht="12" customHeight="1"/>
    <row r="25705" ht="12" customHeight="1"/>
    <row r="25706" ht="12" customHeight="1"/>
    <row r="25707" ht="12" customHeight="1"/>
    <row r="25708" ht="12" customHeight="1"/>
    <row r="25709" ht="12" customHeight="1"/>
    <row r="25710" ht="12" customHeight="1"/>
    <row r="25711" ht="12" customHeight="1"/>
    <row r="25712" ht="12" customHeight="1"/>
    <row r="25713" ht="12" customHeight="1"/>
    <row r="25714" ht="12" customHeight="1"/>
    <row r="25715" ht="12" customHeight="1"/>
    <row r="25716" ht="12" customHeight="1"/>
    <row r="25717" ht="12" customHeight="1"/>
    <row r="25718" ht="12" customHeight="1"/>
    <row r="25719" ht="12" customHeight="1"/>
    <row r="25720" ht="12" customHeight="1"/>
    <row r="25721" ht="12" customHeight="1"/>
    <row r="25722" ht="12" customHeight="1"/>
    <row r="25723" ht="12" customHeight="1"/>
    <row r="25724" ht="12" customHeight="1"/>
    <row r="25725" ht="12" customHeight="1"/>
    <row r="25726" ht="12" customHeight="1"/>
    <row r="25727" ht="12" customHeight="1"/>
    <row r="25728" ht="12" customHeight="1"/>
    <row r="25729" ht="12" customHeight="1"/>
    <row r="25730" ht="12" customHeight="1"/>
    <row r="25731" ht="12" customHeight="1"/>
    <row r="25732" ht="12" customHeight="1"/>
    <row r="25733" ht="12" customHeight="1"/>
    <row r="25734" ht="12" customHeight="1"/>
    <row r="25735" ht="12" customHeight="1"/>
    <row r="25736" ht="12" customHeight="1"/>
    <row r="25737" ht="12" customHeight="1"/>
    <row r="25738" ht="12" customHeight="1"/>
    <row r="25739" ht="12" customHeight="1"/>
    <row r="25740" ht="12" customHeight="1"/>
    <row r="25741" ht="12" customHeight="1"/>
    <row r="25742" ht="12" customHeight="1"/>
    <row r="25743" ht="12" customHeight="1"/>
    <row r="25744" ht="12" customHeight="1"/>
    <row r="25745" ht="12" customHeight="1"/>
    <row r="25746" ht="12" customHeight="1"/>
    <row r="25747" ht="12" customHeight="1"/>
    <row r="25748" ht="12" customHeight="1"/>
    <row r="25749" ht="12" customHeight="1"/>
    <row r="25750" ht="12" customHeight="1"/>
    <row r="25751" ht="12" customHeight="1"/>
    <row r="25752" ht="12" customHeight="1"/>
    <row r="25753" ht="12" customHeight="1"/>
    <row r="25754" ht="12" customHeight="1"/>
    <row r="25755" ht="12" customHeight="1"/>
    <row r="25756" ht="12" customHeight="1"/>
    <row r="25757" ht="12" customHeight="1"/>
    <row r="25758" ht="12" customHeight="1"/>
    <row r="25759" ht="12" customHeight="1"/>
    <row r="25760" ht="12" customHeight="1"/>
    <row r="25761" ht="12" customHeight="1"/>
    <row r="25762" ht="12" customHeight="1"/>
    <row r="25763" ht="12" customHeight="1"/>
    <row r="25764" ht="12" customHeight="1"/>
    <row r="25765" ht="12" customHeight="1"/>
    <row r="25766" ht="12" customHeight="1"/>
    <row r="25767" ht="12" customHeight="1"/>
    <row r="25768" ht="12" customHeight="1"/>
    <row r="25769" ht="12" customHeight="1"/>
    <row r="25770" ht="12" customHeight="1"/>
    <row r="25771" ht="12" customHeight="1"/>
    <row r="25772" ht="12" customHeight="1"/>
    <row r="25773" ht="12" customHeight="1"/>
    <row r="25774" ht="12" customHeight="1"/>
    <row r="25775" ht="12" customHeight="1"/>
    <row r="25776" ht="12" customHeight="1"/>
    <row r="25777" ht="12" customHeight="1"/>
    <row r="25778" ht="12" customHeight="1"/>
    <row r="25779" ht="12" customHeight="1"/>
    <row r="25780" ht="12" customHeight="1"/>
    <row r="25781" ht="12" customHeight="1"/>
    <row r="25782" ht="12" customHeight="1"/>
    <row r="25783" ht="12" customHeight="1"/>
    <row r="25784" ht="12" customHeight="1"/>
    <row r="25785" ht="12" customHeight="1"/>
    <row r="25786" ht="12" customHeight="1"/>
    <row r="25787" ht="12" customHeight="1"/>
    <row r="25788" ht="12" customHeight="1"/>
    <row r="25789" ht="12" customHeight="1"/>
    <row r="25790" ht="12" customHeight="1"/>
    <row r="25791" ht="12" customHeight="1"/>
    <row r="25792" ht="12" customHeight="1"/>
    <row r="25793" ht="12" customHeight="1"/>
    <row r="25794" ht="12" customHeight="1"/>
    <row r="25795" ht="12" customHeight="1"/>
    <row r="25796" ht="12" customHeight="1"/>
    <row r="25797" ht="12" customHeight="1"/>
    <row r="25798" ht="12" customHeight="1"/>
    <row r="25799" ht="12" customHeight="1"/>
    <row r="25800" ht="12" customHeight="1"/>
    <row r="25801" ht="12" customHeight="1"/>
    <row r="25802" ht="12" customHeight="1"/>
    <row r="25803" ht="12" customHeight="1"/>
    <row r="25804" ht="12" customHeight="1"/>
    <row r="25805" ht="12" customHeight="1"/>
    <row r="25806" ht="12" customHeight="1"/>
    <row r="25807" ht="12" customHeight="1"/>
    <row r="25808" ht="12" customHeight="1"/>
    <row r="25809" ht="12" customHeight="1"/>
    <row r="25810" ht="12" customHeight="1"/>
    <row r="25811" ht="12" customHeight="1"/>
    <row r="25812" ht="12" customHeight="1"/>
    <row r="25813" ht="12" customHeight="1"/>
    <row r="25814" ht="12" customHeight="1"/>
    <row r="25815" ht="12" customHeight="1"/>
    <row r="25816" ht="12" customHeight="1"/>
    <row r="25817" ht="12" customHeight="1"/>
    <row r="25818" ht="12" customHeight="1"/>
    <row r="25819" ht="12" customHeight="1"/>
    <row r="25820" ht="12" customHeight="1"/>
    <row r="25821" ht="12" customHeight="1"/>
    <row r="25822" ht="12" customHeight="1"/>
    <row r="25823" ht="12" customHeight="1"/>
    <row r="25824" ht="12" customHeight="1"/>
    <row r="25825" ht="12" customHeight="1"/>
    <row r="25826" ht="12" customHeight="1"/>
    <row r="25827" ht="12" customHeight="1"/>
    <row r="25828" ht="12" customHeight="1"/>
    <row r="25829" ht="12" customHeight="1"/>
    <row r="25830" ht="12" customHeight="1"/>
    <row r="25831" ht="12" customHeight="1"/>
    <row r="25832" ht="12" customHeight="1"/>
    <row r="25833" ht="12" customHeight="1"/>
    <row r="25834" ht="12" customHeight="1"/>
    <row r="25835" ht="12" customHeight="1"/>
    <row r="25836" ht="12" customHeight="1"/>
    <row r="25837" ht="12" customHeight="1"/>
    <row r="25838" ht="12" customHeight="1"/>
    <row r="25839" ht="12" customHeight="1"/>
    <row r="25840" ht="12" customHeight="1"/>
    <row r="25841" ht="12" customHeight="1"/>
    <row r="25842" ht="12" customHeight="1"/>
    <row r="25843" ht="12" customHeight="1"/>
    <row r="25844" ht="12" customHeight="1"/>
    <row r="25845" ht="12" customHeight="1"/>
    <row r="25846" ht="12" customHeight="1"/>
    <row r="25847" ht="12" customHeight="1"/>
    <row r="25848" ht="12" customHeight="1"/>
    <row r="25849" ht="12" customHeight="1"/>
    <row r="25850" ht="12" customHeight="1"/>
    <row r="25851" ht="12" customHeight="1"/>
    <row r="25852" ht="12" customHeight="1"/>
    <row r="25853" ht="12" customHeight="1"/>
    <row r="25854" ht="12" customHeight="1"/>
    <row r="25855" ht="12" customHeight="1"/>
    <row r="25856" ht="12" customHeight="1"/>
    <row r="25857" ht="12" customHeight="1"/>
    <row r="25858" ht="12" customHeight="1"/>
    <row r="25859" ht="12" customHeight="1"/>
    <row r="25860" ht="12" customHeight="1"/>
    <row r="25861" ht="12" customHeight="1"/>
    <row r="25862" ht="12" customHeight="1"/>
    <row r="25863" ht="12" customHeight="1"/>
    <row r="25864" ht="12" customHeight="1"/>
    <row r="25865" ht="12" customHeight="1"/>
    <row r="25866" ht="12" customHeight="1"/>
    <row r="25867" ht="12" customHeight="1"/>
    <row r="25868" ht="12" customHeight="1"/>
    <row r="25869" ht="12" customHeight="1"/>
    <row r="25870" ht="12" customHeight="1"/>
    <row r="25871" ht="12" customHeight="1"/>
    <row r="25872" ht="12" customHeight="1"/>
    <row r="25873" ht="12" customHeight="1"/>
    <row r="25874" ht="12" customHeight="1"/>
    <row r="25875" ht="12" customHeight="1"/>
    <row r="25876" ht="12" customHeight="1"/>
    <row r="25877" ht="12" customHeight="1"/>
    <row r="25878" ht="12" customHeight="1"/>
    <row r="25879" ht="12" customHeight="1"/>
    <row r="25880" ht="12" customHeight="1"/>
    <row r="25881" ht="12" customHeight="1"/>
    <row r="25882" ht="12" customHeight="1"/>
    <row r="25883" ht="12" customHeight="1"/>
    <row r="25884" ht="12" customHeight="1"/>
    <row r="25885" ht="12" customHeight="1"/>
    <row r="25886" ht="12" customHeight="1"/>
    <row r="25887" ht="12" customHeight="1"/>
    <row r="25888" ht="12" customHeight="1"/>
    <row r="25889" ht="12" customHeight="1"/>
    <row r="25890" ht="12" customHeight="1"/>
    <row r="25891" ht="12" customHeight="1"/>
    <row r="25892" ht="12" customHeight="1"/>
    <row r="25893" ht="12" customHeight="1"/>
    <row r="25894" ht="12" customHeight="1"/>
    <row r="25895" ht="12" customHeight="1"/>
    <row r="25896" ht="12" customHeight="1"/>
    <row r="25897" ht="12" customHeight="1"/>
    <row r="25898" ht="12" customHeight="1"/>
    <row r="25899" ht="12" customHeight="1"/>
    <row r="25900" ht="12" customHeight="1"/>
    <row r="25901" ht="12" customHeight="1"/>
    <row r="25902" ht="12" customHeight="1"/>
    <row r="25903" ht="12" customHeight="1"/>
    <row r="25904" ht="12" customHeight="1"/>
    <row r="25905" ht="12" customHeight="1"/>
    <row r="25906" ht="12" customHeight="1"/>
    <row r="25907" ht="12" customHeight="1"/>
    <row r="25908" ht="12" customHeight="1"/>
    <row r="25909" ht="12" customHeight="1"/>
    <row r="25910" ht="12" customHeight="1"/>
    <row r="25911" ht="12" customHeight="1"/>
    <row r="25912" ht="12" customHeight="1"/>
    <row r="25913" ht="12" customHeight="1"/>
    <row r="25914" ht="12" customHeight="1"/>
    <row r="25915" ht="12" customHeight="1"/>
    <row r="25916" ht="12" customHeight="1"/>
    <row r="25917" ht="12" customHeight="1"/>
    <row r="25918" ht="12" customHeight="1"/>
    <row r="25919" ht="12" customHeight="1"/>
    <row r="25920" ht="12" customHeight="1"/>
    <row r="25921" ht="12" customHeight="1"/>
    <row r="25922" ht="12" customHeight="1"/>
    <row r="25923" ht="12" customHeight="1"/>
    <row r="25924" ht="12" customHeight="1"/>
    <row r="25925" ht="12" customHeight="1"/>
    <row r="25926" ht="12" customHeight="1"/>
    <row r="25927" ht="12" customHeight="1"/>
    <row r="25928" ht="12" customHeight="1"/>
    <row r="25929" ht="12" customHeight="1"/>
    <row r="25930" ht="12" customHeight="1"/>
    <row r="25931" ht="12" customHeight="1"/>
    <row r="25932" ht="12" customHeight="1"/>
    <row r="25933" ht="12" customHeight="1"/>
    <row r="25934" ht="12" customHeight="1"/>
    <row r="25935" ht="12" customHeight="1"/>
    <row r="25936" ht="12" customHeight="1"/>
    <row r="25937" ht="12" customHeight="1"/>
    <row r="25938" ht="12" customHeight="1"/>
    <row r="25939" ht="12" customHeight="1"/>
    <row r="25940" ht="12" customHeight="1"/>
    <row r="25941" ht="12" customHeight="1"/>
    <row r="25942" ht="12" customHeight="1"/>
    <row r="25943" ht="12" customHeight="1"/>
    <row r="25944" ht="12" customHeight="1"/>
    <row r="25945" ht="12" customHeight="1"/>
    <row r="25946" ht="12" customHeight="1"/>
    <row r="25947" ht="12" customHeight="1"/>
    <row r="25948" ht="12" customHeight="1"/>
    <row r="25949" ht="12" customHeight="1"/>
    <row r="25950" ht="12" customHeight="1"/>
    <row r="25951" ht="12" customHeight="1"/>
    <row r="25952" ht="12" customHeight="1"/>
    <row r="25953" ht="12" customHeight="1"/>
    <row r="25954" ht="12" customHeight="1"/>
    <row r="25955" ht="12" customHeight="1"/>
    <row r="25956" ht="12" customHeight="1"/>
    <row r="25957" ht="12" customHeight="1"/>
    <row r="25958" ht="12" customHeight="1"/>
    <row r="25959" ht="12" customHeight="1"/>
    <row r="25960" ht="12" customHeight="1"/>
    <row r="25961" ht="12" customHeight="1"/>
    <row r="25962" ht="12" customHeight="1"/>
    <row r="25963" ht="12" customHeight="1"/>
    <row r="25964" ht="12" customHeight="1"/>
    <row r="25965" ht="12" customHeight="1"/>
    <row r="25966" ht="12" customHeight="1"/>
    <row r="25967" ht="12" customHeight="1"/>
    <row r="25968" ht="12" customHeight="1"/>
    <row r="25969" ht="12" customHeight="1"/>
    <row r="25970" ht="12" customHeight="1"/>
    <row r="25971" ht="12" customHeight="1"/>
    <row r="25972" ht="12" customHeight="1"/>
    <row r="25973" ht="12" customHeight="1"/>
    <row r="25974" ht="12" customHeight="1"/>
    <row r="25975" ht="12" customHeight="1"/>
    <row r="25976" ht="12" customHeight="1"/>
    <row r="25977" ht="12" customHeight="1"/>
    <row r="25978" ht="12" customHeight="1"/>
    <row r="25979" ht="12" customHeight="1"/>
    <row r="25980" ht="12" customHeight="1"/>
    <row r="25981" ht="12" customHeight="1"/>
    <row r="25982" ht="12" customHeight="1"/>
    <row r="25983" ht="12" customHeight="1"/>
    <row r="25984" ht="12" customHeight="1"/>
    <row r="25985" ht="12" customHeight="1"/>
    <row r="25986" ht="12" customHeight="1"/>
    <row r="25987" ht="12" customHeight="1"/>
    <row r="25988" ht="12" customHeight="1"/>
    <row r="25989" ht="12" customHeight="1"/>
    <row r="25990" ht="12" customHeight="1"/>
    <row r="25991" ht="12" customHeight="1"/>
    <row r="25992" ht="12" customHeight="1"/>
    <row r="25993" ht="12" customHeight="1"/>
    <row r="25994" ht="12" customHeight="1"/>
    <row r="25995" ht="12" customHeight="1"/>
    <row r="25996" ht="12" customHeight="1"/>
    <row r="25997" ht="12" customHeight="1"/>
    <row r="25998" ht="12" customHeight="1"/>
    <row r="25999" ht="12" customHeight="1"/>
    <row r="26000" ht="12" customHeight="1"/>
    <row r="26001" ht="12" customHeight="1"/>
    <row r="26002" ht="12" customHeight="1"/>
    <row r="26003" ht="12" customHeight="1"/>
    <row r="26004" ht="12" customHeight="1"/>
    <row r="26005" ht="12" customHeight="1"/>
    <row r="26006" ht="12" customHeight="1"/>
    <row r="26007" ht="12" customHeight="1"/>
    <row r="26008" ht="12" customHeight="1"/>
    <row r="26009" ht="12" customHeight="1"/>
    <row r="26010" ht="12" customHeight="1"/>
    <row r="26011" ht="12" customHeight="1"/>
    <row r="26012" ht="12" customHeight="1"/>
    <row r="26013" ht="12" customHeight="1"/>
    <row r="26014" ht="12" customHeight="1"/>
    <row r="26015" ht="12" customHeight="1"/>
    <row r="26016" ht="12" customHeight="1"/>
    <row r="26017" ht="12" customHeight="1"/>
    <row r="26018" ht="12" customHeight="1"/>
    <row r="26019" ht="12" customHeight="1"/>
    <row r="26020" ht="12" customHeight="1"/>
    <row r="26021" ht="12" customHeight="1"/>
    <row r="26022" ht="12" customHeight="1"/>
    <row r="26023" ht="12" customHeight="1"/>
    <row r="26024" ht="12" customHeight="1"/>
    <row r="26025" ht="12" customHeight="1"/>
    <row r="26026" ht="12" customHeight="1"/>
    <row r="26027" ht="12" customHeight="1"/>
    <row r="26028" ht="12" customHeight="1"/>
    <row r="26029" ht="12" customHeight="1"/>
    <row r="26030" ht="12" customHeight="1"/>
    <row r="26031" ht="12" customHeight="1"/>
    <row r="26032" ht="12" customHeight="1"/>
    <row r="26033" ht="12" customHeight="1"/>
    <row r="26034" ht="12" customHeight="1"/>
    <row r="26035" ht="12" customHeight="1"/>
    <row r="26036" ht="12" customHeight="1"/>
    <row r="26037" ht="12" customHeight="1"/>
    <row r="26038" ht="12" customHeight="1"/>
    <row r="26039" ht="12" customHeight="1"/>
    <row r="26040" ht="12" customHeight="1"/>
    <row r="26041" ht="12" customHeight="1"/>
    <row r="26042" ht="12" customHeight="1"/>
    <row r="26043" ht="12" customHeight="1"/>
    <row r="26044" ht="12" customHeight="1"/>
    <row r="26045" ht="12" customHeight="1"/>
    <row r="26046" ht="12" customHeight="1"/>
    <row r="26047" ht="12" customHeight="1"/>
    <row r="26048" ht="12" customHeight="1"/>
    <row r="26049" ht="12" customHeight="1"/>
    <row r="26050" ht="12" customHeight="1"/>
    <row r="26051" ht="12" customHeight="1"/>
    <row r="26052" ht="12" customHeight="1"/>
    <row r="26053" ht="12" customHeight="1"/>
    <row r="26054" ht="12" customHeight="1"/>
    <row r="26055" ht="12" customHeight="1"/>
    <row r="26056" ht="12" customHeight="1"/>
    <row r="26057" ht="12" customHeight="1"/>
    <row r="26058" ht="12" customHeight="1"/>
    <row r="26059" ht="12" customHeight="1"/>
    <row r="26060" ht="12" customHeight="1"/>
    <row r="26061" ht="12" customHeight="1"/>
    <row r="26062" ht="12" customHeight="1"/>
    <row r="26063" ht="12" customHeight="1"/>
    <row r="26064" ht="12" customHeight="1"/>
    <row r="26065" ht="12" customHeight="1"/>
    <row r="26066" ht="12" customHeight="1"/>
    <row r="26067" ht="12" customHeight="1"/>
    <row r="26068" ht="12" customHeight="1"/>
    <row r="26069" ht="12" customHeight="1"/>
    <row r="26070" ht="12" customHeight="1"/>
    <row r="26071" ht="12" customHeight="1"/>
    <row r="26072" ht="12" customHeight="1"/>
    <row r="26073" ht="12" customHeight="1"/>
    <row r="26074" ht="12" customHeight="1"/>
    <row r="26075" ht="12" customHeight="1"/>
    <row r="26076" ht="12" customHeight="1"/>
    <row r="26077" ht="12" customHeight="1"/>
    <row r="26078" ht="12" customHeight="1"/>
    <row r="26079" ht="12" customHeight="1"/>
    <row r="26080" ht="12" customHeight="1"/>
    <row r="26081" ht="12" customHeight="1"/>
    <row r="26082" ht="12" customHeight="1"/>
    <row r="26083" ht="12" customHeight="1"/>
    <row r="26084" ht="12" customHeight="1"/>
    <row r="26085" ht="12" customHeight="1"/>
    <row r="26086" ht="12" customHeight="1"/>
    <row r="26087" ht="12" customHeight="1"/>
    <row r="26088" ht="12" customHeight="1"/>
    <row r="26089" ht="12" customHeight="1"/>
    <row r="26090" ht="12" customHeight="1"/>
    <row r="26091" ht="12" customHeight="1"/>
    <row r="26092" ht="12" customHeight="1"/>
    <row r="26093" ht="12" customHeight="1"/>
    <row r="26094" ht="12" customHeight="1"/>
    <row r="26095" ht="12" customHeight="1"/>
    <row r="26096" ht="12" customHeight="1"/>
    <row r="26097" ht="12" customHeight="1"/>
    <row r="26098" ht="12" customHeight="1"/>
    <row r="26099" ht="12" customHeight="1"/>
    <row r="26100" ht="12" customHeight="1"/>
    <row r="26101" ht="12" customHeight="1"/>
    <row r="26102" ht="12" customHeight="1"/>
    <row r="26103" ht="12" customHeight="1"/>
    <row r="26104" ht="12" customHeight="1"/>
    <row r="26105" ht="12" customHeight="1"/>
    <row r="26106" ht="12" customHeight="1"/>
    <row r="26107" ht="12" customHeight="1"/>
    <row r="26108" ht="12" customHeight="1"/>
    <row r="26109" ht="12" customHeight="1"/>
    <row r="26110" ht="12" customHeight="1"/>
    <row r="26111" ht="12" customHeight="1"/>
    <row r="26112" ht="12" customHeight="1"/>
    <row r="26113" ht="12" customHeight="1"/>
    <row r="26114" ht="12" customHeight="1"/>
    <row r="26115" ht="12" customHeight="1"/>
    <row r="26116" ht="12" customHeight="1"/>
    <row r="26117" ht="12" customHeight="1"/>
    <row r="26118" ht="12" customHeight="1"/>
    <row r="26119" ht="12" customHeight="1"/>
    <row r="26120" ht="12" customHeight="1"/>
    <row r="26121" ht="12" customHeight="1"/>
    <row r="26122" ht="12" customHeight="1"/>
    <row r="26123" ht="12" customHeight="1"/>
    <row r="26124" ht="12" customHeight="1"/>
    <row r="26125" ht="12" customHeight="1"/>
    <row r="26126" ht="12" customHeight="1"/>
    <row r="26127" ht="12" customHeight="1"/>
    <row r="26128" ht="12" customHeight="1"/>
    <row r="26129" ht="12" customHeight="1"/>
    <row r="26130" ht="12" customHeight="1"/>
    <row r="26131" ht="12" customHeight="1"/>
    <row r="26132" ht="12" customHeight="1"/>
    <row r="26133" ht="12" customHeight="1"/>
    <row r="26134" ht="12" customHeight="1"/>
    <row r="26135" ht="12" customHeight="1"/>
    <row r="26136" ht="12" customHeight="1"/>
    <row r="26137" ht="12" customHeight="1"/>
    <row r="26138" ht="12" customHeight="1"/>
    <row r="26139" ht="12" customHeight="1"/>
    <row r="26140" ht="12" customHeight="1"/>
    <row r="26141" ht="12" customHeight="1"/>
    <row r="26142" ht="12" customHeight="1"/>
    <row r="26143" ht="12" customHeight="1"/>
    <row r="26144" ht="12" customHeight="1"/>
    <row r="26145" ht="12" customHeight="1"/>
    <row r="26146" ht="12" customHeight="1"/>
    <row r="26147" ht="12" customHeight="1"/>
    <row r="26148" ht="12" customHeight="1"/>
    <row r="26149" ht="12" customHeight="1"/>
    <row r="26150" ht="12" customHeight="1"/>
    <row r="26151" ht="12" customHeight="1"/>
    <row r="26152" ht="12" customHeight="1"/>
    <row r="26153" ht="12" customHeight="1"/>
    <row r="26154" ht="12" customHeight="1"/>
    <row r="26155" ht="12" customHeight="1"/>
    <row r="26156" ht="12" customHeight="1"/>
    <row r="26157" ht="12" customHeight="1"/>
    <row r="26158" ht="12" customHeight="1"/>
    <row r="26159" ht="12" customHeight="1"/>
    <row r="26160" ht="12" customHeight="1"/>
    <row r="26161" ht="12" customHeight="1"/>
    <row r="26162" ht="12" customHeight="1"/>
    <row r="26163" ht="12" customHeight="1"/>
    <row r="26164" ht="12" customHeight="1"/>
    <row r="26165" ht="12" customHeight="1"/>
    <row r="26166" ht="12" customHeight="1"/>
    <row r="26167" ht="12" customHeight="1"/>
    <row r="26168" ht="12" customHeight="1"/>
    <row r="26169" ht="12" customHeight="1"/>
    <row r="26170" ht="12" customHeight="1"/>
    <row r="26171" ht="12" customHeight="1"/>
    <row r="26172" ht="12" customHeight="1"/>
    <row r="26173" ht="12" customHeight="1"/>
    <row r="26174" ht="12" customHeight="1"/>
    <row r="26175" ht="12" customHeight="1"/>
    <row r="26176" ht="12" customHeight="1"/>
    <row r="26177" ht="12" customHeight="1"/>
    <row r="26178" ht="12" customHeight="1"/>
    <row r="26179" ht="12" customHeight="1"/>
    <row r="26180" ht="12" customHeight="1"/>
    <row r="26181" ht="12" customHeight="1"/>
    <row r="26182" ht="12" customHeight="1"/>
    <row r="26183" ht="12" customHeight="1"/>
    <row r="26184" ht="12" customHeight="1"/>
    <row r="26185" ht="12" customHeight="1"/>
    <row r="26186" ht="12" customHeight="1"/>
    <row r="26187" ht="12" customHeight="1"/>
    <row r="26188" ht="12" customHeight="1"/>
    <row r="26189" ht="12" customHeight="1"/>
    <row r="26190" ht="12" customHeight="1"/>
    <row r="26191" ht="12" customHeight="1"/>
    <row r="26192" ht="12" customHeight="1"/>
    <row r="26193" ht="12" customHeight="1"/>
    <row r="26194" ht="12" customHeight="1"/>
    <row r="26195" ht="12" customHeight="1"/>
    <row r="26196" ht="12" customHeight="1"/>
    <row r="26197" ht="12" customHeight="1"/>
    <row r="26198" ht="12" customHeight="1"/>
    <row r="26199" ht="12" customHeight="1"/>
    <row r="26200" ht="12" customHeight="1"/>
    <row r="26201" ht="12" customHeight="1"/>
    <row r="26202" ht="12" customHeight="1"/>
    <row r="26203" ht="12" customHeight="1"/>
    <row r="26204" ht="12" customHeight="1"/>
    <row r="26205" ht="12" customHeight="1"/>
    <row r="26206" ht="12" customHeight="1"/>
    <row r="26207" ht="12" customHeight="1"/>
    <row r="26208" ht="12" customHeight="1"/>
    <row r="26209" ht="12" customHeight="1"/>
    <row r="26210" ht="12" customHeight="1"/>
    <row r="26211" ht="12" customHeight="1"/>
    <row r="26212" ht="12" customHeight="1"/>
    <row r="26213" ht="12" customHeight="1"/>
    <row r="26214" ht="12" customHeight="1"/>
    <row r="26215" ht="12" customHeight="1"/>
    <row r="26216" ht="12" customHeight="1"/>
    <row r="26217" ht="12" customHeight="1"/>
    <row r="26218" ht="12" customHeight="1"/>
    <row r="26219" ht="12" customHeight="1"/>
    <row r="26220" ht="12" customHeight="1"/>
    <row r="26221" ht="12" customHeight="1"/>
    <row r="26222" ht="12" customHeight="1"/>
    <row r="26223" ht="12" customHeight="1"/>
    <row r="26224" ht="12" customHeight="1"/>
    <row r="26225" ht="12" customHeight="1"/>
    <row r="26226" ht="12" customHeight="1"/>
    <row r="26227" ht="12" customHeight="1"/>
    <row r="26228" ht="12" customHeight="1"/>
    <row r="26229" ht="12" customHeight="1"/>
    <row r="26230" ht="12" customHeight="1"/>
    <row r="26231" ht="12" customHeight="1"/>
    <row r="26232" ht="12" customHeight="1"/>
    <row r="26233" ht="12" customHeight="1"/>
    <row r="26234" ht="12" customHeight="1"/>
    <row r="26235" ht="12" customHeight="1"/>
    <row r="26236" ht="12" customHeight="1"/>
    <row r="26237" ht="12" customHeight="1"/>
    <row r="26238" ht="12" customHeight="1"/>
    <row r="26239" ht="12" customHeight="1"/>
    <row r="26240" ht="12" customHeight="1"/>
    <row r="26241" ht="12" customHeight="1"/>
    <row r="26242" ht="12" customHeight="1"/>
    <row r="26243" ht="12" customHeight="1"/>
    <row r="26244" ht="12" customHeight="1"/>
    <row r="26245" ht="12" customHeight="1"/>
    <row r="26246" ht="12" customHeight="1"/>
    <row r="26247" ht="12" customHeight="1"/>
    <row r="26248" ht="12" customHeight="1"/>
    <row r="26249" ht="12" customHeight="1"/>
    <row r="26250" ht="12" customHeight="1"/>
    <row r="26251" ht="12" customHeight="1"/>
    <row r="26252" ht="12" customHeight="1"/>
    <row r="26253" ht="12" customHeight="1"/>
    <row r="26254" ht="12" customHeight="1"/>
    <row r="26255" ht="12" customHeight="1"/>
    <row r="26256" ht="12" customHeight="1"/>
    <row r="26257" ht="12" customHeight="1"/>
    <row r="26258" ht="12" customHeight="1"/>
    <row r="26259" ht="12" customHeight="1"/>
    <row r="26260" ht="12" customHeight="1"/>
    <row r="26261" ht="12" customHeight="1"/>
    <row r="26262" ht="12" customHeight="1"/>
    <row r="26263" ht="12" customHeight="1"/>
    <row r="26264" ht="12" customHeight="1"/>
    <row r="26265" ht="12" customHeight="1"/>
    <row r="26266" ht="12" customHeight="1"/>
    <row r="26267" ht="12" customHeight="1"/>
    <row r="26268" ht="12" customHeight="1"/>
    <row r="26269" ht="12" customHeight="1"/>
    <row r="26270" ht="12" customHeight="1"/>
    <row r="26271" ht="12" customHeight="1"/>
    <row r="26272" ht="12" customHeight="1"/>
    <row r="26273" ht="12" customHeight="1"/>
    <row r="26274" ht="12" customHeight="1"/>
    <row r="26275" ht="12" customHeight="1"/>
    <row r="26276" ht="12" customHeight="1"/>
    <row r="26277" ht="12" customHeight="1"/>
    <row r="26278" ht="12" customHeight="1"/>
    <row r="26279" ht="12" customHeight="1"/>
    <row r="26280" ht="12" customHeight="1"/>
    <row r="26281" ht="12" customHeight="1"/>
    <row r="26282" ht="12" customHeight="1"/>
    <row r="26283" ht="12" customHeight="1"/>
    <row r="26284" ht="12" customHeight="1"/>
    <row r="26285" ht="12" customHeight="1"/>
    <row r="26286" ht="12" customHeight="1"/>
    <row r="26287" ht="12" customHeight="1"/>
    <row r="26288" ht="12" customHeight="1"/>
    <row r="26289" ht="12" customHeight="1"/>
    <row r="26290" ht="12" customHeight="1"/>
    <row r="26291" ht="12" customHeight="1"/>
    <row r="26292" ht="12" customHeight="1"/>
    <row r="26293" ht="12" customHeight="1"/>
    <row r="26294" ht="12" customHeight="1"/>
    <row r="26295" ht="12" customHeight="1"/>
    <row r="26296" ht="12" customHeight="1"/>
    <row r="26297" ht="12" customHeight="1"/>
    <row r="26298" ht="12" customHeight="1"/>
    <row r="26299" ht="12" customHeight="1"/>
    <row r="26300" ht="12" customHeight="1"/>
    <row r="26301" ht="12" customHeight="1"/>
    <row r="26302" ht="12" customHeight="1"/>
    <row r="26303" ht="12" customHeight="1"/>
    <row r="26304" ht="12" customHeight="1"/>
    <row r="26305" ht="12" customHeight="1"/>
    <row r="26306" ht="12" customHeight="1"/>
    <row r="26307" ht="12" customHeight="1"/>
    <row r="26308" ht="12" customHeight="1"/>
    <row r="26309" ht="12" customHeight="1"/>
    <row r="26310" ht="12" customHeight="1"/>
    <row r="26311" ht="12" customHeight="1"/>
    <row r="26312" ht="12" customHeight="1"/>
    <row r="26313" ht="12" customHeight="1"/>
    <row r="26314" ht="12" customHeight="1"/>
    <row r="26315" ht="12" customHeight="1"/>
    <row r="26316" ht="12" customHeight="1"/>
    <row r="26317" ht="12" customHeight="1"/>
    <row r="26318" ht="12" customHeight="1"/>
    <row r="26319" ht="12" customHeight="1"/>
    <row r="26320" ht="12" customHeight="1"/>
    <row r="26321" ht="12" customHeight="1"/>
    <row r="26322" ht="12" customHeight="1"/>
    <row r="26323" ht="12" customHeight="1"/>
    <row r="26324" ht="12" customHeight="1"/>
    <row r="26325" ht="12" customHeight="1"/>
    <row r="26326" ht="12" customHeight="1"/>
    <row r="26327" ht="12" customHeight="1"/>
    <row r="26328" ht="12" customHeight="1"/>
    <row r="26329" ht="12" customHeight="1"/>
    <row r="26330" ht="12" customHeight="1"/>
    <row r="26331" ht="12" customHeight="1"/>
    <row r="26332" ht="12" customHeight="1"/>
    <row r="26333" ht="12" customHeight="1"/>
    <row r="26334" ht="12" customHeight="1"/>
    <row r="26335" ht="12" customHeight="1"/>
    <row r="26336" ht="12" customHeight="1"/>
    <row r="26337" ht="12" customHeight="1"/>
    <row r="26338" ht="12" customHeight="1"/>
    <row r="26339" ht="12" customHeight="1"/>
    <row r="26340" ht="12" customHeight="1"/>
    <row r="26341" ht="12" customHeight="1"/>
    <row r="26342" ht="12" customHeight="1"/>
    <row r="26343" ht="12" customHeight="1"/>
    <row r="26344" ht="12" customHeight="1"/>
    <row r="26345" ht="12" customHeight="1"/>
    <row r="26346" ht="12" customHeight="1"/>
    <row r="26347" ht="12" customHeight="1"/>
    <row r="26348" ht="12" customHeight="1"/>
    <row r="26349" ht="12" customHeight="1"/>
    <row r="26350" ht="12" customHeight="1"/>
    <row r="26351" ht="12" customHeight="1"/>
    <row r="26352" ht="12" customHeight="1"/>
    <row r="26353" ht="12" customHeight="1"/>
    <row r="26354" ht="12" customHeight="1"/>
    <row r="26355" ht="12" customHeight="1"/>
    <row r="26356" ht="12" customHeight="1"/>
    <row r="26357" ht="12" customHeight="1"/>
    <row r="26358" ht="12" customHeight="1"/>
    <row r="26359" ht="12" customHeight="1"/>
    <row r="26360" ht="12" customHeight="1"/>
    <row r="26361" ht="12" customHeight="1"/>
    <row r="26362" ht="12" customHeight="1"/>
    <row r="26363" ht="12" customHeight="1"/>
    <row r="26364" ht="12" customHeight="1"/>
    <row r="26365" ht="12" customHeight="1"/>
    <row r="26366" ht="12" customHeight="1"/>
    <row r="26367" ht="12" customHeight="1"/>
    <row r="26368" ht="12" customHeight="1"/>
    <row r="26369" ht="12" customHeight="1"/>
    <row r="26370" ht="12" customHeight="1"/>
    <row r="26371" ht="12" customHeight="1"/>
    <row r="26372" ht="12" customHeight="1"/>
    <row r="26373" ht="12" customHeight="1"/>
    <row r="26374" ht="12" customHeight="1"/>
    <row r="26375" ht="12" customHeight="1"/>
    <row r="26376" ht="12" customHeight="1"/>
    <row r="26377" ht="12" customHeight="1"/>
    <row r="26378" ht="12" customHeight="1"/>
    <row r="26379" ht="12" customHeight="1"/>
    <row r="26380" ht="12" customHeight="1"/>
    <row r="26381" ht="12" customHeight="1"/>
    <row r="26382" ht="12" customHeight="1"/>
    <row r="26383" ht="12" customHeight="1"/>
    <row r="26384" ht="12" customHeight="1"/>
    <row r="26385" ht="12" customHeight="1"/>
    <row r="26386" ht="12" customHeight="1"/>
    <row r="26387" ht="12" customHeight="1"/>
    <row r="26388" ht="12" customHeight="1"/>
    <row r="26389" ht="12" customHeight="1"/>
    <row r="26390" ht="12" customHeight="1"/>
    <row r="26391" ht="12" customHeight="1"/>
    <row r="26392" ht="12" customHeight="1"/>
    <row r="26393" ht="12" customHeight="1"/>
    <row r="26394" ht="12" customHeight="1"/>
    <row r="26395" ht="12" customHeight="1"/>
    <row r="26396" ht="12" customHeight="1"/>
    <row r="26397" ht="12" customHeight="1"/>
    <row r="26398" ht="12" customHeight="1"/>
    <row r="26399" ht="12" customHeight="1"/>
    <row r="26400" ht="12" customHeight="1"/>
    <row r="26401" ht="12" customHeight="1"/>
    <row r="26402" ht="12" customHeight="1"/>
    <row r="26403" ht="12" customHeight="1"/>
    <row r="26404" ht="12" customHeight="1"/>
    <row r="26405" ht="12" customHeight="1"/>
    <row r="26406" ht="12" customHeight="1"/>
    <row r="26407" ht="12" customHeight="1"/>
    <row r="26408" ht="12" customHeight="1"/>
    <row r="26409" ht="12" customHeight="1"/>
    <row r="26410" ht="12" customHeight="1"/>
    <row r="26411" ht="12" customHeight="1"/>
    <row r="26412" ht="12" customHeight="1"/>
    <row r="26413" ht="12" customHeight="1"/>
    <row r="26414" ht="12" customHeight="1"/>
    <row r="26415" ht="12" customHeight="1"/>
    <row r="26416" ht="12" customHeight="1"/>
    <row r="26417" ht="12" customHeight="1"/>
    <row r="26418" ht="12" customHeight="1"/>
    <row r="26419" ht="12" customHeight="1"/>
    <row r="26420" ht="12" customHeight="1"/>
    <row r="26421" ht="12" customHeight="1"/>
    <row r="26422" ht="12" customHeight="1"/>
    <row r="26423" ht="12" customHeight="1"/>
    <row r="26424" ht="12" customHeight="1"/>
    <row r="26425" ht="12" customHeight="1"/>
    <row r="26426" ht="12" customHeight="1"/>
    <row r="26427" ht="12" customHeight="1"/>
    <row r="26428" ht="12" customHeight="1"/>
    <row r="26429" ht="12" customHeight="1"/>
    <row r="26430" ht="12" customHeight="1"/>
    <row r="26431" ht="12" customHeight="1"/>
    <row r="26432" ht="12" customHeight="1"/>
    <row r="26433" ht="12" customHeight="1"/>
    <row r="26434" ht="12" customHeight="1"/>
    <row r="26435" ht="12" customHeight="1"/>
    <row r="26436" ht="12" customHeight="1"/>
    <row r="26437" ht="12" customHeight="1"/>
    <row r="26438" ht="12" customHeight="1"/>
    <row r="26439" ht="12" customHeight="1"/>
    <row r="26440" ht="12" customHeight="1"/>
    <row r="26441" ht="12" customHeight="1"/>
    <row r="26442" ht="12" customHeight="1"/>
    <row r="26443" ht="12" customHeight="1"/>
    <row r="26444" ht="12" customHeight="1"/>
    <row r="26445" ht="12" customHeight="1"/>
    <row r="26446" ht="12" customHeight="1"/>
    <row r="26447" ht="12" customHeight="1"/>
    <row r="26448" ht="12" customHeight="1"/>
    <row r="26449" ht="12" customHeight="1"/>
    <row r="26450" ht="12" customHeight="1"/>
    <row r="26451" ht="12" customHeight="1"/>
    <row r="26452" ht="12" customHeight="1"/>
    <row r="26453" ht="12" customHeight="1"/>
    <row r="26454" ht="12" customHeight="1"/>
    <row r="26455" ht="12" customHeight="1"/>
    <row r="26456" ht="12" customHeight="1"/>
    <row r="26457" ht="12" customHeight="1"/>
    <row r="26458" ht="12" customHeight="1"/>
    <row r="26459" ht="12" customHeight="1"/>
    <row r="26460" ht="12" customHeight="1"/>
    <row r="26461" ht="12" customHeight="1"/>
    <row r="26462" ht="12" customHeight="1"/>
    <row r="26463" ht="12" customHeight="1"/>
    <row r="26464" ht="12" customHeight="1"/>
    <row r="26465" ht="12" customHeight="1"/>
    <row r="26466" ht="12" customHeight="1"/>
    <row r="26467" ht="12" customHeight="1"/>
    <row r="26468" ht="12" customHeight="1"/>
    <row r="26469" ht="12" customHeight="1"/>
    <row r="26470" ht="12" customHeight="1"/>
    <row r="26471" ht="12" customHeight="1"/>
    <row r="26472" ht="12" customHeight="1"/>
    <row r="26473" ht="12" customHeight="1"/>
    <row r="26474" ht="12" customHeight="1"/>
    <row r="26475" ht="12" customHeight="1"/>
    <row r="26476" ht="12" customHeight="1"/>
    <row r="26477" ht="12" customHeight="1"/>
    <row r="26478" ht="12" customHeight="1"/>
    <row r="26479" ht="12" customHeight="1"/>
    <row r="26480" ht="12" customHeight="1"/>
    <row r="26481" ht="12" customHeight="1"/>
    <row r="26482" ht="12" customHeight="1"/>
    <row r="26483" ht="12" customHeight="1"/>
    <row r="26484" ht="12" customHeight="1"/>
    <row r="26485" ht="12" customHeight="1"/>
    <row r="26486" ht="12" customHeight="1"/>
    <row r="26487" ht="12" customHeight="1"/>
    <row r="26488" ht="12" customHeight="1"/>
    <row r="26489" ht="12" customHeight="1"/>
    <row r="26490" ht="12" customHeight="1"/>
    <row r="26491" ht="12" customHeight="1"/>
    <row r="26492" ht="12" customHeight="1"/>
    <row r="26493" ht="12" customHeight="1"/>
    <row r="26494" ht="12" customHeight="1"/>
    <row r="26495" ht="12" customHeight="1"/>
    <row r="26496" ht="12" customHeight="1"/>
    <row r="26497" ht="12" customHeight="1"/>
    <row r="26498" ht="12" customHeight="1"/>
    <row r="26499" ht="12" customHeight="1"/>
    <row r="26500" ht="12" customHeight="1"/>
    <row r="26501" ht="12" customHeight="1"/>
    <row r="26502" ht="12" customHeight="1"/>
    <row r="26503" ht="12" customHeight="1"/>
    <row r="26504" ht="12" customHeight="1"/>
    <row r="26505" ht="12" customHeight="1"/>
    <row r="26506" ht="12" customHeight="1"/>
    <row r="26507" ht="12" customHeight="1"/>
    <row r="26508" ht="12" customHeight="1"/>
    <row r="26509" ht="12" customHeight="1"/>
    <row r="26510" ht="12" customHeight="1"/>
    <row r="26511" ht="12" customHeight="1"/>
    <row r="26512" ht="12" customHeight="1"/>
    <row r="26513" ht="12" customHeight="1"/>
    <row r="26514" ht="12" customHeight="1"/>
    <row r="26515" ht="12" customHeight="1"/>
    <row r="26516" ht="12" customHeight="1"/>
    <row r="26517" ht="12" customHeight="1"/>
    <row r="26518" ht="12" customHeight="1"/>
    <row r="26519" ht="12" customHeight="1"/>
    <row r="26520" ht="12" customHeight="1"/>
    <row r="26521" ht="12" customHeight="1"/>
    <row r="26522" ht="12" customHeight="1"/>
    <row r="26523" ht="12" customHeight="1"/>
    <row r="26524" ht="12" customHeight="1"/>
    <row r="26525" ht="12" customHeight="1"/>
    <row r="26526" ht="12" customHeight="1"/>
    <row r="26527" ht="12" customHeight="1"/>
    <row r="26528" ht="12" customHeight="1"/>
    <row r="26529" ht="12" customHeight="1"/>
    <row r="26530" ht="12" customHeight="1"/>
    <row r="26531" ht="12" customHeight="1"/>
    <row r="26532" ht="12" customHeight="1"/>
    <row r="26533" ht="12" customHeight="1"/>
    <row r="26534" ht="12" customHeight="1"/>
    <row r="26535" ht="12" customHeight="1"/>
    <row r="26536" ht="12" customHeight="1"/>
    <row r="26537" ht="12" customHeight="1"/>
    <row r="26538" ht="12" customHeight="1"/>
    <row r="26539" ht="12" customHeight="1"/>
    <row r="26540" ht="12" customHeight="1"/>
    <row r="26541" ht="12" customHeight="1"/>
    <row r="26542" ht="12" customHeight="1"/>
    <row r="26543" ht="12" customHeight="1"/>
    <row r="26544" ht="12" customHeight="1"/>
    <row r="26545" ht="12" customHeight="1"/>
    <row r="26546" ht="12" customHeight="1"/>
    <row r="26547" ht="12" customHeight="1"/>
    <row r="26548" ht="12" customHeight="1"/>
    <row r="26549" ht="12" customHeight="1"/>
    <row r="26550" ht="12" customHeight="1"/>
    <row r="26551" ht="12" customHeight="1"/>
    <row r="26552" ht="12" customHeight="1"/>
    <row r="26553" ht="12" customHeight="1"/>
    <row r="26554" ht="12" customHeight="1"/>
    <row r="26555" ht="12" customHeight="1"/>
    <row r="26556" ht="12" customHeight="1"/>
    <row r="26557" ht="12" customHeight="1"/>
    <row r="26558" ht="12" customHeight="1"/>
    <row r="26559" ht="12" customHeight="1"/>
    <row r="26560" ht="12" customHeight="1"/>
    <row r="26561" ht="12" customHeight="1"/>
    <row r="26562" ht="12" customHeight="1"/>
    <row r="26563" ht="12" customHeight="1"/>
    <row r="26564" ht="12" customHeight="1"/>
    <row r="26565" ht="12" customHeight="1"/>
    <row r="26566" ht="12" customHeight="1"/>
    <row r="26567" ht="12" customHeight="1"/>
    <row r="26568" ht="12" customHeight="1"/>
    <row r="26569" ht="12" customHeight="1"/>
    <row r="26570" ht="12" customHeight="1"/>
    <row r="26571" ht="12" customHeight="1"/>
    <row r="26572" ht="12" customHeight="1"/>
    <row r="26573" ht="12" customHeight="1"/>
    <row r="26574" ht="12" customHeight="1"/>
    <row r="26575" ht="12" customHeight="1"/>
    <row r="26576" ht="12" customHeight="1"/>
    <row r="26577" ht="12" customHeight="1"/>
    <row r="26578" ht="12" customHeight="1"/>
    <row r="26579" ht="12" customHeight="1"/>
    <row r="26580" ht="12" customHeight="1"/>
    <row r="26581" ht="12" customHeight="1"/>
    <row r="26582" ht="12" customHeight="1"/>
    <row r="26583" ht="12" customHeight="1"/>
    <row r="26584" ht="12" customHeight="1"/>
    <row r="26585" ht="12" customHeight="1"/>
    <row r="26586" ht="12" customHeight="1"/>
    <row r="26587" ht="12" customHeight="1"/>
    <row r="26588" ht="12" customHeight="1"/>
    <row r="26589" ht="12" customHeight="1"/>
    <row r="26590" ht="12" customHeight="1"/>
    <row r="26591" ht="12" customHeight="1"/>
    <row r="26592" ht="12" customHeight="1"/>
    <row r="26593" ht="12" customHeight="1"/>
    <row r="26594" ht="12" customHeight="1"/>
    <row r="26595" ht="12" customHeight="1"/>
    <row r="26596" ht="12" customHeight="1"/>
    <row r="26597" ht="12" customHeight="1"/>
    <row r="26598" ht="12" customHeight="1"/>
    <row r="26599" ht="12" customHeight="1"/>
    <row r="26600" ht="12" customHeight="1"/>
    <row r="26601" ht="12" customHeight="1"/>
    <row r="26602" ht="12" customHeight="1"/>
    <row r="26603" ht="12" customHeight="1"/>
    <row r="26604" ht="12" customHeight="1"/>
    <row r="26605" ht="12" customHeight="1"/>
    <row r="26606" ht="12" customHeight="1"/>
    <row r="26607" ht="12" customHeight="1"/>
    <row r="26608" ht="12" customHeight="1"/>
    <row r="26609" ht="12" customHeight="1"/>
    <row r="26610" ht="12" customHeight="1"/>
    <row r="26611" ht="12" customHeight="1"/>
    <row r="26612" ht="12" customHeight="1"/>
    <row r="26613" ht="12" customHeight="1"/>
    <row r="26614" ht="12" customHeight="1"/>
    <row r="26615" ht="12" customHeight="1"/>
    <row r="26616" ht="12" customHeight="1"/>
    <row r="26617" ht="12" customHeight="1"/>
    <row r="26618" ht="12" customHeight="1"/>
    <row r="26619" ht="12" customHeight="1"/>
    <row r="26620" ht="12" customHeight="1"/>
    <row r="26621" ht="12" customHeight="1"/>
    <row r="26622" ht="12" customHeight="1"/>
    <row r="26623" ht="12" customHeight="1"/>
    <row r="26624" ht="12" customHeight="1"/>
    <row r="26625" ht="12" customHeight="1"/>
    <row r="26626" ht="12" customHeight="1"/>
    <row r="26627" ht="12" customHeight="1"/>
    <row r="26628" ht="12" customHeight="1"/>
    <row r="26629" ht="12" customHeight="1"/>
    <row r="26630" ht="12" customHeight="1"/>
    <row r="26631" ht="12" customHeight="1"/>
    <row r="26632" ht="12" customHeight="1"/>
    <row r="26633" ht="12" customHeight="1"/>
    <row r="26634" ht="12" customHeight="1"/>
    <row r="26635" ht="12" customHeight="1"/>
    <row r="26636" ht="12" customHeight="1"/>
    <row r="26637" ht="12" customHeight="1"/>
    <row r="26638" ht="12" customHeight="1"/>
    <row r="26639" ht="12" customHeight="1"/>
    <row r="26640" ht="12" customHeight="1"/>
    <row r="26641" ht="12" customHeight="1"/>
    <row r="26642" ht="12" customHeight="1"/>
    <row r="26643" ht="12" customHeight="1"/>
    <row r="26644" ht="12" customHeight="1"/>
    <row r="26645" ht="12" customHeight="1"/>
    <row r="26646" ht="12" customHeight="1"/>
    <row r="26647" ht="12" customHeight="1"/>
    <row r="26648" ht="12" customHeight="1"/>
    <row r="26649" ht="12" customHeight="1"/>
    <row r="26650" ht="12" customHeight="1"/>
    <row r="26651" ht="12" customHeight="1"/>
    <row r="26652" ht="12" customHeight="1"/>
    <row r="26653" ht="12" customHeight="1"/>
    <row r="26654" ht="12" customHeight="1"/>
    <row r="26655" ht="12" customHeight="1"/>
    <row r="26656" ht="12" customHeight="1"/>
    <row r="26657" ht="12" customHeight="1"/>
    <row r="26658" ht="12" customHeight="1"/>
    <row r="26659" ht="12" customHeight="1"/>
    <row r="26660" ht="12" customHeight="1"/>
    <row r="26661" ht="12" customHeight="1"/>
    <row r="26662" ht="12" customHeight="1"/>
    <row r="26663" ht="12" customHeight="1"/>
    <row r="26664" ht="12" customHeight="1"/>
    <row r="26665" ht="12" customHeight="1"/>
    <row r="26666" ht="12" customHeight="1"/>
    <row r="26667" ht="12" customHeight="1"/>
    <row r="26668" ht="12" customHeight="1"/>
    <row r="26669" ht="12" customHeight="1"/>
    <row r="26670" ht="12" customHeight="1"/>
    <row r="26671" ht="12" customHeight="1"/>
    <row r="26672" ht="12" customHeight="1"/>
    <row r="26673" ht="12" customHeight="1"/>
    <row r="26674" ht="12" customHeight="1"/>
    <row r="26675" ht="12" customHeight="1"/>
    <row r="26676" ht="12" customHeight="1"/>
    <row r="26677" ht="12" customHeight="1"/>
    <row r="26678" ht="12" customHeight="1"/>
    <row r="26679" ht="12" customHeight="1"/>
    <row r="26680" ht="12" customHeight="1"/>
    <row r="26681" ht="12" customHeight="1"/>
    <row r="26682" ht="12" customHeight="1"/>
    <row r="26683" ht="12" customHeight="1"/>
    <row r="26684" ht="12" customHeight="1"/>
    <row r="26685" ht="12" customHeight="1"/>
    <row r="26686" ht="12" customHeight="1"/>
    <row r="26687" ht="12" customHeight="1"/>
    <row r="26688" ht="12" customHeight="1"/>
    <row r="26689" ht="12" customHeight="1"/>
    <row r="26690" ht="12" customHeight="1"/>
    <row r="26691" ht="12" customHeight="1"/>
    <row r="26692" ht="12" customHeight="1"/>
    <row r="26693" ht="12" customHeight="1"/>
    <row r="26694" ht="12" customHeight="1"/>
    <row r="26695" ht="12" customHeight="1"/>
    <row r="26696" ht="12" customHeight="1"/>
    <row r="26697" ht="12" customHeight="1"/>
    <row r="26698" ht="12" customHeight="1"/>
    <row r="26699" ht="12" customHeight="1"/>
    <row r="26700" ht="12" customHeight="1"/>
    <row r="26701" ht="12" customHeight="1"/>
    <row r="26702" ht="12" customHeight="1"/>
    <row r="26703" ht="12" customHeight="1"/>
    <row r="26704" ht="12" customHeight="1"/>
    <row r="26705" ht="12" customHeight="1"/>
    <row r="26706" ht="12" customHeight="1"/>
    <row r="26707" ht="12" customHeight="1"/>
    <row r="26708" ht="12" customHeight="1"/>
    <row r="26709" ht="12" customHeight="1"/>
    <row r="26710" ht="12" customHeight="1"/>
    <row r="26711" ht="12" customHeight="1"/>
    <row r="26712" ht="12" customHeight="1"/>
    <row r="26713" ht="12" customHeight="1"/>
    <row r="26714" ht="12" customHeight="1"/>
    <row r="26715" ht="12" customHeight="1"/>
    <row r="26716" ht="12" customHeight="1"/>
    <row r="26717" ht="12" customHeight="1"/>
    <row r="26718" ht="12" customHeight="1"/>
    <row r="26719" ht="12" customHeight="1"/>
    <row r="26720" ht="12" customHeight="1"/>
    <row r="26721" ht="12" customHeight="1"/>
    <row r="26722" ht="12" customHeight="1"/>
    <row r="26723" ht="12" customHeight="1"/>
    <row r="26724" ht="12" customHeight="1"/>
    <row r="26725" ht="12" customHeight="1"/>
    <row r="26726" ht="12" customHeight="1"/>
    <row r="26727" ht="12" customHeight="1"/>
    <row r="26728" ht="12" customHeight="1"/>
    <row r="26729" ht="12" customHeight="1"/>
    <row r="26730" ht="12" customHeight="1"/>
    <row r="26731" ht="12" customHeight="1"/>
    <row r="26732" ht="12" customHeight="1"/>
    <row r="26733" ht="12" customHeight="1"/>
    <row r="26734" ht="12" customHeight="1"/>
    <row r="26735" ht="12" customHeight="1"/>
    <row r="26736" ht="12" customHeight="1"/>
    <row r="26737" ht="12" customHeight="1"/>
    <row r="26738" ht="12" customHeight="1"/>
    <row r="26739" ht="12" customHeight="1"/>
    <row r="26740" ht="12" customHeight="1"/>
    <row r="26741" ht="12" customHeight="1"/>
    <row r="26742" ht="12" customHeight="1"/>
    <row r="26743" ht="12" customHeight="1"/>
    <row r="26744" ht="12" customHeight="1"/>
    <row r="26745" ht="12" customHeight="1"/>
    <row r="26746" ht="12" customHeight="1"/>
    <row r="26747" ht="12" customHeight="1"/>
    <row r="26748" ht="12" customHeight="1"/>
    <row r="26749" ht="12" customHeight="1"/>
    <row r="26750" ht="12" customHeight="1"/>
    <row r="26751" ht="12" customHeight="1"/>
    <row r="26752" ht="12" customHeight="1"/>
    <row r="26753" ht="12" customHeight="1"/>
    <row r="26754" ht="12" customHeight="1"/>
    <row r="26755" ht="12" customHeight="1"/>
    <row r="26756" ht="12" customHeight="1"/>
    <row r="26757" ht="12" customHeight="1"/>
    <row r="26758" ht="12" customHeight="1"/>
    <row r="26759" ht="12" customHeight="1"/>
    <row r="26760" ht="12" customHeight="1"/>
    <row r="26761" ht="12" customHeight="1"/>
    <row r="26762" ht="12" customHeight="1"/>
    <row r="26763" ht="12" customHeight="1"/>
    <row r="26764" ht="12" customHeight="1"/>
    <row r="26765" ht="12" customHeight="1"/>
    <row r="26766" ht="12" customHeight="1"/>
    <row r="26767" ht="12" customHeight="1"/>
    <row r="26768" ht="12" customHeight="1"/>
    <row r="26769" ht="12" customHeight="1"/>
    <row r="26770" ht="12" customHeight="1"/>
    <row r="26771" ht="12" customHeight="1"/>
    <row r="26772" ht="12" customHeight="1"/>
    <row r="26773" ht="12" customHeight="1"/>
    <row r="26774" ht="12" customHeight="1"/>
    <row r="26775" ht="12" customHeight="1"/>
    <row r="26776" ht="12" customHeight="1"/>
    <row r="26777" ht="12" customHeight="1"/>
    <row r="26778" ht="12" customHeight="1"/>
    <row r="26779" ht="12" customHeight="1"/>
    <row r="26780" ht="12" customHeight="1"/>
    <row r="26781" ht="12" customHeight="1"/>
    <row r="26782" ht="12" customHeight="1"/>
    <row r="26783" ht="12" customHeight="1"/>
    <row r="26784" ht="12" customHeight="1"/>
    <row r="26785" ht="12" customHeight="1"/>
    <row r="26786" ht="12" customHeight="1"/>
    <row r="26787" ht="12" customHeight="1"/>
    <row r="26788" ht="12" customHeight="1"/>
    <row r="26789" ht="12" customHeight="1"/>
    <row r="26790" ht="12" customHeight="1"/>
    <row r="26791" ht="12" customHeight="1"/>
    <row r="26792" ht="12" customHeight="1"/>
    <row r="26793" ht="12" customHeight="1"/>
    <row r="26794" ht="12" customHeight="1"/>
    <row r="26795" ht="12" customHeight="1"/>
    <row r="26796" ht="12" customHeight="1"/>
    <row r="26797" ht="12" customHeight="1"/>
    <row r="26798" ht="12" customHeight="1"/>
    <row r="26799" ht="12" customHeight="1"/>
    <row r="26800" ht="12" customHeight="1"/>
    <row r="26801" ht="12" customHeight="1"/>
    <row r="26802" ht="12" customHeight="1"/>
    <row r="26803" ht="12" customHeight="1"/>
    <row r="26804" ht="12" customHeight="1"/>
    <row r="26805" ht="12" customHeight="1"/>
    <row r="26806" ht="12" customHeight="1"/>
    <row r="26807" ht="12" customHeight="1"/>
    <row r="26808" ht="12" customHeight="1"/>
    <row r="26809" ht="12" customHeight="1"/>
    <row r="26810" ht="12" customHeight="1"/>
    <row r="26811" ht="12" customHeight="1"/>
    <row r="26812" ht="12" customHeight="1"/>
    <row r="26813" ht="12" customHeight="1"/>
    <row r="26814" ht="12" customHeight="1"/>
    <row r="26815" ht="12" customHeight="1"/>
    <row r="26816" ht="12" customHeight="1"/>
    <row r="26817" ht="12" customHeight="1"/>
    <row r="26818" ht="12" customHeight="1"/>
    <row r="26819" ht="12" customHeight="1"/>
    <row r="26820" ht="12" customHeight="1"/>
    <row r="26821" ht="12" customHeight="1"/>
    <row r="26822" ht="12" customHeight="1"/>
    <row r="26823" ht="12" customHeight="1"/>
    <row r="26824" ht="12" customHeight="1"/>
    <row r="26825" ht="12" customHeight="1"/>
    <row r="26826" ht="12" customHeight="1"/>
    <row r="26827" ht="12" customHeight="1"/>
    <row r="26828" ht="12" customHeight="1"/>
    <row r="26829" ht="12" customHeight="1"/>
    <row r="26830" ht="12" customHeight="1"/>
    <row r="26831" ht="12" customHeight="1"/>
    <row r="26832" ht="12" customHeight="1"/>
    <row r="26833" ht="12" customHeight="1"/>
    <row r="26834" ht="12" customHeight="1"/>
    <row r="26835" ht="12" customHeight="1"/>
    <row r="26836" ht="12" customHeight="1"/>
    <row r="26837" ht="12" customHeight="1"/>
    <row r="26838" ht="12" customHeight="1"/>
    <row r="26839" ht="12" customHeight="1"/>
    <row r="26840" ht="12" customHeight="1"/>
    <row r="26841" ht="12" customHeight="1"/>
    <row r="26842" ht="12" customHeight="1"/>
    <row r="26843" ht="12" customHeight="1"/>
    <row r="26844" ht="12" customHeight="1"/>
    <row r="26845" ht="12" customHeight="1"/>
    <row r="26846" ht="12" customHeight="1"/>
    <row r="26847" ht="12" customHeight="1"/>
    <row r="26848" ht="12" customHeight="1"/>
    <row r="26849" ht="12" customHeight="1"/>
    <row r="26850" ht="12" customHeight="1"/>
    <row r="26851" ht="12" customHeight="1"/>
    <row r="26852" ht="12" customHeight="1"/>
    <row r="26853" ht="12" customHeight="1"/>
    <row r="26854" ht="12" customHeight="1"/>
    <row r="26855" ht="12" customHeight="1"/>
    <row r="26856" ht="12" customHeight="1"/>
    <row r="26857" ht="12" customHeight="1"/>
    <row r="26858" ht="12" customHeight="1"/>
    <row r="26859" ht="12" customHeight="1"/>
    <row r="26860" ht="12" customHeight="1"/>
    <row r="26861" ht="12" customHeight="1"/>
    <row r="26862" ht="12" customHeight="1"/>
    <row r="26863" ht="12" customHeight="1"/>
    <row r="26864" ht="12" customHeight="1"/>
    <row r="26865" ht="12" customHeight="1"/>
    <row r="26866" ht="12" customHeight="1"/>
    <row r="26867" ht="12" customHeight="1"/>
    <row r="26868" ht="12" customHeight="1"/>
    <row r="26869" ht="12" customHeight="1"/>
    <row r="26870" ht="12" customHeight="1"/>
    <row r="26871" ht="12" customHeight="1"/>
    <row r="26872" ht="12" customHeight="1"/>
    <row r="26873" ht="12" customHeight="1"/>
    <row r="26874" ht="12" customHeight="1"/>
    <row r="26875" ht="12" customHeight="1"/>
    <row r="26876" ht="12" customHeight="1"/>
    <row r="26877" ht="12" customHeight="1"/>
    <row r="26878" ht="12" customHeight="1"/>
    <row r="26879" ht="12" customHeight="1"/>
    <row r="26880" ht="12" customHeight="1"/>
    <row r="26881" ht="12" customHeight="1"/>
    <row r="26882" ht="12" customHeight="1"/>
    <row r="26883" ht="12" customHeight="1"/>
    <row r="26884" ht="12" customHeight="1"/>
    <row r="26885" ht="12" customHeight="1"/>
    <row r="26886" ht="12" customHeight="1"/>
    <row r="26887" ht="12" customHeight="1"/>
    <row r="26888" ht="12" customHeight="1"/>
    <row r="26889" ht="12" customHeight="1"/>
    <row r="26890" ht="12" customHeight="1"/>
    <row r="26891" ht="12" customHeight="1"/>
    <row r="26892" ht="12" customHeight="1"/>
    <row r="26893" ht="12" customHeight="1"/>
    <row r="26894" ht="12" customHeight="1"/>
    <row r="26895" ht="12" customHeight="1"/>
    <row r="26896" ht="12" customHeight="1"/>
    <row r="26897" ht="12" customHeight="1"/>
    <row r="26898" ht="12" customHeight="1"/>
    <row r="26899" ht="12" customHeight="1"/>
    <row r="26900" ht="12" customHeight="1"/>
    <row r="26901" ht="12" customHeight="1"/>
    <row r="26902" ht="12" customHeight="1"/>
    <row r="26903" ht="12" customHeight="1"/>
    <row r="26904" ht="12" customHeight="1"/>
    <row r="26905" ht="12" customHeight="1"/>
    <row r="26906" ht="12" customHeight="1"/>
    <row r="26907" ht="12" customHeight="1"/>
    <row r="26908" ht="12" customHeight="1"/>
    <row r="26909" ht="12" customHeight="1"/>
    <row r="26910" ht="12" customHeight="1"/>
    <row r="26911" ht="12" customHeight="1"/>
    <row r="26912" ht="12" customHeight="1"/>
    <row r="26913" ht="12" customHeight="1"/>
    <row r="26914" ht="12" customHeight="1"/>
    <row r="26915" ht="12" customHeight="1"/>
    <row r="26916" ht="12" customHeight="1"/>
    <row r="26917" ht="12" customHeight="1"/>
    <row r="26918" ht="12" customHeight="1"/>
    <row r="26919" ht="12" customHeight="1"/>
    <row r="26920" ht="12" customHeight="1"/>
    <row r="26921" ht="12" customHeight="1"/>
    <row r="26922" ht="12" customHeight="1"/>
    <row r="26923" ht="12" customHeight="1"/>
    <row r="26924" ht="12" customHeight="1"/>
    <row r="26925" ht="12" customHeight="1"/>
    <row r="26926" ht="12" customHeight="1"/>
    <row r="26927" ht="12" customHeight="1"/>
    <row r="26928" ht="12" customHeight="1"/>
    <row r="26929" ht="12" customHeight="1"/>
    <row r="26930" ht="12" customHeight="1"/>
    <row r="26931" ht="12" customHeight="1"/>
    <row r="26932" ht="12" customHeight="1"/>
    <row r="26933" ht="12" customHeight="1"/>
    <row r="26934" ht="12" customHeight="1"/>
    <row r="26935" ht="12" customHeight="1"/>
    <row r="26936" ht="12" customHeight="1"/>
    <row r="26937" ht="12" customHeight="1"/>
    <row r="26938" ht="12" customHeight="1"/>
    <row r="26939" ht="12" customHeight="1"/>
    <row r="26940" ht="12" customHeight="1"/>
    <row r="26941" ht="12" customHeight="1"/>
    <row r="26942" ht="12" customHeight="1"/>
    <row r="26943" ht="12" customHeight="1"/>
    <row r="26944" ht="12" customHeight="1"/>
    <row r="26945" ht="12" customHeight="1"/>
    <row r="26946" ht="12" customHeight="1"/>
    <row r="26947" ht="12" customHeight="1"/>
    <row r="26948" ht="12" customHeight="1"/>
    <row r="26949" ht="12" customHeight="1"/>
    <row r="26950" ht="12" customHeight="1"/>
    <row r="26951" ht="12" customHeight="1"/>
    <row r="26952" ht="12" customHeight="1"/>
    <row r="26953" ht="12" customHeight="1"/>
    <row r="26954" ht="12" customHeight="1"/>
    <row r="26955" ht="12" customHeight="1"/>
    <row r="26956" ht="12" customHeight="1"/>
    <row r="26957" ht="12" customHeight="1"/>
    <row r="26958" ht="12" customHeight="1"/>
    <row r="26959" ht="12" customHeight="1"/>
    <row r="26960" ht="12" customHeight="1"/>
    <row r="26961" ht="12" customHeight="1"/>
    <row r="26962" ht="12" customHeight="1"/>
    <row r="26963" ht="12" customHeight="1"/>
    <row r="26964" ht="12" customHeight="1"/>
    <row r="26965" ht="12" customHeight="1"/>
    <row r="26966" ht="12" customHeight="1"/>
    <row r="26967" ht="12" customHeight="1"/>
    <row r="26968" ht="12" customHeight="1"/>
    <row r="26969" ht="12" customHeight="1"/>
    <row r="26970" ht="12" customHeight="1"/>
    <row r="26971" ht="12" customHeight="1"/>
    <row r="26972" ht="12" customHeight="1"/>
    <row r="26973" ht="12" customHeight="1"/>
    <row r="26974" ht="12" customHeight="1"/>
    <row r="26975" ht="12" customHeight="1"/>
    <row r="26976" ht="12" customHeight="1"/>
    <row r="26977" ht="12" customHeight="1"/>
    <row r="26978" ht="12" customHeight="1"/>
    <row r="26979" ht="12" customHeight="1"/>
    <row r="26980" ht="12" customHeight="1"/>
    <row r="26981" ht="12" customHeight="1"/>
    <row r="26982" ht="12" customHeight="1"/>
    <row r="26983" ht="12" customHeight="1"/>
    <row r="26984" ht="12" customHeight="1"/>
    <row r="26985" ht="12" customHeight="1"/>
    <row r="26986" ht="12" customHeight="1"/>
    <row r="26987" ht="12" customHeight="1"/>
    <row r="26988" ht="12" customHeight="1"/>
    <row r="26989" ht="12" customHeight="1"/>
    <row r="26990" ht="12" customHeight="1"/>
    <row r="26991" ht="12" customHeight="1"/>
    <row r="26992" ht="12" customHeight="1"/>
    <row r="26993" ht="12" customHeight="1"/>
    <row r="26994" ht="12" customHeight="1"/>
    <row r="26995" ht="12" customHeight="1"/>
    <row r="26996" ht="12" customHeight="1"/>
    <row r="26997" ht="12" customHeight="1"/>
    <row r="26998" ht="12" customHeight="1"/>
    <row r="26999" ht="12" customHeight="1"/>
    <row r="27000" ht="12" customHeight="1"/>
    <row r="27001" ht="12" customHeight="1"/>
    <row r="27002" ht="12" customHeight="1"/>
    <row r="27003" ht="12" customHeight="1"/>
    <row r="27004" ht="12" customHeight="1"/>
    <row r="27005" ht="12" customHeight="1"/>
    <row r="27006" ht="12" customHeight="1"/>
    <row r="27007" ht="12" customHeight="1"/>
    <row r="27008" ht="12" customHeight="1"/>
    <row r="27009" ht="12" customHeight="1"/>
    <row r="27010" ht="12" customHeight="1"/>
    <row r="27011" ht="12" customHeight="1"/>
    <row r="27012" ht="12" customHeight="1"/>
    <row r="27013" ht="12" customHeight="1"/>
    <row r="27014" ht="12" customHeight="1"/>
    <row r="27015" ht="12" customHeight="1"/>
    <row r="27016" ht="12" customHeight="1"/>
    <row r="27017" ht="12" customHeight="1"/>
    <row r="27018" ht="12" customHeight="1"/>
    <row r="27019" ht="12" customHeight="1"/>
    <row r="27020" ht="12" customHeight="1"/>
    <row r="27021" ht="12" customHeight="1"/>
    <row r="27022" ht="12" customHeight="1"/>
    <row r="27023" ht="12" customHeight="1"/>
    <row r="27024" ht="12" customHeight="1"/>
    <row r="27025" ht="12" customHeight="1"/>
    <row r="27026" ht="12" customHeight="1"/>
    <row r="27027" ht="12" customHeight="1"/>
    <row r="27028" ht="12" customHeight="1"/>
    <row r="27029" ht="12" customHeight="1"/>
    <row r="27030" ht="12" customHeight="1"/>
    <row r="27031" ht="12" customHeight="1"/>
    <row r="27032" ht="12" customHeight="1"/>
    <row r="27033" ht="12" customHeight="1"/>
    <row r="27034" ht="12" customHeight="1"/>
    <row r="27035" ht="12" customHeight="1"/>
    <row r="27036" ht="12" customHeight="1"/>
    <row r="27037" ht="12" customHeight="1"/>
    <row r="27038" ht="12" customHeight="1"/>
    <row r="27039" ht="12" customHeight="1"/>
    <row r="27040" ht="12" customHeight="1"/>
    <row r="27041" ht="12" customHeight="1"/>
    <row r="27042" ht="12" customHeight="1"/>
    <row r="27043" ht="12" customHeight="1"/>
    <row r="27044" ht="12" customHeight="1"/>
    <row r="27045" ht="12" customHeight="1"/>
    <row r="27046" ht="12" customHeight="1"/>
    <row r="27047" ht="12" customHeight="1"/>
    <row r="27048" ht="12" customHeight="1"/>
    <row r="27049" ht="12" customHeight="1"/>
    <row r="27050" ht="12" customHeight="1"/>
    <row r="27051" ht="12" customHeight="1"/>
    <row r="27052" ht="12" customHeight="1"/>
    <row r="27053" ht="12" customHeight="1"/>
    <row r="27054" ht="12" customHeight="1"/>
    <row r="27055" ht="12" customHeight="1"/>
    <row r="27056" ht="12" customHeight="1"/>
    <row r="27057" ht="12" customHeight="1"/>
    <row r="27058" ht="12" customHeight="1"/>
    <row r="27059" ht="12" customHeight="1"/>
    <row r="27060" ht="12" customHeight="1"/>
    <row r="27061" ht="12" customHeight="1"/>
    <row r="27062" ht="12" customHeight="1"/>
    <row r="27063" ht="12" customHeight="1"/>
    <row r="27064" ht="12" customHeight="1"/>
    <row r="27065" ht="12" customHeight="1"/>
    <row r="27066" ht="12" customHeight="1"/>
    <row r="27067" ht="12" customHeight="1"/>
    <row r="27068" ht="12" customHeight="1"/>
    <row r="27069" ht="12" customHeight="1"/>
    <row r="27070" ht="12" customHeight="1"/>
    <row r="27071" ht="12" customHeight="1"/>
    <row r="27072" ht="12" customHeight="1"/>
    <row r="27073" ht="12" customHeight="1"/>
    <row r="27074" ht="12" customHeight="1"/>
    <row r="27075" ht="12" customHeight="1"/>
    <row r="27076" ht="12" customHeight="1"/>
    <row r="27077" ht="12" customHeight="1"/>
    <row r="27078" ht="12" customHeight="1"/>
    <row r="27079" ht="12" customHeight="1"/>
    <row r="27080" ht="12" customHeight="1"/>
    <row r="27081" ht="12" customHeight="1"/>
    <row r="27082" ht="12" customHeight="1"/>
    <row r="27083" ht="12" customHeight="1"/>
    <row r="27084" ht="12" customHeight="1"/>
    <row r="27085" ht="12" customHeight="1"/>
    <row r="27086" ht="12" customHeight="1"/>
    <row r="27087" ht="12" customHeight="1"/>
    <row r="27088" ht="12" customHeight="1"/>
    <row r="27089" ht="12" customHeight="1"/>
    <row r="27090" ht="12" customHeight="1"/>
    <row r="27091" ht="12" customHeight="1"/>
    <row r="27092" ht="12" customHeight="1"/>
    <row r="27093" ht="12" customHeight="1"/>
    <row r="27094" ht="12" customHeight="1"/>
    <row r="27095" ht="12" customHeight="1"/>
    <row r="27096" ht="12" customHeight="1"/>
    <row r="27097" ht="12" customHeight="1"/>
    <row r="27098" ht="12" customHeight="1"/>
    <row r="27099" ht="12" customHeight="1"/>
    <row r="27100" ht="12" customHeight="1"/>
    <row r="27101" ht="12" customHeight="1"/>
    <row r="27102" ht="12" customHeight="1"/>
    <row r="27103" ht="12" customHeight="1"/>
    <row r="27104" ht="12" customHeight="1"/>
    <row r="27105" ht="12" customHeight="1"/>
    <row r="27106" ht="12" customHeight="1"/>
    <row r="27107" ht="12" customHeight="1"/>
    <row r="27108" ht="12" customHeight="1"/>
    <row r="27109" ht="12" customHeight="1"/>
    <row r="27110" ht="12" customHeight="1"/>
    <row r="27111" ht="12" customHeight="1"/>
    <row r="27112" ht="12" customHeight="1"/>
    <row r="27113" ht="12" customHeight="1"/>
    <row r="27114" ht="12" customHeight="1"/>
    <row r="27115" ht="12" customHeight="1"/>
    <row r="27116" ht="12" customHeight="1"/>
    <row r="27117" ht="12" customHeight="1"/>
    <row r="27118" ht="12" customHeight="1"/>
    <row r="27119" ht="12" customHeight="1"/>
    <row r="27120" ht="12" customHeight="1"/>
    <row r="27121" ht="12" customHeight="1"/>
    <row r="27122" ht="12" customHeight="1"/>
    <row r="27123" ht="12" customHeight="1"/>
    <row r="27124" ht="12" customHeight="1"/>
    <row r="27125" ht="12" customHeight="1"/>
    <row r="27126" ht="12" customHeight="1"/>
    <row r="27127" ht="12" customHeight="1"/>
    <row r="27128" ht="12" customHeight="1"/>
    <row r="27129" ht="12" customHeight="1"/>
    <row r="27130" ht="12" customHeight="1"/>
    <row r="27131" ht="12" customHeight="1"/>
    <row r="27132" ht="12" customHeight="1"/>
    <row r="27133" ht="12" customHeight="1"/>
    <row r="27134" ht="12" customHeight="1"/>
    <row r="27135" ht="12" customHeight="1"/>
    <row r="27136" ht="12" customHeight="1"/>
    <row r="27137" ht="12" customHeight="1"/>
    <row r="27138" ht="12" customHeight="1"/>
    <row r="27139" ht="12" customHeight="1"/>
    <row r="27140" ht="12" customHeight="1"/>
    <row r="27141" ht="12" customHeight="1"/>
    <row r="27142" ht="12" customHeight="1"/>
    <row r="27143" ht="12" customHeight="1"/>
    <row r="27144" ht="12" customHeight="1"/>
    <row r="27145" ht="12" customHeight="1"/>
    <row r="27146" ht="12" customHeight="1"/>
    <row r="27147" ht="12" customHeight="1"/>
    <row r="27148" ht="12" customHeight="1"/>
    <row r="27149" ht="12" customHeight="1"/>
    <row r="27150" ht="12" customHeight="1"/>
    <row r="27151" ht="12" customHeight="1"/>
    <row r="27152" ht="12" customHeight="1"/>
    <row r="27153" ht="12" customHeight="1"/>
    <row r="27154" ht="12" customHeight="1"/>
    <row r="27155" ht="12" customHeight="1"/>
    <row r="27156" ht="12" customHeight="1"/>
    <row r="27157" ht="12" customHeight="1"/>
    <row r="27158" ht="12" customHeight="1"/>
    <row r="27159" ht="12" customHeight="1"/>
    <row r="27160" ht="12" customHeight="1"/>
    <row r="27161" ht="12" customHeight="1"/>
    <row r="27162" ht="12" customHeight="1"/>
    <row r="27163" ht="12" customHeight="1"/>
    <row r="27164" ht="12" customHeight="1"/>
    <row r="27165" ht="12" customHeight="1"/>
    <row r="27166" ht="12" customHeight="1"/>
    <row r="27167" ht="12" customHeight="1"/>
    <row r="27168" ht="12" customHeight="1"/>
    <row r="27169" ht="12" customHeight="1"/>
    <row r="27170" ht="12" customHeight="1"/>
    <row r="27171" ht="12" customHeight="1"/>
    <row r="27172" ht="12" customHeight="1"/>
    <row r="27173" ht="12" customHeight="1"/>
    <row r="27174" ht="12" customHeight="1"/>
    <row r="27175" ht="12" customHeight="1"/>
    <row r="27176" ht="12" customHeight="1"/>
    <row r="27177" ht="12" customHeight="1"/>
    <row r="27178" ht="12" customHeight="1"/>
    <row r="27179" ht="12" customHeight="1"/>
    <row r="27180" ht="12" customHeight="1"/>
    <row r="27181" ht="12" customHeight="1"/>
    <row r="27182" ht="12" customHeight="1"/>
    <row r="27183" ht="12" customHeight="1"/>
    <row r="27184" ht="12" customHeight="1"/>
    <row r="27185" ht="12" customHeight="1"/>
    <row r="27186" ht="12" customHeight="1"/>
    <row r="27187" ht="12" customHeight="1"/>
    <row r="27188" ht="12" customHeight="1"/>
    <row r="27189" ht="12" customHeight="1"/>
    <row r="27190" ht="12" customHeight="1"/>
    <row r="27191" ht="12" customHeight="1"/>
    <row r="27192" ht="12" customHeight="1"/>
    <row r="27193" ht="12" customHeight="1"/>
    <row r="27194" ht="12" customHeight="1"/>
    <row r="27195" ht="12" customHeight="1"/>
    <row r="27196" ht="12" customHeight="1"/>
    <row r="27197" ht="12" customHeight="1"/>
    <row r="27198" ht="12" customHeight="1"/>
    <row r="27199" ht="12" customHeight="1"/>
    <row r="27200" ht="12" customHeight="1"/>
    <row r="27201" ht="12" customHeight="1"/>
    <row r="27202" ht="12" customHeight="1"/>
    <row r="27203" ht="12" customHeight="1"/>
    <row r="27204" ht="12" customHeight="1"/>
    <row r="27205" ht="12" customHeight="1"/>
    <row r="27206" ht="12" customHeight="1"/>
    <row r="27207" ht="12" customHeight="1"/>
    <row r="27208" ht="12" customHeight="1"/>
    <row r="27209" ht="12" customHeight="1"/>
    <row r="27210" ht="12" customHeight="1"/>
    <row r="27211" ht="12" customHeight="1"/>
    <row r="27212" ht="12" customHeight="1"/>
    <row r="27213" ht="12" customHeight="1"/>
    <row r="27214" ht="12" customHeight="1"/>
    <row r="27215" ht="12" customHeight="1"/>
    <row r="27216" ht="12" customHeight="1"/>
    <row r="27217" ht="12" customHeight="1"/>
    <row r="27218" ht="12" customHeight="1"/>
    <row r="27219" ht="12" customHeight="1"/>
    <row r="27220" ht="12" customHeight="1"/>
    <row r="27221" ht="12" customHeight="1"/>
    <row r="27222" ht="12" customHeight="1"/>
    <row r="27223" ht="12" customHeight="1"/>
    <row r="27224" ht="12" customHeight="1"/>
    <row r="27225" ht="12" customHeight="1"/>
    <row r="27226" ht="12" customHeight="1"/>
    <row r="27227" ht="12" customHeight="1"/>
    <row r="27228" ht="12" customHeight="1"/>
    <row r="27229" ht="12" customHeight="1"/>
    <row r="27230" ht="12" customHeight="1"/>
    <row r="27231" ht="12" customHeight="1"/>
    <row r="27232" ht="12" customHeight="1"/>
    <row r="27233" ht="12" customHeight="1"/>
    <row r="27234" ht="12" customHeight="1"/>
    <row r="27235" ht="12" customHeight="1"/>
    <row r="27236" ht="12" customHeight="1"/>
    <row r="27237" ht="12" customHeight="1"/>
    <row r="27238" ht="12" customHeight="1"/>
    <row r="27239" ht="12" customHeight="1"/>
    <row r="27240" ht="12" customHeight="1"/>
    <row r="27241" ht="12" customHeight="1"/>
    <row r="27242" ht="12" customHeight="1"/>
    <row r="27243" ht="12" customHeight="1"/>
    <row r="27244" ht="12" customHeight="1"/>
    <row r="27245" ht="12" customHeight="1"/>
    <row r="27246" ht="12" customHeight="1"/>
    <row r="27247" ht="12" customHeight="1"/>
    <row r="27248" ht="12" customHeight="1"/>
    <row r="27249" ht="12" customHeight="1"/>
    <row r="27250" ht="12" customHeight="1"/>
    <row r="27251" ht="12" customHeight="1"/>
    <row r="27252" ht="12" customHeight="1"/>
    <row r="27253" ht="12" customHeight="1"/>
    <row r="27254" ht="12" customHeight="1"/>
    <row r="27255" ht="12" customHeight="1"/>
    <row r="27256" ht="12" customHeight="1"/>
    <row r="27257" ht="12" customHeight="1"/>
    <row r="27258" ht="12" customHeight="1"/>
    <row r="27259" ht="12" customHeight="1"/>
    <row r="27260" ht="12" customHeight="1"/>
    <row r="27261" ht="12" customHeight="1"/>
    <row r="27262" ht="12" customHeight="1"/>
    <row r="27263" ht="12" customHeight="1"/>
    <row r="27264" ht="12" customHeight="1"/>
    <row r="27265" ht="12" customHeight="1"/>
    <row r="27266" ht="12" customHeight="1"/>
    <row r="27267" ht="12" customHeight="1"/>
    <row r="27268" ht="12" customHeight="1"/>
    <row r="27269" ht="12" customHeight="1"/>
    <row r="27270" ht="12" customHeight="1"/>
    <row r="27271" ht="12" customHeight="1"/>
    <row r="27272" ht="12" customHeight="1"/>
    <row r="27273" ht="12" customHeight="1"/>
    <row r="27274" ht="12" customHeight="1"/>
    <row r="27275" ht="12" customHeight="1"/>
    <row r="27276" ht="12" customHeight="1"/>
    <row r="27277" ht="12" customHeight="1"/>
    <row r="27278" ht="12" customHeight="1"/>
    <row r="27279" ht="12" customHeight="1"/>
    <row r="27280" ht="12" customHeight="1"/>
    <row r="27281" ht="12" customHeight="1"/>
    <row r="27282" ht="12" customHeight="1"/>
    <row r="27283" ht="12" customHeight="1"/>
    <row r="27284" ht="12" customHeight="1"/>
    <row r="27285" ht="12" customHeight="1"/>
    <row r="27286" ht="12" customHeight="1"/>
    <row r="27287" ht="12" customHeight="1"/>
    <row r="27288" ht="12" customHeight="1"/>
    <row r="27289" ht="12" customHeight="1"/>
    <row r="27290" ht="12" customHeight="1"/>
    <row r="27291" ht="12" customHeight="1"/>
    <row r="27292" ht="12" customHeight="1"/>
    <row r="27293" ht="12" customHeight="1"/>
    <row r="27294" ht="12" customHeight="1"/>
    <row r="27295" ht="12" customHeight="1"/>
    <row r="27296" ht="12" customHeight="1"/>
    <row r="27297" ht="12" customHeight="1"/>
    <row r="27298" ht="12" customHeight="1"/>
    <row r="27299" ht="12" customHeight="1"/>
    <row r="27300" ht="12" customHeight="1"/>
    <row r="27301" ht="12" customHeight="1"/>
    <row r="27302" ht="12" customHeight="1"/>
    <row r="27303" ht="12" customHeight="1"/>
    <row r="27304" ht="12" customHeight="1"/>
    <row r="27305" ht="12" customHeight="1"/>
    <row r="27306" ht="12" customHeight="1"/>
    <row r="27307" ht="12" customHeight="1"/>
    <row r="27308" ht="12" customHeight="1"/>
    <row r="27309" ht="12" customHeight="1"/>
    <row r="27310" ht="12" customHeight="1"/>
    <row r="27311" ht="12" customHeight="1"/>
    <row r="27312" ht="12" customHeight="1"/>
    <row r="27313" ht="12" customHeight="1"/>
    <row r="27314" ht="12" customHeight="1"/>
    <row r="27315" ht="12" customHeight="1"/>
    <row r="27316" ht="12" customHeight="1"/>
    <row r="27317" ht="12" customHeight="1"/>
    <row r="27318" ht="12" customHeight="1"/>
    <row r="27319" ht="12" customHeight="1"/>
    <row r="27320" ht="12" customHeight="1"/>
    <row r="27321" ht="12" customHeight="1"/>
    <row r="27322" ht="12" customHeight="1"/>
    <row r="27323" ht="12" customHeight="1"/>
    <row r="27324" ht="12" customHeight="1"/>
    <row r="27325" ht="12" customHeight="1"/>
    <row r="27326" ht="12" customHeight="1"/>
    <row r="27327" ht="12" customHeight="1"/>
    <row r="27328" ht="12" customHeight="1"/>
    <row r="27329" ht="12" customHeight="1"/>
    <row r="27330" ht="12" customHeight="1"/>
    <row r="27331" ht="12" customHeight="1"/>
    <row r="27332" ht="12" customHeight="1"/>
    <row r="27333" ht="12" customHeight="1"/>
    <row r="27334" ht="12" customHeight="1"/>
    <row r="27335" ht="12" customHeight="1"/>
    <row r="27336" ht="12" customHeight="1"/>
    <row r="27337" ht="12" customHeight="1"/>
    <row r="27338" ht="12" customHeight="1"/>
    <row r="27339" ht="12" customHeight="1"/>
    <row r="27340" ht="12" customHeight="1"/>
    <row r="27341" ht="12" customHeight="1"/>
    <row r="27342" ht="12" customHeight="1"/>
    <row r="27343" ht="12" customHeight="1"/>
    <row r="27344" ht="12" customHeight="1"/>
    <row r="27345" ht="12" customHeight="1"/>
    <row r="27346" ht="12" customHeight="1"/>
    <row r="27347" ht="12" customHeight="1"/>
    <row r="27348" ht="12" customHeight="1"/>
    <row r="27349" ht="12" customHeight="1"/>
    <row r="27350" ht="12" customHeight="1"/>
    <row r="27351" ht="12" customHeight="1"/>
    <row r="27352" ht="12" customHeight="1"/>
    <row r="27353" ht="12" customHeight="1"/>
    <row r="27354" ht="12" customHeight="1"/>
    <row r="27355" ht="12" customHeight="1"/>
    <row r="27356" ht="12" customHeight="1"/>
    <row r="27357" ht="12" customHeight="1"/>
    <row r="27358" ht="12" customHeight="1"/>
    <row r="27359" ht="12" customHeight="1"/>
    <row r="27360" ht="12" customHeight="1"/>
    <row r="27361" ht="12" customHeight="1"/>
    <row r="27362" ht="12" customHeight="1"/>
    <row r="27363" ht="12" customHeight="1"/>
    <row r="27364" ht="12" customHeight="1"/>
    <row r="27365" ht="12" customHeight="1"/>
    <row r="27366" ht="12" customHeight="1"/>
    <row r="27367" ht="12" customHeight="1"/>
    <row r="27368" ht="12" customHeight="1"/>
    <row r="27369" ht="12" customHeight="1"/>
    <row r="27370" ht="12" customHeight="1"/>
    <row r="27371" ht="12" customHeight="1"/>
    <row r="27372" ht="12" customHeight="1"/>
    <row r="27373" ht="12" customHeight="1"/>
    <row r="27374" ht="12" customHeight="1"/>
    <row r="27375" ht="12" customHeight="1"/>
    <row r="27376" ht="12" customHeight="1"/>
    <row r="27377" ht="12" customHeight="1"/>
    <row r="27378" ht="12" customHeight="1"/>
    <row r="27379" ht="12" customHeight="1"/>
    <row r="27380" ht="12" customHeight="1"/>
    <row r="27381" ht="12" customHeight="1"/>
    <row r="27382" ht="12" customHeight="1"/>
    <row r="27383" ht="12" customHeight="1"/>
    <row r="27384" ht="12" customHeight="1"/>
    <row r="27385" ht="12" customHeight="1"/>
    <row r="27386" ht="12" customHeight="1"/>
    <row r="27387" ht="12" customHeight="1"/>
    <row r="27388" ht="12" customHeight="1"/>
    <row r="27389" ht="12" customHeight="1"/>
    <row r="27390" ht="12" customHeight="1"/>
    <row r="27391" ht="12" customHeight="1"/>
    <row r="27392" ht="12" customHeight="1"/>
    <row r="27393" ht="12" customHeight="1"/>
    <row r="27394" ht="12" customHeight="1"/>
    <row r="27395" ht="12" customHeight="1"/>
    <row r="27396" ht="12" customHeight="1"/>
    <row r="27397" ht="12" customHeight="1"/>
    <row r="27398" ht="12" customHeight="1"/>
    <row r="27399" ht="12" customHeight="1"/>
    <row r="27400" ht="12" customHeight="1"/>
    <row r="27401" ht="12" customHeight="1"/>
    <row r="27402" ht="12" customHeight="1"/>
    <row r="27403" ht="12" customHeight="1"/>
    <row r="27404" ht="12" customHeight="1"/>
    <row r="27405" ht="12" customHeight="1"/>
    <row r="27406" ht="12" customHeight="1"/>
    <row r="27407" ht="12" customHeight="1"/>
    <row r="27408" ht="12" customHeight="1"/>
    <row r="27409" ht="12" customHeight="1"/>
    <row r="27410" ht="12" customHeight="1"/>
    <row r="27411" ht="12" customHeight="1"/>
    <row r="27412" ht="12" customHeight="1"/>
    <row r="27413" ht="12" customHeight="1"/>
    <row r="27414" ht="12" customHeight="1"/>
    <row r="27415" ht="12" customHeight="1"/>
    <row r="27416" ht="12" customHeight="1"/>
    <row r="27417" ht="12" customHeight="1"/>
    <row r="27418" ht="12" customHeight="1"/>
    <row r="27419" ht="12" customHeight="1"/>
    <row r="27420" ht="12" customHeight="1"/>
    <row r="27421" ht="12" customHeight="1"/>
    <row r="27422" ht="12" customHeight="1"/>
    <row r="27423" ht="12" customHeight="1"/>
    <row r="27424" ht="12" customHeight="1"/>
    <row r="27425" ht="12" customHeight="1"/>
    <row r="27426" ht="12" customHeight="1"/>
    <row r="27427" ht="12" customHeight="1"/>
    <row r="27428" ht="12" customHeight="1"/>
    <row r="27429" ht="12" customHeight="1"/>
    <row r="27430" ht="12" customHeight="1"/>
    <row r="27431" ht="12" customHeight="1"/>
    <row r="27432" ht="12" customHeight="1"/>
    <row r="27433" ht="12" customHeight="1"/>
    <row r="27434" ht="12" customHeight="1"/>
    <row r="27435" ht="12" customHeight="1"/>
    <row r="27436" ht="12" customHeight="1"/>
    <row r="27437" ht="12" customHeight="1"/>
    <row r="27438" ht="12" customHeight="1"/>
    <row r="27439" ht="12" customHeight="1"/>
    <row r="27440" ht="12" customHeight="1"/>
    <row r="27441" ht="12" customHeight="1"/>
    <row r="27442" ht="12" customHeight="1"/>
    <row r="27443" ht="12" customHeight="1"/>
    <row r="27444" ht="12" customHeight="1"/>
    <row r="27445" ht="12" customHeight="1"/>
    <row r="27446" ht="12" customHeight="1"/>
    <row r="27447" ht="12" customHeight="1"/>
    <row r="27448" ht="12" customHeight="1"/>
    <row r="27449" ht="12" customHeight="1"/>
    <row r="27450" ht="12" customHeight="1"/>
    <row r="27451" ht="12" customHeight="1"/>
    <row r="27452" ht="12" customHeight="1"/>
    <row r="27453" ht="12" customHeight="1"/>
    <row r="27454" ht="12" customHeight="1"/>
    <row r="27455" ht="12" customHeight="1"/>
    <row r="27456" ht="12" customHeight="1"/>
    <row r="27457" ht="12" customHeight="1"/>
    <row r="27458" ht="12" customHeight="1"/>
    <row r="27459" ht="12" customHeight="1"/>
    <row r="27460" ht="12" customHeight="1"/>
    <row r="27461" ht="12" customHeight="1"/>
    <row r="27462" ht="12" customHeight="1"/>
    <row r="27463" ht="12" customHeight="1"/>
    <row r="27464" ht="12" customHeight="1"/>
    <row r="27465" ht="12" customHeight="1"/>
    <row r="27466" ht="12" customHeight="1"/>
    <row r="27467" ht="12" customHeight="1"/>
    <row r="27468" ht="12" customHeight="1"/>
    <row r="27469" ht="12" customHeight="1"/>
    <row r="27470" ht="12" customHeight="1"/>
    <row r="27471" ht="12" customHeight="1"/>
    <row r="27472" ht="12" customHeight="1"/>
    <row r="27473" ht="12" customHeight="1"/>
    <row r="27474" ht="12" customHeight="1"/>
    <row r="27475" ht="12" customHeight="1"/>
    <row r="27476" ht="12" customHeight="1"/>
    <row r="27477" ht="12" customHeight="1"/>
    <row r="27478" ht="12" customHeight="1"/>
    <row r="27479" ht="12" customHeight="1"/>
    <row r="27480" ht="12" customHeight="1"/>
    <row r="27481" ht="12" customHeight="1"/>
    <row r="27482" ht="12" customHeight="1"/>
    <row r="27483" ht="12" customHeight="1"/>
    <row r="27484" ht="12" customHeight="1"/>
    <row r="27485" ht="12" customHeight="1"/>
    <row r="27486" ht="12" customHeight="1"/>
    <row r="27487" ht="12" customHeight="1"/>
    <row r="27488" ht="12" customHeight="1"/>
    <row r="27489" ht="12" customHeight="1"/>
    <row r="27490" ht="12" customHeight="1"/>
    <row r="27491" ht="12" customHeight="1"/>
    <row r="27492" ht="12" customHeight="1"/>
    <row r="27493" ht="12" customHeight="1"/>
    <row r="27494" ht="12" customHeight="1"/>
    <row r="27495" ht="12" customHeight="1"/>
    <row r="27496" ht="12" customHeight="1"/>
    <row r="27497" ht="12" customHeight="1"/>
    <row r="27498" ht="12" customHeight="1"/>
    <row r="27499" ht="12" customHeight="1"/>
    <row r="27500" ht="12" customHeight="1"/>
    <row r="27501" ht="12" customHeight="1"/>
    <row r="27502" ht="12" customHeight="1"/>
    <row r="27503" ht="12" customHeight="1"/>
    <row r="27504" ht="12" customHeight="1"/>
    <row r="27505" ht="12" customHeight="1"/>
    <row r="27506" ht="12" customHeight="1"/>
    <row r="27507" ht="12" customHeight="1"/>
    <row r="27508" ht="12" customHeight="1"/>
    <row r="27509" ht="12" customHeight="1"/>
    <row r="27510" ht="12" customHeight="1"/>
    <row r="27511" ht="12" customHeight="1"/>
    <row r="27512" ht="12" customHeight="1"/>
    <row r="27513" ht="12" customHeight="1"/>
    <row r="27514" ht="12" customHeight="1"/>
    <row r="27515" ht="12" customHeight="1"/>
    <row r="27516" ht="12" customHeight="1"/>
    <row r="27517" ht="12" customHeight="1"/>
    <row r="27518" ht="12" customHeight="1"/>
    <row r="27519" ht="12" customHeight="1"/>
    <row r="27520" ht="12" customHeight="1"/>
    <row r="27521" ht="12" customHeight="1"/>
    <row r="27522" ht="12" customHeight="1"/>
    <row r="27523" ht="12" customHeight="1"/>
    <row r="27524" ht="12" customHeight="1"/>
    <row r="27525" ht="12" customHeight="1"/>
    <row r="27526" ht="12" customHeight="1"/>
    <row r="27527" ht="12" customHeight="1"/>
    <row r="27528" ht="12" customHeight="1"/>
    <row r="27529" ht="12" customHeight="1"/>
    <row r="27530" ht="12" customHeight="1"/>
    <row r="27531" ht="12" customHeight="1"/>
    <row r="27532" ht="12" customHeight="1"/>
    <row r="27533" ht="12" customHeight="1"/>
    <row r="27534" ht="12" customHeight="1"/>
    <row r="27535" ht="12" customHeight="1"/>
    <row r="27536" ht="12" customHeight="1"/>
    <row r="27537" ht="12" customHeight="1"/>
    <row r="27538" ht="12" customHeight="1"/>
    <row r="27539" ht="12" customHeight="1"/>
    <row r="27540" ht="12" customHeight="1"/>
    <row r="27541" ht="12" customHeight="1"/>
    <row r="27542" ht="12" customHeight="1"/>
    <row r="27543" ht="12" customHeight="1"/>
    <row r="27544" ht="12" customHeight="1"/>
    <row r="27545" ht="12" customHeight="1"/>
    <row r="27546" ht="12" customHeight="1"/>
    <row r="27547" ht="12" customHeight="1"/>
    <row r="27548" ht="12" customHeight="1"/>
    <row r="27549" ht="12" customHeight="1"/>
    <row r="27550" ht="12" customHeight="1"/>
    <row r="27551" ht="12" customHeight="1"/>
    <row r="27552" ht="12" customHeight="1"/>
    <row r="27553" ht="12" customHeight="1"/>
    <row r="27554" ht="12" customHeight="1"/>
    <row r="27555" ht="12" customHeight="1"/>
    <row r="27556" ht="12" customHeight="1"/>
    <row r="27557" ht="12" customHeight="1"/>
    <row r="27558" ht="12" customHeight="1"/>
    <row r="27559" ht="12" customHeight="1"/>
    <row r="27560" ht="12" customHeight="1"/>
    <row r="27561" ht="12" customHeight="1"/>
    <row r="27562" ht="12" customHeight="1"/>
    <row r="27563" ht="12" customHeight="1"/>
    <row r="27564" ht="12" customHeight="1"/>
    <row r="27565" ht="12" customHeight="1"/>
    <row r="27566" ht="12" customHeight="1"/>
    <row r="27567" ht="12" customHeight="1"/>
    <row r="27568" ht="12" customHeight="1"/>
    <row r="27569" ht="12" customHeight="1"/>
    <row r="27570" ht="12" customHeight="1"/>
    <row r="27571" ht="12" customHeight="1"/>
    <row r="27572" ht="12" customHeight="1"/>
    <row r="27573" ht="12" customHeight="1"/>
    <row r="27574" ht="12" customHeight="1"/>
    <row r="27575" ht="12" customHeight="1"/>
    <row r="27576" ht="12" customHeight="1"/>
    <row r="27577" ht="12" customHeight="1"/>
    <row r="27578" ht="12" customHeight="1"/>
    <row r="27579" ht="12" customHeight="1"/>
    <row r="27580" ht="12" customHeight="1"/>
    <row r="27581" ht="12" customHeight="1"/>
    <row r="27582" ht="12" customHeight="1"/>
    <row r="27583" ht="12" customHeight="1"/>
    <row r="27584" ht="12" customHeight="1"/>
    <row r="27585" ht="12" customHeight="1"/>
    <row r="27586" ht="12" customHeight="1"/>
    <row r="27587" ht="12" customHeight="1"/>
    <row r="27588" ht="12" customHeight="1"/>
    <row r="27589" ht="12" customHeight="1"/>
    <row r="27590" ht="12" customHeight="1"/>
    <row r="27591" ht="12" customHeight="1"/>
    <row r="27592" ht="12" customHeight="1"/>
    <row r="27593" ht="12" customHeight="1"/>
    <row r="27594" ht="12" customHeight="1"/>
    <row r="27595" ht="12" customHeight="1"/>
    <row r="27596" ht="12" customHeight="1"/>
    <row r="27597" ht="12" customHeight="1"/>
    <row r="27598" ht="12" customHeight="1"/>
    <row r="27599" ht="12" customHeight="1"/>
    <row r="27600" ht="12" customHeight="1"/>
    <row r="27601" ht="12" customHeight="1"/>
    <row r="27602" ht="12" customHeight="1"/>
    <row r="27603" ht="12" customHeight="1"/>
    <row r="27604" ht="12" customHeight="1"/>
    <row r="27605" ht="12" customHeight="1"/>
    <row r="27606" ht="12" customHeight="1"/>
    <row r="27607" ht="12" customHeight="1"/>
    <row r="27608" ht="12" customHeight="1"/>
    <row r="27609" ht="12" customHeight="1"/>
    <row r="27610" ht="12" customHeight="1"/>
    <row r="27611" ht="12" customHeight="1"/>
    <row r="27612" ht="12" customHeight="1"/>
    <row r="27613" ht="12" customHeight="1"/>
    <row r="27614" ht="12" customHeight="1"/>
    <row r="27615" ht="12" customHeight="1"/>
    <row r="27616" ht="12" customHeight="1"/>
    <row r="27617" ht="12" customHeight="1"/>
    <row r="27618" ht="12" customHeight="1"/>
    <row r="27619" ht="12" customHeight="1"/>
    <row r="27620" ht="12" customHeight="1"/>
    <row r="27621" ht="12" customHeight="1"/>
    <row r="27622" ht="12" customHeight="1"/>
    <row r="27623" ht="12" customHeight="1"/>
    <row r="27624" ht="12" customHeight="1"/>
    <row r="27625" ht="12" customHeight="1"/>
    <row r="27626" ht="12" customHeight="1"/>
    <row r="27627" ht="12" customHeight="1"/>
    <row r="27628" ht="12" customHeight="1"/>
    <row r="27629" ht="12" customHeight="1"/>
    <row r="27630" ht="12" customHeight="1"/>
    <row r="27631" ht="12" customHeight="1"/>
    <row r="27632" ht="12" customHeight="1"/>
    <row r="27633" ht="12" customHeight="1"/>
    <row r="27634" ht="12" customHeight="1"/>
    <row r="27635" ht="12" customHeight="1"/>
    <row r="27636" ht="12" customHeight="1"/>
    <row r="27637" ht="12" customHeight="1"/>
    <row r="27638" ht="12" customHeight="1"/>
    <row r="27639" ht="12" customHeight="1"/>
    <row r="27640" ht="12" customHeight="1"/>
    <row r="27641" ht="12" customHeight="1"/>
    <row r="27642" ht="12" customHeight="1"/>
    <row r="27643" ht="12" customHeight="1"/>
    <row r="27644" ht="12" customHeight="1"/>
    <row r="27645" ht="12" customHeight="1"/>
    <row r="27646" ht="12" customHeight="1"/>
    <row r="27647" ht="12" customHeight="1"/>
    <row r="27648" ht="12" customHeight="1"/>
    <row r="27649" ht="12" customHeight="1"/>
    <row r="27650" ht="12" customHeight="1"/>
    <row r="27651" ht="12" customHeight="1"/>
    <row r="27652" ht="12" customHeight="1"/>
    <row r="27653" ht="12" customHeight="1"/>
    <row r="27654" ht="12" customHeight="1"/>
    <row r="27655" ht="12" customHeight="1"/>
    <row r="27656" ht="12" customHeight="1"/>
    <row r="27657" ht="12" customHeight="1"/>
    <row r="27658" ht="12" customHeight="1"/>
    <row r="27659" ht="12" customHeight="1"/>
    <row r="27660" ht="12" customHeight="1"/>
    <row r="27661" ht="12" customHeight="1"/>
    <row r="27662" ht="12" customHeight="1"/>
    <row r="27663" ht="12" customHeight="1"/>
    <row r="27664" ht="12" customHeight="1"/>
    <row r="27665" ht="12" customHeight="1"/>
    <row r="27666" ht="12" customHeight="1"/>
    <row r="27667" ht="12" customHeight="1"/>
    <row r="27668" ht="12" customHeight="1"/>
    <row r="27669" ht="12" customHeight="1"/>
    <row r="27670" ht="12" customHeight="1"/>
    <row r="27671" ht="12" customHeight="1"/>
    <row r="27672" ht="12" customHeight="1"/>
    <row r="27673" ht="12" customHeight="1"/>
    <row r="27674" ht="12" customHeight="1"/>
    <row r="27675" ht="12" customHeight="1"/>
    <row r="27676" ht="12" customHeight="1"/>
    <row r="27677" ht="12" customHeight="1"/>
    <row r="27678" ht="12" customHeight="1"/>
    <row r="27679" ht="12" customHeight="1"/>
    <row r="27680" ht="12" customHeight="1"/>
    <row r="27681" ht="12" customHeight="1"/>
    <row r="27682" ht="12" customHeight="1"/>
    <row r="27683" ht="12" customHeight="1"/>
    <row r="27684" ht="12" customHeight="1"/>
    <row r="27685" ht="12" customHeight="1"/>
    <row r="27686" ht="12" customHeight="1"/>
    <row r="27687" ht="12" customHeight="1"/>
    <row r="27688" ht="12" customHeight="1"/>
    <row r="27689" ht="12" customHeight="1"/>
    <row r="27690" ht="12" customHeight="1"/>
    <row r="27691" ht="12" customHeight="1"/>
    <row r="27692" ht="12" customHeight="1"/>
    <row r="27693" ht="12" customHeight="1"/>
    <row r="27694" ht="12" customHeight="1"/>
    <row r="27695" ht="12" customHeight="1"/>
    <row r="27696" ht="12" customHeight="1"/>
    <row r="27697" ht="12" customHeight="1"/>
    <row r="27698" ht="12" customHeight="1"/>
    <row r="27699" ht="12" customHeight="1"/>
    <row r="27700" ht="12" customHeight="1"/>
    <row r="27701" ht="12" customHeight="1"/>
    <row r="27702" ht="12" customHeight="1"/>
    <row r="27703" ht="12" customHeight="1"/>
    <row r="27704" ht="12" customHeight="1"/>
    <row r="27705" ht="12" customHeight="1"/>
    <row r="27706" ht="12" customHeight="1"/>
    <row r="27707" ht="12" customHeight="1"/>
    <row r="27708" ht="12" customHeight="1"/>
    <row r="27709" ht="12" customHeight="1"/>
    <row r="27710" ht="12" customHeight="1"/>
    <row r="27711" ht="12" customHeight="1"/>
    <row r="27712" ht="12" customHeight="1"/>
    <row r="27713" ht="12" customHeight="1"/>
    <row r="27714" ht="12" customHeight="1"/>
    <row r="27715" ht="12" customHeight="1"/>
    <row r="27716" ht="12" customHeight="1"/>
    <row r="27717" ht="12" customHeight="1"/>
    <row r="27718" ht="12" customHeight="1"/>
    <row r="27719" ht="12" customHeight="1"/>
    <row r="27720" ht="12" customHeight="1"/>
    <row r="27721" ht="12" customHeight="1"/>
    <row r="27722" ht="12" customHeight="1"/>
    <row r="27723" ht="12" customHeight="1"/>
    <row r="27724" ht="12" customHeight="1"/>
    <row r="27725" ht="12" customHeight="1"/>
    <row r="27726" ht="12" customHeight="1"/>
    <row r="27727" ht="12" customHeight="1"/>
    <row r="27728" ht="12" customHeight="1"/>
    <row r="27729" ht="12" customHeight="1"/>
    <row r="27730" ht="12" customHeight="1"/>
    <row r="27731" ht="12" customHeight="1"/>
    <row r="27732" ht="12" customHeight="1"/>
    <row r="27733" ht="12" customHeight="1"/>
    <row r="27734" ht="12" customHeight="1"/>
    <row r="27735" ht="12" customHeight="1"/>
    <row r="27736" ht="12" customHeight="1"/>
    <row r="27737" ht="12" customHeight="1"/>
    <row r="27738" ht="12" customHeight="1"/>
    <row r="27739" ht="12" customHeight="1"/>
    <row r="27740" ht="12" customHeight="1"/>
    <row r="27741" ht="12" customHeight="1"/>
    <row r="27742" ht="12" customHeight="1"/>
    <row r="27743" ht="12" customHeight="1"/>
    <row r="27744" ht="12" customHeight="1"/>
    <row r="27745" ht="12" customHeight="1"/>
    <row r="27746" ht="12" customHeight="1"/>
    <row r="27747" ht="12" customHeight="1"/>
    <row r="27748" ht="12" customHeight="1"/>
    <row r="27749" ht="12" customHeight="1"/>
    <row r="27750" ht="12" customHeight="1"/>
    <row r="27751" ht="12" customHeight="1"/>
    <row r="27752" ht="12" customHeight="1"/>
    <row r="27753" ht="12" customHeight="1"/>
    <row r="27754" ht="12" customHeight="1"/>
    <row r="27755" ht="12" customHeight="1"/>
    <row r="27756" ht="12" customHeight="1"/>
    <row r="27757" ht="12" customHeight="1"/>
    <row r="27758" ht="12" customHeight="1"/>
    <row r="27759" ht="12" customHeight="1"/>
    <row r="27760" ht="12" customHeight="1"/>
    <row r="27761" ht="12" customHeight="1"/>
    <row r="27762" ht="12" customHeight="1"/>
    <row r="27763" ht="12" customHeight="1"/>
    <row r="27764" ht="12" customHeight="1"/>
    <row r="27765" ht="12" customHeight="1"/>
    <row r="27766" ht="12" customHeight="1"/>
    <row r="27767" ht="12" customHeight="1"/>
    <row r="27768" ht="12" customHeight="1"/>
    <row r="27769" ht="12" customHeight="1"/>
    <row r="27770" ht="12" customHeight="1"/>
    <row r="27771" ht="12" customHeight="1"/>
    <row r="27772" ht="12" customHeight="1"/>
    <row r="27773" ht="12" customHeight="1"/>
    <row r="27774" ht="12" customHeight="1"/>
    <row r="27775" ht="12" customHeight="1"/>
    <row r="27776" ht="12" customHeight="1"/>
    <row r="27777" ht="12" customHeight="1"/>
    <row r="27778" ht="12" customHeight="1"/>
    <row r="27779" ht="12" customHeight="1"/>
    <row r="27780" ht="12" customHeight="1"/>
    <row r="27781" ht="12" customHeight="1"/>
    <row r="27782" ht="12" customHeight="1"/>
    <row r="27783" ht="12" customHeight="1"/>
    <row r="27784" ht="12" customHeight="1"/>
    <row r="27785" ht="12" customHeight="1"/>
    <row r="27786" ht="12" customHeight="1"/>
    <row r="27787" ht="12" customHeight="1"/>
    <row r="27788" ht="12" customHeight="1"/>
    <row r="27789" ht="12" customHeight="1"/>
    <row r="27790" ht="12" customHeight="1"/>
    <row r="27791" ht="12" customHeight="1"/>
    <row r="27792" ht="12" customHeight="1"/>
    <row r="27793" ht="12" customHeight="1"/>
    <row r="27794" ht="12" customHeight="1"/>
    <row r="27795" ht="12" customHeight="1"/>
    <row r="27796" ht="12" customHeight="1"/>
    <row r="27797" ht="12" customHeight="1"/>
    <row r="27798" ht="12" customHeight="1"/>
    <row r="27799" ht="12" customHeight="1"/>
    <row r="27800" ht="12" customHeight="1"/>
    <row r="27801" ht="12" customHeight="1"/>
    <row r="27802" ht="12" customHeight="1"/>
    <row r="27803" ht="12" customHeight="1"/>
    <row r="27804" ht="12" customHeight="1"/>
    <row r="27805" ht="12" customHeight="1"/>
    <row r="27806" ht="12" customHeight="1"/>
    <row r="27807" ht="12" customHeight="1"/>
    <row r="27808" ht="12" customHeight="1"/>
    <row r="27809" ht="12" customHeight="1"/>
    <row r="27810" ht="12" customHeight="1"/>
    <row r="27811" ht="12" customHeight="1"/>
    <row r="27812" ht="12" customHeight="1"/>
    <row r="27813" ht="12" customHeight="1"/>
    <row r="27814" ht="12" customHeight="1"/>
    <row r="27815" ht="12" customHeight="1"/>
    <row r="27816" ht="12" customHeight="1"/>
    <row r="27817" ht="12" customHeight="1"/>
    <row r="27818" ht="12" customHeight="1"/>
    <row r="27819" ht="12" customHeight="1"/>
    <row r="27820" ht="12" customHeight="1"/>
    <row r="27821" ht="12" customHeight="1"/>
    <row r="27822" ht="12" customHeight="1"/>
    <row r="27823" ht="12" customHeight="1"/>
    <row r="27824" ht="12" customHeight="1"/>
    <row r="27825" ht="12" customHeight="1"/>
    <row r="27826" ht="12" customHeight="1"/>
    <row r="27827" ht="12" customHeight="1"/>
    <row r="27828" ht="12" customHeight="1"/>
    <row r="27829" ht="12" customHeight="1"/>
    <row r="27830" ht="12" customHeight="1"/>
    <row r="27831" ht="12" customHeight="1"/>
    <row r="27832" ht="12" customHeight="1"/>
    <row r="27833" ht="12" customHeight="1"/>
    <row r="27834" ht="12" customHeight="1"/>
    <row r="27835" ht="12" customHeight="1"/>
    <row r="27836" ht="12" customHeight="1"/>
    <row r="27837" ht="12" customHeight="1"/>
    <row r="27838" ht="12" customHeight="1"/>
    <row r="27839" ht="12" customHeight="1"/>
    <row r="27840" ht="12" customHeight="1"/>
    <row r="27841" ht="12" customHeight="1"/>
    <row r="27842" ht="12" customHeight="1"/>
    <row r="27843" ht="12" customHeight="1"/>
    <row r="27844" ht="12" customHeight="1"/>
    <row r="27845" ht="12" customHeight="1"/>
    <row r="27846" ht="12" customHeight="1"/>
    <row r="27847" ht="12" customHeight="1"/>
    <row r="27848" ht="12" customHeight="1"/>
    <row r="27849" ht="12" customHeight="1"/>
    <row r="27850" ht="12" customHeight="1"/>
    <row r="27851" ht="12" customHeight="1"/>
    <row r="27852" ht="12" customHeight="1"/>
    <row r="27853" ht="12" customHeight="1"/>
    <row r="27854" ht="12" customHeight="1"/>
    <row r="27855" ht="12" customHeight="1"/>
    <row r="27856" ht="12" customHeight="1"/>
    <row r="27857" ht="12" customHeight="1"/>
    <row r="27858" ht="12" customHeight="1"/>
    <row r="27859" ht="12" customHeight="1"/>
    <row r="27860" ht="12" customHeight="1"/>
    <row r="27861" ht="12" customHeight="1"/>
    <row r="27862" ht="12" customHeight="1"/>
    <row r="27863" ht="12" customHeight="1"/>
    <row r="27864" ht="12" customHeight="1"/>
    <row r="27865" ht="12" customHeight="1"/>
    <row r="27866" ht="12" customHeight="1"/>
    <row r="27867" ht="12" customHeight="1"/>
    <row r="27868" ht="12" customHeight="1"/>
    <row r="27869" ht="12" customHeight="1"/>
    <row r="27870" ht="12" customHeight="1"/>
    <row r="27871" ht="12" customHeight="1"/>
    <row r="27872" ht="12" customHeight="1"/>
    <row r="27873" ht="12" customHeight="1"/>
    <row r="27874" ht="12" customHeight="1"/>
    <row r="27875" ht="12" customHeight="1"/>
    <row r="27876" ht="12" customHeight="1"/>
    <row r="27877" ht="12" customHeight="1"/>
    <row r="27878" ht="12" customHeight="1"/>
    <row r="27879" ht="12" customHeight="1"/>
    <row r="27880" ht="12" customHeight="1"/>
    <row r="27881" ht="12" customHeight="1"/>
    <row r="27882" ht="12" customHeight="1"/>
    <row r="27883" ht="12" customHeight="1"/>
    <row r="27884" ht="12" customHeight="1"/>
    <row r="27885" ht="12" customHeight="1"/>
    <row r="27886" ht="12" customHeight="1"/>
    <row r="27887" ht="12" customHeight="1"/>
    <row r="27888" ht="12" customHeight="1"/>
    <row r="27889" ht="12" customHeight="1"/>
    <row r="27890" ht="12" customHeight="1"/>
    <row r="27891" ht="12" customHeight="1"/>
    <row r="27892" ht="12" customHeight="1"/>
    <row r="27893" ht="12" customHeight="1"/>
    <row r="27894" ht="12" customHeight="1"/>
    <row r="27895" ht="12" customHeight="1"/>
    <row r="27896" ht="12" customHeight="1"/>
    <row r="27897" ht="12" customHeight="1"/>
    <row r="27898" ht="12" customHeight="1"/>
    <row r="27899" ht="12" customHeight="1"/>
    <row r="27900" ht="12" customHeight="1"/>
    <row r="27901" ht="12" customHeight="1"/>
    <row r="27902" ht="12" customHeight="1"/>
    <row r="27903" ht="12" customHeight="1"/>
    <row r="27904" ht="12" customHeight="1"/>
    <row r="27905" ht="12" customHeight="1"/>
    <row r="27906" ht="12" customHeight="1"/>
    <row r="27907" ht="12" customHeight="1"/>
    <row r="27908" ht="12" customHeight="1"/>
    <row r="27909" ht="12" customHeight="1"/>
    <row r="27910" ht="12" customHeight="1"/>
    <row r="27911" ht="12" customHeight="1"/>
    <row r="27912" ht="12" customHeight="1"/>
    <row r="27913" ht="12" customHeight="1"/>
    <row r="27914" ht="12" customHeight="1"/>
    <row r="27915" ht="12" customHeight="1"/>
    <row r="27916" ht="12" customHeight="1"/>
    <row r="27917" ht="12" customHeight="1"/>
    <row r="27918" ht="12" customHeight="1"/>
    <row r="27919" ht="12" customHeight="1"/>
    <row r="27920" ht="12" customHeight="1"/>
    <row r="27921" ht="12" customHeight="1"/>
    <row r="27922" ht="12" customHeight="1"/>
    <row r="27923" ht="12" customHeight="1"/>
    <row r="27924" ht="12" customHeight="1"/>
    <row r="27925" ht="12" customHeight="1"/>
    <row r="27926" ht="12" customHeight="1"/>
    <row r="27927" ht="12" customHeight="1"/>
    <row r="27928" ht="12" customHeight="1"/>
    <row r="27929" ht="12" customHeight="1"/>
    <row r="27930" ht="12" customHeight="1"/>
    <row r="27931" ht="12" customHeight="1"/>
    <row r="27932" ht="12" customHeight="1"/>
    <row r="27933" ht="12" customHeight="1"/>
    <row r="27934" ht="12" customHeight="1"/>
    <row r="27935" ht="12" customHeight="1"/>
    <row r="27936" ht="12" customHeight="1"/>
    <row r="27937" ht="12" customHeight="1"/>
    <row r="27938" ht="12" customHeight="1"/>
    <row r="27939" ht="12" customHeight="1"/>
    <row r="27940" ht="12" customHeight="1"/>
    <row r="27941" ht="12" customHeight="1"/>
    <row r="27942" ht="12" customHeight="1"/>
    <row r="27943" ht="12" customHeight="1"/>
    <row r="27944" ht="12" customHeight="1"/>
    <row r="27945" ht="12" customHeight="1"/>
    <row r="27946" ht="12" customHeight="1"/>
    <row r="27947" ht="12" customHeight="1"/>
    <row r="27948" ht="12" customHeight="1"/>
    <row r="27949" ht="12" customHeight="1"/>
    <row r="27950" ht="12" customHeight="1"/>
    <row r="27951" ht="12" customHeight="1"/>
    <row r="27952" ht="12" customHeight="1"/>
    <row r="27953" ht="12" customHeight="1"/>
    <row r="27954" ht="12" customHeight="1"/>
    <row r="27955" ht="12" customHeight="1"/>
    <row r="27956" ht="12" customHeight="1"/>
    <row r="27957" ht="12" customHeight="1"/>
    <row r="27958" ht="12" customHeight="1"/>
    <row r="27959" ht="12" customHeight="1"/>
    <row r="27960" ht="12" customHeight="1"/>
    <row r="27961" ht="12" customHeight="1"/>
    <row r="27962" ht="12" customHeight="1"/>
    <row r="27963" ht="12" customHeight="1"/>
    <row r="27964" ht="12" customHeight="1"/>
    <row r="27965" ht="12" customHeight="1"/>
    <row r="27966" ht="12" customHeight="1"/>
    <row r="27967" ht="12" customHeight="1"/>
    <row r="27968" ht="12" customHeight="1"/>
    <row r="27969" ht="12" customHeight="1"/>
    <row r="27970" ht="12" customHeight="1"/>
    <row r="27971" ht="12" customHeight="1"/>
    <row r="27972" ht="12" customHeight="1"/>
    <row r="27973" ht="12" customHeight="1"/>
    <row r="27974" ht="12" customHeight="1"/>
    <row r="27975" ht="12" customHeight="1"/>
    <row r="27976" ht="12" customHeight="1"/>
    <row r="27977" ht="12" customHeight="1"/>
    <row r="27978" ht="12" customHeight="1"/>
    <row r="27979" ht="12" customHeight="1"/>
    <row r="27980" ht="12" customHeight="1"/>
    <row r="27981" ht="12" customHeight="1"/>
    <row r="27982" ht="12" customHeight="1"/>
    <row r="27983" ht="12" customHeight="1"/>
    <row r="27984" ht="12" customHeight="1"/>
    <row r="27985" ht="12" customHeight="1"/>
    <row r="27986" ht="12" customHeight="1"/>
    <row r="27987" ht="12" customHeight="1"/>
    <row r="27988" ht="12" customHeight="1"/>
    <row r="27989" ht="12" customHeight="1"/>
    <row r="27990" ht="12" customHeight="1"/>
    <row r="27991" ht="12" customHeight="1"/>
    <row r="27992" ht="12" customHeight="1"/>
    <row r="27993" ht="12" customHeight="1"/>
    <row r="27994" ht="12" customHeight="1"/>
    <row r="27995" ht="12" customHeight="1"/>
    <row r="27996" ht="12" customHeight="1"/>
    <row r="27997" ht="12" customHeight="1"/>
    <row r="27998" ht="12" customHeight="1"/>
    <row r="27999" ht="12" customHeight="1"/>
    <row r="28000" ht="12" customHeight="1"/>
    <row r="28001" ht="12" customHeight="1"/>
    <row r="28002" ht="12" customHeight="1"/>
    <row r="28003" ht="12" customHeight="1"/>
    <row r="28004" ht="12" customHeight="1"/>
    <row r="28005" ht="12" customHeight="1"/>
    <row r="28006" ht="12" customHeight="1"/>
    <row r="28007" ht="12" customHeight="1"/>
    <row r="28008" ht="12" customHeight="1"/>
    <row r="28009" ht="12" customHeight="1"/>
    <row r="28010" ht="12" customHeight="1"/>
    <row r="28011" ht="12" customHeight="1"/>
    <row r="28012" ht="12" customHeight="1"/>
    <row r="28013" ht="12" customHeight="1"/>
    <row r="28014" ht="12" customHeight="1"/>
    <row r="28015" ht="12" customHeight="1"/>
    <row r="28016" ht="12" customHeight="1"/>
    <row r="28017" ht="12" customHeight="1"/>
    <row r="28018" ht="12" customHeight="1"/>
    <row r="28019" ht="12" customHeight="1"/>
    <row r="28020" ht="12" customHeight="1"/>
    <row r="28021" ht="12" customHeight="1"/>
    <row r="28022" ht="12" customHeight="1"/>
    <row r="28023" ht="12" customHeight="1"/>
    <row r="28024" ht="12" customHeight="1"/>
    <row r="28025" ht="12" customHeight="1"/>
    <row r="28026" ht="12" customHeight="1"/>
    <row r="28027" ht="12" customHeight="1"/>
    <row r="28028" ht="12" customHeight="1"/>
    <row r="28029" ht="12" customHeight="1"/>
    <row r="28030" ht="12" customHeight="1"/>
    <row r="28031" ht="12" customHeight="1"/>
    <row r="28032" ht="12" customHeight="1"/>
    <row r="28033" ht="12" customHeight="1"/>
    <row r="28034" ht="12" customHeight="1"/>
    <row r="28035" ht="12" customHeight="1"/>
    <row r="28036" ht="12" customHeight="1"/>
    <row r="28037" ht="12" customHeight="1"/>
    <row r="28038" ht="12" customHeight="1"/>
    <row r="28039" ht="12" customHeight="1"/>
    <row r="28040" ht="12" customHeight="1"/>
    <row r="28041" ht="12" customHeight="1"/>
    <row r="28042" ht="12" customHeight="1"/>
    <row r="28043" ht="12" customHeight="1"/>
    <row r="28044" ht="12" customHeight="1"/>
    <row r="28045" ht="12" customHeight="1"/>
    <row r="28046" ht="12" customHeight="1"/>
    <row r="28047" ht="12" customHeight="1"/>
    <row r="28048" ht="12" customHeight="1"/>
    <row r="28049" ht="12" customHeight="1"/>
    <row r="28050" ht="12" customHeight="1"/>
    <row r="28051" ht="12" customHeight="1"/>
    <row r="28052" ht="12" customHeight="1"/>
    <row r="28053" ht="12" customHeight="1"/>
    <row r="28054" ht="12" customHeight="1"/>
    <row r="28055" ht="12" customHeight="1"/>
    <row r="28056" ht="12" customHeight="1"/>
    <row r="28057" ht="12" customHeight="1"/>
    <row r="28058" ht="12" customHeight="1"/>
    <row r="28059" ht="12" customHeight="1"/>
    <row r="28060" ht="12" customHeight="1"/>
    <row r="28061" ht="12" customHeight="1"/>
    <row r="28062" ht="12" customHeight="1"/>
    <row r="28063" ht="12" customHeight="1"/>
    <row r="28064" ht="12" customHeight="1"/>
    <row r="28065" ht="12" customHeight="1"/>
    <row r="28066" ht="12" customHeight="1"/>
    <row r="28067" ht="12" customHeight="1"/>
    <row r="28068" ht="12" customHeight="1"/>
    <row r="28069" ht="12" customHeight="1"/>
    <row r="28070" ht="12" customHeight="1"/>
    <row r="28071" ht="12" customHeight="1"/>
    <row r="28072" ht="12" customHeight="1"/>
    <row r="28073" ht="12" customHeight="1"/>
    <row r="28074" ht="12" customHeight="1"/>
    <row r="28075" ht="12" customHeight="1"/>
    <row r="28076" ht="12" customHeight="1"/>
    <row r="28077" ht="12" customHeight="1"/>
    <row r="28078" ht="12" customHeight="1"/>
    <row r="28079" ht="12" customHeight="1"/>
    <row r="28080" ht="12" customHeight="1"/>
    <row r="28081" ht="12" customHeight="1"/>
    <row r="28082" ht="12" customHeight="1"/>
    <row r="28083" ht="12" customHeight="1"/>
    <row r="28084" ht="12" customHeight="1"/>
    <row r="28085" ht="12" customHeight="1"/>
    <row r="28086" ht="12" customHeight="1"/>
    <row r="28087" ht="12" customHeight="1"/>
    <row r="28088" ht="12" customHeight="1"/>
    <row r="28089" ht="12" customHeight="1"/>
    <row r="28090" ht="12" customHeight="1"/>
    <row r="28091" ht="12" customHeight="1"/>
    <row r="28092" ht="12" customHeight="1"/>
    <row r="28093" ht="12" customHeight="1"/>
    <row r="28094" ht="12" customHeight="1"/>
    <row r="28095" ht="12" customHeight="1"/>
    <row r="28096" ht="12" customHeight="1"/>
    <row r="28097" ht="12" customHeight="1"/>
    <row r="28098" ht="12" customHeight="1"/>
    <row r="28099" ht="12" customHeight="1"/>
    <row r="28100" ht="12" customHeight="1"/>
    <row r="28101" ht="12" customHeight="1"/>
    <row r="28102" ht="12" customHeight="1"/>
    <row r="28103" ht="12" customHeight="1"/>
    <row r="28104" ht="12" customHeight="1"/>
    <row r="28105" ht="12" customHeight="1"/>
    <row r="28106" ht="12" customHeight="1"/>
    <row r="28107" ht="12" customHeight="1"/>
    <row r="28108" ht="12" customHeight="1"/>
    <row r="28109" ht="12" customHeight="1"/>
    <row r="28110" ht="12" customHeight="1"/>
    <row r="28111" ht="12" customHeight="1"/>
    <row r="28112" ht="12" customHeight="1"/>
    <row r="28113" ht="12" customHeight="1"/>
    <row r="28114" ht="12" customHeight="1"/>
    <row r="28115" ht="12" customHeight="1"/>
    <row r="28116" ht="12" customHeight="1"/>
    <row r="28117" ht="12" customHeight="1"/>
    <row r="28118" ht="12" customHeight="1"/>
    <row r="28119" ht="12" customHeight="1"/>
    <row r="28120" ht="12" customHeight="1"/>
    <row r="28121" ht="12" customHeight="1"/>
    <row r="28122" ht="12" customHeight="1"/>
    <row r="28123" ht="12" customHeight="1"/>
    <row r="28124" ht="12" customHeight="1"/>
    <row r="28125" ht="12" customHeight="1"/>
    <row r="28126" ht="12" customHeight="1"/>
    <row r="28127" ht="12" customHeight="1"/>
    <row r="28128" ht="12" customHeight="1"/>
    <row r="28129" ht="12" customHeight="1"/>
    <row r="28130" ht="12" customHeight="1"/>
    <row r="28131" ht="12" customHeight="1"/>
    <row r="28132" ht="12" customHeight="1"/>
    <row r="28133" ht="12" customHeight="1"/>
    <row r="28134" ht="12" customHeight="1"/>
    <row r="28135" ht="12" customHeight="1"/>
    <row r="28136" ht="12" customHeight="1"/>
    <row r="28137" ht="12" customHeight="1"/>
    <row r="28138" ht="12" customHeight="1"/>
    <row r="28139" ht="12" customHeight="1"/>
    <row r="28140" ht="12" customHeight="1"/>
    <row r="28141" ht="12" customHeight="1"/>
    <row r="28142" ht="12" customHeight="1"/>
    <row r="28143" ht="12" customHeight="1"/>
    <row r="28144" ht="12" customHeight="1"/>
    <row r="28145" ht="12" customHeight="1"/>
    <row r="28146" ht="12" customHeight="1"/>
    <row r="28147" ht="12" customHeight="1"/>
    <row r="28148" ht="12" customHeight="1"/>
    <row r="28149" ht="12" customHeight="1"/>
    <row r="28150" ht="12" customHeight="1"/>
    <row r="28151" ht="12" customHeight="1"/>
    <row r="28152" ht="12" customHeight="1"/>
    <row r="28153" ht="12" customHeight="1"/>
    <row r="28154" ht="12" customHeight="1"/>
    <row r="28155" ht="12" customHeight="1"/>
    <row r="28156" ht="12" customHeight="1"/>
    <row r="28157" ht="12" customHeight="1"/>
    <row r="28158" ht="12" customHeight="1"/>
    <row r="28159" ht="12" customHeight="1"/>
    <row r="28160" ht="12" customHeight="1"/>
    <row r="28161" ht="12" customHeight="1"/>
    <row r="28162" ht="12" customHeight="1"/>
    <row r="28163" ht="12" customHeight="1"/>
    <row r="28164" ht="12" customHeight="1"/>
    <row r="28165" ht="12" customHeight="1"/>
    <row r="28166" ht="12" customHeight="1"/>
    <row r="28167" ht="12" customHeight="1"/>
    <row r="28168" ht="12" customHeight="1"/>
    <row r="28169" ht="12" customHeight="1"/>
    <row r="28170" ht="12" customHeight="1"/>
    <row r="28171" ht="12" customHeight="1"/>
    <row r="28172" ht="12" customHeight="1"/>
    <row r="28173" ht="12" customHeight="1"/>
    <row r="28174" ht="12" customHeight="1"/>
    <row r="28175" ht="12" customHeight="1"/>
    <row r="28176" ht="12" customHeight="1"/>
    <row r="28177" ht="12" customHeight="1"/>
    <row r="28178" ht="12" customHeight="1"/>
    <row r="28179" ht="12" customHeight="1"/>
    <row r="28180" ht="12" customHeight="1"/>
    <row r="28181" ht="12" customHeight="1"/>
    <row r="28182" ht="12" customHeight="1"/>
    <row r="28183" ht="12" customHeight="1"/>
    <row r="28184" ht="12" customHeight="1"/>
    <row r="28185" ht="12" customHeight="1"/>
    <row r="28186" ht="12" customHeight="1"/>
    <row r="28187" ht="12" customHeight="1"/>
    <row r="28188" ht="12" customHeight="1"/>
    <row r="28189" ht="12" customHeight="1"/>
    <row r="28190" ht="12" customHeight="1"/>
    <row r="28191" ht="12" customHeight="1"/>
    <row r="28192" ht="12" customHeight="1"/>
    <row r="28193" ht="12" customHeight="1"/>
    <row r="28194" ht="12" customHeight="1"/>
    <row r="28195" ht="12" customHeight="1"/>
    <row r="28196" ht="12" customHeight="1"/>
    <row r="28197" ht="12" customHeight="1"/>
    <row r="28198" ht="12" customHeight="1"/>
    <row r="28199" ht="12" customHeight="1"/>
    <row r="28200" ht="12" customHeight="1"/>
    <row r="28201" ht="12" customHeight="1"/>
    <row r="28202" ht="12" customHeight="1"/>
    <row r="28203" ht="12" customHeight="1"/>
    <row r="28204" ht="12" customHeight="1"/>
    <row r="28205" ht="12" customHeight="1"/>
    <row r="28206" ht="12" customHeight="1"/>
    <row r="28207" ht="12" customHeight="1"/>
    <row r="28208" ht="12" customHeight="1"/>
    <row r="28209" ht="12" customHeight="1"/>
    <row r="28210" ht="12" customHeight="1"/>
    <row r="28211" ht="12" customHeight="1"/>
    <row r="28212" ht="12" customHeight="1"/>
    <row r="28213" ht="12" customHeight="1"/>
    <row r="28214" ht="12" customHeight="1"/>
    <row r="28215" ht="12" customHeight="1"/>
    <row r="28216" ht="12" customHeight="1"/>
    <row r="28217" ht="12" customHeight="1"/>
    <row r="28218" ht="12" customHeight="1"/>
    <row r="28219" ht="12" customHeight="1"/>
    <row r="28220" ht="12" customHeight="1"/>
    <row r="28221" ht="12" customHeight="1"/>
    <row r="28222" ht="12" customHeight="1"/>
    <row r="28223" ht="12" customHeight="1"/>
    <row r="28224" ht="12" customHeight="1"/>
    <row r="28225" ht="12" customHeight="1"/>
    <row r="28226" ht="12" customHeight="1"/>
    <row r="28227" ht="12" customHeight="1"/>
    <row r="28228" ht="12" customHeight="1"/>
    <row r="28229" ht="12" customHeight="1"/>
    <row r="28230" ht="12" customHeight="1"/>
    <row r="28231" ht="12" customHeight="1"/>
    <row r="28232" ht="12" customHeight="1"/>
    <row r="28233" ht="12" customHeight="1"/>
    <row r="28234" ht="12" customHeight="1"/>
    <row r="28235" ht="12" customHeight="1"/>
    <row r="28236" ht="12" customHeight="1"/>
    <row r="28237" ht="12" customHeight="1"/>
    <row r="28238" ht="12" customHeight="1"/>
    <row r="28239" ht="12" customHeight="1"/>
    <row r="28240" ht="12" customHeight="1"/>
    <row r="28241" ht="12" customHeight="1"/>
    <row r="28242" ht="12" customHeight="1"/>
    <row r="28243" ht="12" customHeight="1"/>
    <row r="28244" ht="12" customHeight="1"/>
    <row r="28245" ht="12" customHeight="1"/>
    <row r="28246" ht="12" customHeight="1"/>
    <row r="28247" ht="12" customHeight="1"/>
    <row r="28248" ht="12" customHeight="1"/>
    <row r="28249" ht="12" customHeight="1"/>
    <row r="28250" ht="12" customHeight="1"/>
    <row r="28251" ht="12" customHeight="1"/>
    <row r="28252" ht="12" customHeight="1"/>
    <row r="28253" ht="12" customHeight="1"/>
    <row r="28254" ht="12" customHeight="1"/>
    <row r="28255" ht="12" customHeight="1"/>
    <row r="28256" ht="12" customHeight="1"/>
    <row r="28257" ht="12" customHeight="1"/>
    <row r="28258" ht="12" customHeight="1"/>
    <row r="28259" ht="12" customHeight="1"/>
    <row r="28260" ht="12" customHeight="1"/>
    <row r="28261" ht="12" customHeight="1"/>
    <row r="28262" ht="12" customHeight="1"/>
    <row r="28263" ht="12" customHeight="1"/>
    <row r="28264" ht="12" customHeight="1"/>
    <row r="28265" ht="12" customHeight="1"/>
    <row r="28266" ht="12" customHeight="1"/>
    <row r="28267" ht="12" customHeight="1"/>
    <row r="28268" ht="12" customHeight="1"/>
    <row r="28269" ht="12" customHeight="1"/>
    <row r="28270" ht="12" customHeight="1"/>
    <row r="28271" ht="12" customHeight="1"/>
    <row r="28272" ht="12" customHeight="1"/>
    <row r="28273" ht="12" customHeight="1"/>
    <row r="28274" ht="12" customHeight="1"/>
    <row r="28275" ht="12" customHeight="1"/>
    <row r="28276" ht="12" customHeight="1"/>
    <row r="28277" ht="12" customHeight="1"/>
    <row r="28278" ht="12" customHeight="1"/>
    <row r="28279" ht="12" customHeight="1"/>
    <row r="28280" ht="12" customHeight="1"/>
    <row r="28281" ht="12" customHeight="1"/>
    <row r="28282" ht="12" customHeight="1"/>
    <row r="28283" ht="12" customHeight="1"/>
    <row r="28284" ht="12" customHeight="1"/>
    <row r="28285" ht="12" customHeight="1"/>
    <row r="28286" ht="12" customHeight="1"/>
    <row r="28287" ht="12" customHeight="1"/>
    <row r="28288" ht="12" customHeight="1"/>
    <row r="28289" ht="12" customHeight="1"/>
    <row r="28290" ht="12" customHeight="1"/>
    <row r="28291" ht="12" customHeight="1"/>
    <row r="28292" ht="12" customHeight="1"/>
    <row r="28293" ht="12" customHeight="1"/>
    <row r="28294" ht="12" customHeight="1"/>
    <row r="28295" ht="12" customHeight="1"/>
    <row r="28296" ht="12" customHeight="1"/>
    <row r="28297" ht="12" customHeight="1"/>
    <row r="28298" ht="12" customHeight="1"/>
    <row r="28299" ht="12" customHeight="1"/>
    <row r="28300" ht="12" customHeight="1"/>
    <row r="28301" ht="12" customHeight="1"/>
    <row r="28302" ht="12" customHeight="1"/>
    <row r="28303" ht="12" customHeight="1"/>
    <row r="28304" ht="12" customHeight="1"/>
    <row r="28305" ht="12" customHeight="1"/>
    <row r="28306" ht="12" customHeight="1"/>
    <row r="28307" ht="12" customHeight="1"/>
    <row r="28308" ht="12" customHeight="1"/>
    <row r="28309" ht="12" customHeight="1"/>
    <row r="28310" ht="12" customHeight="1"/>
    <row r="28311" ht="12" customHeight="1"/>
    <row r="28312" ht="12" customHeight="1"/>
    <row r="28313" ht="12" customHeight="1"/>
    <row r="28314" ht="12" customHeight="1"/>
    <row r="28315" ht="12" customHeight="1"/>
    <row r="28316" ht="12" customHeight="1"/>
    <row r="28317" ht="12" customHeight="1"/>
    <row r="28318" ht="12" customHeight="1"/>
    <row r="28319" ht="12" customHeight="1"/>
    <row r="28320" ht="12" customHeight="1"/>
    <row r="28321" ht="12" customHeight="1"/>
    <row r="28322" ht="12" customHeight="1"/>
    <row r="28323" ht="12" customHeight="1"/>
    <row r="28324" ht="12" customHeight="1"/>
    <row r="28325" ht="12" customHeight="1"/>
    <row r="28326" ht="12" customHeight="1"/>
    <row r="28327" ht="12" customHeight="1"/>
    <row r="28328" ht="12" customHeight="1"/>
    <row r="28329" ht="12" customHeight="1"/>
    <row r="28330" ht="12" customHeight="1"/>
    <row r="28331" ht="12" customHeight="1"/>
    <row r="28332" ht="12" customHeight="1"/>
    <row r="28333" ht="12" customHeight="1"/>
    <row r="28334" ht="12" customHeight="1"/>
    <row r="28335" ht="12" customHeight="1"/>
    <row r="28336" ht="12" customHeight="1"/>
    <row r="28337" ht="12" customHeight="1"/>
    <row r="28338" ht="12" customHeight="1"/>
    <row r="28339" ht="12" customHeight="1"/>
    <row r="28340" ht="12" customHeight="1"/>
    <row r="28341" ht="12" customHeight="1"/>
    <row r="28342" ht="12" customHeight="1"/>
    <row r="28343" ht="12" customHeight="1"/>
    <row r="28344" ht="12" customHeight="1"/>
    <row r="28345" ht="12" customHeight="1"/>
    <row r="28346" ht="12" customHeight="1"/>
    <row r="28347" ht="12" customHeight="1"/>
    <row r="28348" ht="12" customHeight="1"/>
    <row r="28349" ht="12" customHeight="1"/>
    <row r="28350" ht="12" customHeight="1"/>
    <row r="28351" ht="12" customHeight="1"/>
    <row r="28352" ht="12" customHeight="1"/>
    <row r="28353" ht="12" customHeight="1"/>
    <row r="28354" ht="12" customHeight="1"/>
    <row r="28355" ht="12" customHeight="1"/>
    <row r="28356" ht="12" customHeight="1"/>
    <row r="28357" ht="12" customHeight="1"/>
    <row r="28358" ht="12" customHeight="1"/>
    <row r="28359" ht="12" customHeight="1"/>
    <row r="28360" ht="12" customHeight="1"/>
    <row r="28361" ht="12" customHeight="1"/>
    <row r="28362" ht="12" customHeight="1"/>
    <row r="28363" ht="12" customHeight="1"/>
    <row r="28364" ht="12" customHeight="1"/>
    <row r="28365" ht="12" customHeight="1"/>
    <row r="28366" ht="12" customHeight="1"/>
    <row r="28367" ht="12" customHeight="1"/>
    <row r="28368" ht="12" customHeight="1"/>
    <row r="28369" ht="12" customHeight="1"/>
    <row r="28370" ht="12" customHeight="1"/>
    <row r="28371" ht="12" customHeight="1"/>
    <row r="28372" ht="12" customHeight="1"/>
    <row r="28373" ht="12" customHeight="1"/>
    <row r="28374" ht="12" customHeight="1"/>
    <row r="28375" ht="12" customHeight="1"/>
    <row r="28376" ht="12" customHeight="1"/>
    <row r="28377" ht="12" customHeight="1"/>
    <row r="28378" ht="12" customHeight="1"/>
    <row r="28379" ht="12" customHeight="1"/>
    <row r="28380" ht="12" customHeight="1"/>
    <row r="28381" ht="12" customHeight="1"/>
    <row r="28382" ht="12" customHeight="1"/>
    <row r="28383" ht="12" customHeight="1"/>
    <row r="28384" ht="12" customHeight="1"/>
    <row r="28385" ht="12" customHeight="1"/>
    <row r="28386" ht="12" customHeight="1"/>
    <row r="28387" ht="12" customHeight="1"/>
    <row r="28388" ht="12" customHeight="1"/>
    <row r="28389" ht="12" customHeight="1"/>
    <row r="28390" ht="12" customHeight="1"/>
    <row r="28391" ht="12" customHeight="1"/>
    <row r="28392" ht="12" customHeight="1"/>
    <row r="28393" ht="12" customHeight="1"/>
    <row r="28394" ht="12" customHeight="1"/>
    <row r="28395" ht="12" customHeight="1"/>
    <row r="28396" ht="12" customHeight="1"/>
    <row r="28397" ht="12" customHeight="1"/>
    <row r="28398" ht="12" customHeight="1"/>
    <row r="28399" ht="12" customHeight="1"/>
    <row r="28400" ht="12" customHeight="1"/>
    <row r="28401" ht="12" customHeight="1"/>
    <row r="28402" ht="12" customHeight="1"/>
    <row r="28403" ht="12" customHeight="1"/>
    <row r="28404" ht="12" customHeight="1"/>
    <row r="28405" ht="12" customHeight="1"/>
    <row r="28406" ht="12" customHeight="1"/>
    <row r="28407" ht="12" customHeight="1"/>
    <row r="28408" ht="12" customHeight="1"/>
    <row r="28409" ht="12" customHeight="1"/>
    <row r="28410" ht="12" customHeight="1"/>
    <row r="28411" ht="12" customHeight="1"/>
    <row r="28412" ht="12" customHeight="1"/>
    <row r="28413" ht="12" customHeight="1"/>
    <row r="28414" ht="12" customHeight="1"/>
    <row r="28415" ht="12" customHeight="1"/>
    <row r="28416" ht="12" customHeight="1"/>
    <row r="28417" ht="12" customHeight="1"/>
    <row r="28418" ht="12" customHeight="1"/>
    <row r="28419" ht="12" customHeight="1"/>
    <row r="28420" ht="12" customHeight="1"/>
    <row r="28421" ht="12" customHeight="1"/>
    <row r="28422" ht="12" customHeight="1"/>
    <row r="28423" ht="12" customHeight="1"/>
    <row r="28424" ht="12" customHeight="1"/>
    <row r="28425" ht="12" customHeight="1"/>
    <row r="28426" ht="12" customHeight="1"/>
    <row r="28427" ht="12" customHeight="1"/>
    <row r="28428" ht="12" customHeight="1"/>
    <row r="28429" ht="12" customHeight="1"/>
    <row r="28430" ht="12" customHeight="1"/>
    <row r="28431" ht="12" customHeight="1"/>
    <row r="28432" ht="12" customHeight="1"/>
    <row r="28433" ht="12" customHeight="1"/>
    <row r="28434" ht="12" customHeight="1"/>
    <row r="28435" ht="12" customHeight="1"/>
    <row r="28436" ht="12" customHeight="1"/>
    <row r="28437" ht="12" customHeight="1"/>
    <row r="28438" ht="12" customHeight="1"/>
    <row r="28439" ht="12" customHeight="1"/>
    <row r="28440" ht="12" customHeight="1"/>
    <row r="28441" ht="12" customHeight="1"/>
    <row r="28442" ht="12" customHeight="1"/>
    <row r="28443" ht="12" customHeight="1"/>
    <row r="28444" ht="12" customHeight="1"/>
    <row r="28445" ht="12" customHeight="1"/>
    <row r="28446" ht="12" customHeight="1"/>
    <row r="28447" ht="12" customHeight="1"/>
    <row r="28448" ht="12" customHeight="1"/>
    <row r="28449" ht="12" customHeight="1"/>
    <row r="28450" ht="12" customHeight="1"/>
    <row r="28451" ht="12" customHeight="1"/>
    <row r="28452" ht="12" customHeight="1"/>
    <row r="28453" ht="12" customHeight="1"/>
    <row r="28454" ht="12" customHeight="1"/>
    <row r="28455" ht="12" customHeight="1"/>
    <row r="28456" ht="12" customHeight="1"/>
    <row r="28457" ht="12" customHeight="1"/>
    <row r="28458" ht="12" customHeight="1"/>
    <row r="28459" ht="12" customHeight="1"/>
    <row r="28460" ht="12" customHeight="1"/>
    <row r="28461" ht="12" customHeight="1"/>
    <row r="28462" ht="12" customHeight="1"/>
    <row r="28463" ht="12" customHeight="1"/>
    <row r="28464" ht="12" customHeight="1"/>
    <row r="28465" ht="12" customHeight="1"/>
    <row r="28466" ht="12" customHeight="1"/>
    <row r="28467" ht="12" customHeight="1"/>
    <row r="28468" ht="12" customHeight="1"/>
    <row r="28469" ht="12" customHeight="1"/>
    <row r="28470" ht="12" customHeight="1"/>
    <row r="28471" ht="12" customHeight="1"/>
    <row r="28472" ht="12" customHeight="1"/>
    <row r="28473" ht="12" customHeight="1"/>
    <row r="28474" ht="12" customHeight="1"/>
    <row r="28475" ht="12" customHeight="1"/>
    <row r="28476" ht="12" customHeight="1"/>
    <row r="28477" ht="12" customHeight="1"/>
    <row r="28478" ht="12" customHeight="1"/>
    <row r="28479" ht="12" customHeight="1"/>
    <row r="28480" ht="12" customHeight="1"/>
    <row r="28481" ht="12" customHeight="1"/>
    <row r="28482" ht="12" customHeight="1"/>
    <row r="28483" ht="12" customHeight="1"/>
    <row r="28484" ht="12" customHeight="1"/>
    <row r="28485" ht="12" customHeight="1"/>
    <row r="28486" ht="12" customHeight="1"/>
    <row r="28487" ht="12" customHeight="1"/>
    <row r="28488" ht="12" customHeight="1"/>
    <row r="28489" ht="12" customHeight="1"/>
    <row r="28490" ht="12" customHeight="1"/>
    <row r="28491" ht="12" customHeight="1"/>
    <row r="28492" ht="12" customHeight="1"/>
    <row r="28493" ht="12" customHeight="1"/>
    <row r="28494" ht="12" customHeight="1"/>
    <row r="28495" ht="12" customHeight="1"/>
    <row r="28496" ht="12" customHeight="1"/>
    <row r="28497" ht="12" customHeight="1"/>
    <row r="28498" ht="12" customHeight="1"/>
    <row r="28499" ht="12" customHeight="1"/>
    <row r="28500" ht="12" customHeight="1"/>
    <row r="28501" ht="12" customHeight="1"/>
    <row r="28502" ht="12" customHeight="1"/>
    <row r="28503" ht="12" customHeight="1"/>
    <row r="28504" ht="12" customHeight="1"/>
    <row r="28505" ht="12" customHeight="1"/>
    <row r="28506" ht="12" customHeight="1"/>
    <row r="28507" ht="12" customHeight="1"/>
    <row r="28508" ht="12" customHeight="1"/>
    <row r="28509" ht="12" customHeight="1"/>
    <row r="28510" ht="12" customHeight="1"/>
    <row r="28511" ht="12" customHeight="1"/>
    <row r="28512" ht="12" customHeight="1"/>
    <row r="28513" ht="12" customHeight="1"/>
    <row r="28514" ht="12" customHeight="1"/>
    <row r="28515" ht="12" customHeight="1"/>
    <row r="28516" ht="12" customHeight="1"/>
    <row r="28517" ht="12" customHeight="1"/>
    <row r="28518" ht="12" customHeight="1"/>
    <row r="28519" ht="12" customHeight="1"/>
    <row r="28520" ht="12" customHeight="1"/>
    <row r="28521" ht="12" customHeight="1"/>
    <row r="28522" ht="12" customHeight="1"/>
    <row r="28523" ht="12" customHeight="1"/>
    <row r="28524" ht="12" customHeight="1"/>
    <row r="28525" ht="12" customHeight="1"/>
    <row r="28526" ht="12" customHeight="1"/>
    <row r="28527" ht="12" customHeight="1"/>
    <row r="28528" ht="12" customHeight="1"/>
    <row r="28529" ht="12" customHeight="1"/>
    <row r="28530" ht="12" customHeight="1"/>
    <row r="28531" ht="12" customHeight="1"/>
    <row r="28532" ht="12" customHeight="1"/>
    <row r="28533" ht="12" customHeight="1"/>
    <row r="28534" ht="12" customHeight="1"/>
    <row r="28535" ht="12" customHeight="1"/>
    <row r="28536" ht="12" customHeight="1"/>
    <row r="28537" ht="12" customHeight="1"/>
    <row r="28538" ht="12" customHeight="1"/>
    <row r="28539" ht="12" customHeight="1"/>
    <row r="28540" ht="12" customHeight="1"/>
    <row r="28541" ht="12" customHeight="1"/>
    <row r="28542" ht="12" customHeight="1"/>
    <row r="28543" ht="12" customHeight="1"/>
    <row r="28544" ht="12" customHeight="1"/>
    <row r="28545" ht="12" customHeight="1"/>
    <row r="28546" ht="12" customHeight="1"/>
    <row r="28547" ht="12" customHeight="1"/>
    <row r="28548" ht="12" customHeight="1"/>
    <row r="28549" ht="12" customHeight="1"/>
    <row r="28550" ht="12" customHeight="1"/>
    <row r="28551" ht="12" customHeight="1"/>
    <row r="28552" ht="12" customHeight="1"/>
    <row r="28553" ht="12" customHeight="1"/>
    <row r="28554" ht="12" customHeight="1"/>
    <row r="28555" ht="12" customHeight="1"/>
    <row r="28556" ht="12" customHeight="1"/>
    <row r="28557" ht="12" customHeight="1"/>
    <row r="28558" ht="12" customHeight="1"/>
    <row r="28559" ht="12" customHeight="1"/>
    <row r="28560" ht="12" customHeight="1"/>
    <row r="28561" ht="12" customHeight="1"/>
    <row r="28562" ht="12" customHeight="1"/>
    <row r="28563" ht="12" customHeight="1"/>
    <row r="28564" ht="12" customHeight="1"/>
    <row r="28565" ht="12" customHeight="1"/>
    <row r="28566" ht="12" customHeight="1"/>
    <row r="28567" ht="12" customHeight="1"/>
    <row r="28568" ht="12" customHeight="1"/>
    <row r="28569" ht="12" customHeight="1"/>
    <row r="28570" ht="12" customHeight="1"/>
    <row r="28571" ht="12" customHeight="1"/>
    <row r="28572" ht="12" customHeight="1"/>
    <row r="28573" ht="12" customHeight="1"/>
    <row r="28574" ht="12" customHeight="1"/>
    <row r="28575" ht="12" customHeight="1"/>
    <row r="28576" ht="12" customHeight="1"/>
    <row r="28577" ht="12" customHeight="1"/>
    <row r="28578" ht="12" customHeight="1"/>
    <row r="28579" ht="12" customHeight="1"/>
    <row r="28580" ht="12" customHeight="1"/>
    <row r="28581" ht="12" customHeight="1"/>
    <row r="28582" ht="12" customHeight="1"/>
    <row r="28583" ht="12" customHeight="1"/>
    <row r="28584" ht="12" customHeight="1"/>
    <row r="28585" ht="12" customHeight="1"/>
    <row r="28586" ht="12" customHeight="1"/>
    <row r="28587" ht="12" customHeight="1"/>
    <row r="28588" ht="12" customHeight="1"/>
    <row r="28589" ht="12" customHeight="1"/>
    <row r="28590" ht="12" customHeight="1"/>
    <row r="28591" ht="12" customHeight="1"/>
    <row r="28592" ht="12" customHeight="1"/>
    <row r="28593" ht="12" customHeight="1"/>
    <row r="28594" ht="12" customHeight="1"/>
    <row r="28595" ht="12" customHeight="1"/>
    <row r="28596" ht="12" customHeight="1"/>
    <row r="28597" ht="12" customHeight="1"/>
    <row r="28598" ht="12" customHeight="1"/>
    <row r="28599" ht="12" customHeight="1"/>
    <row r="28600" ht="12" customHeight="1"/>
    <row r="28601" ht="12" customHeight="1"/>
    <row r="28602" ht="12" customHeight="1"/>
    <row r="28603" ht="12" customHeight="1"/>
    <row r="28604" ht="12" customHeight="1"/>
    <row r="28605" ht="12" customHeight="1"/>
    <row r="28606" ht="12" customHeight="1"/>
    <row r="28607" ht="12" customHeight="1"/>
    <row r="28608" ht="12" customHeight="1"/>
    <row r="28609" ht="12" customHeight="1"/>
    <row r="28610" ht="12" customHeight="1"/>
    <row r="28611" ht="12" customHeight="1"/>
    <row r="28612" ht="12" customHeight="1"/>
    <row r="28613" ht="12" customHeight="1"/>
    <row r="28614" ht="12" customHeight="1"/>
    <row r="28615" ht="12" customHeight="1"/>
    <row r="28616" ht="12" customHeight="1"/>
    <row r="28617" ht="12" customHeight="1"/>
    <row r="28618" ht="12" customHeight="1"/>
    <row r="28619" ht="12" customHeight="1"/>
    <row r="28620" ht="12" customHeight="1"/>
    <row r="28621" ht="12" customHeight="1"/>
    <row r="28622" ht="12" customHeight="1"/>
    <row r="28623" ht="12" customHeight="1"/>
    <row r="28624" ht="12" customHeight="1"/>
    <row r="28625" ht="12" customHeight="1"/>
    <row r="28626" ht="12" customHeight="1"/>
    <row r="28627" ht="12" customHeight="1"/>
    <row r="28628" ht="12" customHeight="1"/>
    <row r="28629" ht="12" customHeight="1"/>
    <row r="28630" ht="12" customHeight="1"/>
    <row r="28631" ht="12" customHeight="1"/>
    <row r="28632" ht="12" customHeight="1"/>
    <row r="28633" ht="12" customHeight="1"/>
    <row r="28634" ht="12" customHeight="1"/>
    <row r="28635" ht="12" customHeight="1"/>
    <row r="28636" ht="12" customHeight="1"/>
    <row r="28637" ht="12" customHeight="1"/>
    <row r="28638" ht="12" customHeight="1"/>
    <row r="28639" ht="12" customHeight="1"/>
    <row r="28640" ht="12" customHeight="1"/>
    <row r="28641" ht="12" customHeight="1"/>
    <row r="28642" ht="12" customHeight="1"/>
    <row r="28643" ht="12" customHeight="1"/>
    <row r="28644" ht="12" customHeight="1"/>
    <row r="28645" ht="12" customHeight="1"/>
    <row r="28646" ht="12" customHeight="1"/>
    <row r="28647" ht="12" customHeight="1"/>
    <row r="28648" ht="12" customHeight="1"/>
    <row r="28649" ht="12" customHeight="1"/>
    <row r="28650" ht="12" customHeight="1"/>
    <row r="28651" ht="12" customHeight="1"/>
    <row r="28652" ht="12" customHeight="1"/>
    <row r="28653" ht="12" customHeight="1"/>
    <row r="28654" ht="12" customHeight="1"/>
    <row r="28655" ht="12" customHeight="1"/>
    <row r="28656" ht="12" customHeight="1"/>
    <row r="28657" ht="12" customHeight="1"/>
    <row r="28658" ht="12" customHeight="1"/>
    <row r="28659" ht="12" customHeight="1"/>
    <row r="28660" ht="12" customHeight="1"/>
    <row r="28661" ht="12" customHeight="1"/>
    <row r="28662" ht="12" customHeight="1"/>
    <row r="28663" ht="12" customHeight="1"/>
    <row r="28664" ht="12" customHeight="1"/>
    <row r="28665" ht="12" customHeight="1"/>
    <row r="28666" ht="12" customHeight="1"/>
    <row r="28667" ht="12" customHeight="1"/>
    <row r="28668" ht="12" customHeight="1"/>
    <row r="28669" ht="12" customHeight="1"/>
    <row r="28670" ht="12" customHeight="1"/>
    <row r="28671" ht="12" customHeight="1"/>
    <row r="28672" ht="12" customHeight="1"/>
    <row r="28673" ht="12" customHeight="1"/>
    <row r="28674" ht="12" customHeight="1"/>
    <row r="28675" ht="12" customHeight="1"/>
    <row r="28676" ht="12" customHeight="1"/>
    <row r="28677" ht="12" customHeight="1"/>
    <row r="28678" ht="12" customHeight="1"/>
    <row r="28679" ht="12" customHeight="1"/>
    <row r="28680" ht="12" customHeight="1"/>
    <row r="28681" ht="12" customHeight="1"/>
    <row r="28682" ht="12" customHeight="1"/>
    <row r="28683" ht="12" customHeight="1"/>
    <row r="28684" ht="12" customHeight="1"/>
    <row r="28685" ht="12" customHeight="1"/>
    <row r="28686" ht="12" customHeight="1"/>
    <row r="28687" ht="12" customHeight="1"/>
    <row r="28688" ht="12" customHeight="1"/>
    <row r="28689" ht="12" customHeight="1"/>
    <row r="28690" ht="12" customHeight="1"/>
    <row r="28691" ht="12" customHeight="1"/>
    <row r="28692" ht="12" customHeight="1"/>
    <row r="28693" ht="12" customHeight="1"/>
    <row r="28694" ht="12" customHeight="1"/>
    <row r="28695" ht="12" customHeight="1"/>
    <row r="28696" ht="12" customHeight="1"/>
    <row r="28697" ht="12" customHeight="1"/>
    <row r="28698" ht="12" customHeight="1"/>
    <row r="28699" ht="12" customHeight="1"/>
    <row r="28700" ht="12" customHeight="1"/>
    <row r="28701" ht="12" customHeight="1"/>
    <row r="28702" ht="12" customHeight="1"/>
    <row r="28703" ht="12" customHeight="1"/>
    <row r="28704" ht="12" customHeight="1"/>
    <row r="28705" ht="12" customHeight="1"/>
    <row r="28706" ht="12" customHeight="1"/>
    <row r="28707" ht="12" customHeight="1"/>
    <row r="28708" ht="12" customHeight="1"/>
    <row r="28709" ht="12" customHeight="1"/>
    <row r="28710" ht="12" customHeight="1"/>
    <row r="28711" ht="12" customHeight="1"/>
    <row r="28712" ht="12" customHeight="1"/>
    <row r="28713" ht="12" customHeight="1"/>
    <row r="28714" ht="12" customHeight="1"/>
    <row r="28715" ht="12" customHeight="1"/>
    <row r="28716" ht="12" customHeight="1"/>
    <row r="28717" ht="12" customHeight="1"/>
    <row r="28718" ht="12" customHeight="1"/>
    <row r="28719" ht="12" customHeight="1"/>
    <row r="28720" ht="12" customHeight="1"/>
    <row r="28721" ht="12" customHeight="1"/>
    <row r="28722" ht="12" customHeight="1"/>
    <row r="28723" ht="12" customHeight="1"/>
    <row r="28724" ht="12" customHeight="1"/>
    <row r="28725" ht="12" customHeight="1"/>
    <row r="28726" ht="12" customHeight="1"/>
    <row r="28727" ht="12" customHeight="1"/>
    <row r="28728" ht="12" customHeight="1"/>
    <row r="28729" ht="12" customHeight="1"/>
    <row r="28730" ht="12" customHeight="1"/>
    <row r="28731" ht="12" customHeight="1"/>
    <row r="28732" ht="12" customHeight="1"/>
    <row r="28733" ht="12" customHeight="1"/>
    <row r="28734" ht="12" customHeight="1"/>
    <row r="28735" ht="12" customHeight="1"/>
    <row r="28736" ht="12" customHeight="1"/>
    <row r="28737" ht="12" customHeight="1"/>
    <row r="28738" ht="12" customHeight="1"/>
    <row r="28739" ht="12" customHeight="1"/>
    <row r="28740" ht="12" customHeight="1"/>
    <row r="28741" ht="12" customHeight="1"/>
    <row r="28742" ht="12" customHeight="1"/>
    <row r="28743" ht="12" customHeight="1"/>
    <row r="28744" ht="12" customHeight="1"/>
    <row r="28745" ht="12" customHeight="1"/>
    <row r="28746" ht="12" customHeight="1"/>
    <row r="28747" ht="12" customHeight="1"/>
    <row r="28748" ht="12" customHeight="1"/>
    <row r="28749" ht="12" customHeight="1"/>
    <row r="28750" ht="12" customHeight="1"/>
    <row r="28751" ht="12" customHeight="1"/>
    <row r="28752" ht="12" customHeight="1"/>
    <row r="28753" ht="12" customHeight="1"/>
    <row r="28754" ht="12" customHeight="1"/>
    <row r="28755" ht="12" customHeight="1"/>
    <row r="28756" ht="12" customHeight="1"/>
    <row r="28757" ht="12" customHeight="1"/>
    <row r="28758" ht="12" customHeight="1"/>
    <row r="28759" ht="12" customHeight="1"/>
    <row r="28760" ht="12" customHeight="1"/>
    <row r="28761" ht="12" customHeight="1"/>
    <row r="28762" ht="12" customHeight="1"/>
    <row r="28763" ht="12" customHeight="1"/>
    <row r="28764" ht="12" customHeight="1"/>
    <row r="28765" ht="12" customHeight="1"/>
    <row r="28766" ht="12" customHeight="1"/>
    <row r="28767" ht="12" customHeight="1"/>
    <row r="28768" ht="12" customHeight="1"/>
    <row r="28769" ht="12" customHeight="1"/>
    <row r="28770" ht="12" customHeight="1"/>
    <row r="28771" ht="12" customHeight="1"/>
    <row r="28772" ht="12" customHeight="1"/>
    <row r="28773" ht="12" customHeight="1"/>
    <row r="28774" ht="12" customHeight="1"/>
    <row r="28775" ht="12" customHeight="1"/>
    <row r="28776" ht="12" customHeight="1"/>
    <row r="28777" ht="12" customHeight="1"/>
    <row r="28778" ht="12" customHeight="1"/>
    <row r="28779" ht="12" customHeight="1"/>
    <row r="28780" ht="12" customHeight="1"/>
    <row r="28781" ht="12" customHeight="1"/>
    <row r="28782" ht="12" customHeight="1"/>
    <row r="28783" ht="12" customHeight="1"/>
    <row r="28784" ht="12" customHeight="1"/>
    <row r="28785" ht="12" customHeight="1"/>
    <row r="28786" ht="12" customHeight="1"/>
    <row r="28787" ht="12" customHeight="1"/>
    <row r="28788" ht="12" customHeight="1"/>
    <row r="28789" ht="12" customHeight="1"/>
    <row r="28790" ht="12" customHeight="1"/>
    <row r="28791" ht="12" customHeight="1"/>
    <row r="28792" ht="12" customHeight="1"/>
    <row r="28793" ht="12" customHeight="1"/>
    <row r="28794" ht="12" customHeight="1"/>
    <row r="28795" ht="12" customHeight="1"/>
    <row r="28796" ht="12" customHeight="1"/>
    <row r="28797" ht="12" customHeight="1"/>
    <row r="28798" ht="12" customHeight="1"/>
    <row r="28799" ht="12" customHeight="1"/>
    <row r="28800" ht="12" customHeight="1"/>
    <row r="28801" ht="12" customHeight="1"/>
    <row r="28802" ht="12" customHeight="1"/>
    <row r="28803" ht="12" customHeight="1"/>
    <row r="28804" ht="12" customHeight="1"/>
    <row r="28805" ht="12" customHeight="1"/>
    <row r="28806" ht="12" customHeight="1"/>
    <row r="28807" ht="12" customHeight="1"/>
    <row r="28808" ht="12" customHeight="1"/>
    <row r="28809" ht="12" customHeight="1"/>
    <row r="28810" ht="12" customHeight="1"/>
    <row r="28811" ht="12" customHeight="1"/>
    <row r="28812" ht="12" customHeight="1"/>
    <row r="28813" ht="12" customHeight="1"/>
    <row r="28814" ht="12" customHeight="1"/>
    <row r="28815" ht="12" customHeight="1"/>
    <row r="28816" ht="12" customHeight="1"/>
    <row r="28817" ht="12" customHeight="1"/>
    <row r="28818" ht="12" customHeight="1"/>
    <row r="28819" ht="12" customHeight="1"/>
    <row r="28820" ht="12" customHeight="1"/>
    <row r="28821" ht="12" customHeight="1"/>
    <row r="28822" ht="12" customHeight="1"/>
    <row r="28823" ht="12" customHeight="1"/>
    <row r="28824" ht="12" customHeight="1"/>
    <row r="28825" ht="12" customHeight="1"/>
    <row r="28826" ht="12" customHeight="1"/>
    <row r="28827" ht="12" customHeight="1"/>
    <row r="28828" ht="12" customHeight="1"/>
    <row r="28829" ht="12" customHeight="1"/>
    <row r="28830" ht="12" customHeight="1"/>
    <row r="28831" ht="12" customHeight="1"/>
    <row r="28832" ht="12" customHeight="1"/>
    <row r="28833" ht="12" customHeight="1"/>
    <row r="28834" ht="12" customHeight="1"/>
    <row r="28835" ht="12" customHeight="1"/>
    <row r="28836" ht="12" customHeight="1"/>
    <row r="28837" ht="12" customHeight="1"/>
    <row r="28838" ht="12" customHeight="1"/>
    <row r="28839" ht="12" customHeight="1"/>
    <row r="28840" ht="12" customHeight="1"/>
    <row r="28841" ht="12" customHeight="1"/>
    <row r="28842" ht="12" customHeight="1"/>
    <row r="28843" ht="12" customHeight="1"/>
    <row r="28844" ht="12" customHeight="1"/>
    <row r="28845" ht="12" customHeight="1"/>
    <row r="28846" ht="12" customHeight="1"/>
    <row r="28847" ht="12" customHeight="1"/>
    <row r="28848" ht="12" customHeight="1"/>
    <row r="28849" ht="12" customHeight="1"/>
    <row r="28850" ht="12" customHeight="1"/>
    <row r="28851" ht="12" customHeight="1"/>
    <row r="28852" ht="12" customHeight="1"/>
    <row r="28853" ht="12" customHeight="1"/>
    <row r="28854" ht="12" customHeight="1"/>
    <row r="28855" ht="12" customHeight="1"/>
    <row r="28856" ht="12" customHeight="1"/>
    <row r="28857" ht="12" customHeight="1"/>
    <row r="28858" ht="12" customHeight="1"/>
    <row r="28859" ht="12" customHeight="1"/>
    <row r="28860" ht="12" customHeight="1"/>
    <row r="28861" ht="12" customHeight="1"/>
    <row r="28862" ht="12" customHeight="1"/>
    <row r="28863" ht="12" customHeight="1"/>
    <row r="28864" ht="12" customHeight="1"/>
    <row r="28865" ht="12" customHeight="1"/>
    <row r="28866" ht="12" customHeight="1"/>
    <row r="28867" ht="12" customHeight="1"/>
    <row r="28868" ht="12" customHeight="1"/>
    <row r="28869" ht="12" customHeight="1"/>
    <row r="28870" ht="12" customHeight="1"/>
    <row r="28871" ht="12" customHeight="1"/>
    <row r="28872" ht="12" customHeight="1"/>
    <row r="28873" ht="12" customHeight="1"/>
    <row r="28874" ht="12" customHeight="1"/>
    <row r="28875" ht="12" customHeight="1"/>
    <row r="28876" ht="12" customHeight="1"/>
    <row r="28877" ht="12" customHeight="1"/>
    <row r="28878" ht="12" customHeight="1"/>
    <row r="28879" ht="12" customHeight="1"/>
    <row r="28880" ht="12" customHeight="1"/>
    <row r="28881" ht="12" customHeight="1"/>
    <row r="28882" ht="12" customHeight="1"/>
    <row r="28883" ht="12" customHeight="1"/>
    <row r="28884" ht="12" customHeight="1"/>
    <row r="28885" ht="12" customHeight="1"/>
    <row r="28886" ht="12" customHeight="1"/>
    <row r="28887" ht="12" customHeight="1"/>
    <row r="28888" ht="12" customHeight="1"/>
    <row r="28889" ht="12" customHeight="1"/>
    <row r="28890" ht="12" customHeight="1"/>
    <row r="28891" ht="12" customHeight="1"/>
    <row r="28892" ht="12" customHeight="1"/>
    <row r="28893" ht="12" customHeight="1"/>
    <row r="28894" ht="12" customHeight="1"/>
    <row r="28895" ht="12" customHeight="1"/>
    <row r="28896" ht="12" customHeight="1"/>
    <row r="28897" ht="12" customHeight="1"/>
    <row r="28898" ht="12" customHeight="1"/>
    <row r="28899" ht="12" customHeight="1"/>
    <row r="28900" ht="12" customHeight="1"/>
    <row r="28901" ht="12" customHeight="1"/>
    <row r="28902" ht="12" customHeight="1"/>
    <row r="28903" ht="12" customHeight="1"/>
    <row r="28904" ht="12" customHeight="1"/>
    <row r="28905" ht="12" customHeight="1"/>
    <row r="28906" ht="12" customHeight="1"/>
    <row r="28907" ht="12" customHeight="1"/>
    <row r="28908" ht="12" customHeight="1"/>
    <row r="28909" ht="12" customHeight="1"/>
    <row r="28910" ht="12" customHeight="1"/>
    <row r="28911" ht="12" customHeight="1"/>
    <row r="28912" ht="12" customHeight="1"/>
    <row r="28913" ht="12" customHeight="1"/>
    <row r="28914" ht="12" customHeight="1"/>
    <row r="28915" ht="12" customHeight="1"/>
    <row r="28916" ht="12" customHeight="1"/>
    <row r="28917" ht="12" customHeight="1"/>
    <row r="28918" ht="12" customHeight="1"/>
    <row r="28919" ht="12" customHeight="1"/>
    <row r="28920" ht="12" customHeight="1"/>
    <row r="28921" ht="12" customHeight="1"/>
    <row r="28922" ht="12" customHeight="1"/>
    <row r="28923" ht="12" customHeight="1"/>
    <row r="28924" ht="12" customHeight="1"/>
    <row r="28925" ht="12" customHeight="1"/>
    <row r="28926" ht="12" customHeight="1"/>
    <row r="28927" ht="12" customHeight="1"/>
    <row r="28928" ht="12" customHeight="1"/>
    <row r="28929" ht="12" customHeight="1"/>
    <row r="28930" ht="12" customHeight="1"/>
    <row r="28931" ht="12" customHeight="1"/>
    <row r="28932" ht="12" customHeight="1"/>
    <row r="28933" ht="12" customHeight="1"/>
    <row r="28934" ht="12" customHeight="1"/>
    <row r="28935" ht="12" customHeight="1"/>
    <row r="28936" ht="12" customHeight="1"/>
    <row r="28937" ht="12" customHeight="1"/>
    <row r="28938" ht="12" customHeight="1"/>
    <row r="28939" ht="12" customHeight="1"/>
    <row r="28940" ht="12" customHeight="1"/>
    <row r="28941" ht="12" customHeight="1"/>
    <row r="28942" ht="12" customHeight="1"/>
    <row r="28943" ht="12" customHeight="1"/>
    <row r="28944" ht="12" customHeight="1"/>
    <row r="28945" ht="12" customHeight="1"/>
    <row r="28946" ht="12" customHeight="1"/>
    <row r="28947" ht="12" customHeight="1"/>
    <row r="28948" ht="12" customHeight="1"/>
    <row r="28949" ht="12" customHeight="1"/>
    <row r="28950" ht="12" customHeight="1"/>
    <row r="28951" ht="12" customHeight="1"/>
    <row r="28952" ht="12" customHeight="1"/>
    <row r="28953" ht="12" customHeight="1"/>
    <row r="28954" ht="12" customHeight="1"/>
    <row r="28955" ht="12" customHeight="1"/>
    <row r="28956" ht="12" customHeight="1"/>
    <row r="28957" ht="12" customHeight="1"/>
    <row r="28958" ht="12" customHeight="1"/>
    <row r="28959" ht="12" customHeight="1"/>
    <row r="28960" ht="12" customHeight="1"/>
    <row r="28961" ht="12" customHeight="1"/>
    <row r="28962" ht="12" customHeight="1"/>
    <row r="28963" ht="12" customHeight="1"/>
    <row r="28964" ht="12" customHeight="1"/>
    <row r="28965" ht="12" customHeight="1"/>
    <row r="28966" ht="12" customHeight="1"/>
    <row r="28967" ht="12" customHeight="1"/>
    <row r="28968" ht="12" customHeight="1"/>
    <row r="28969" ht="12" customHeight="1"/>
    <row r="28970" ht="12" customHeight="1"/>
    <row r="28971" ht="12" customHeight="1"/>
    <row r="28972" ht="12" customHeight="1"/>
    <row r="28973" ht="12" customHeight="1"/>
    <row r="28974" ht="12" customHeight="1"/>
    <row r="28975" ht="12" customHeight="1"/>
    <row r="28976" ht="12" customHeight="1"/>
    <row r="28977" ht="12" customHeight="1"/>
    <row r="28978" ht="12" customHeight="1"/>
    <row r="28979" ht="12" customHeight="1"/>
    <row r="28980" ht="12" customHeight="1"/>
    <row r="28981" ht="12" customHeight="1"/>
    <row r="28982" ht="12" customHeight="1"/>
    <row r="28983" ht="12" customHeight="1"/>
    <row r="28984" ht="12" customHeight="1"/>
    <row r="28985" ht="12" customHeight="1"/>
    <row r="28986" ht="12" customHeight="1"/>
    <row r="28987" ht="12" customHeight="1"/>
    <row r="28988" ht="12" customHeight="1"/>
    <row r="28989" ht="12" customHeight="1"/>
    <row r="28990" ht="12" customHeight="1"/>
    <row r="28991" ht="12" customHeight="1"/>
    <row r="28992" ht="12" customHeight="1"/>
    <row r="28993" ht="12" customHeight="1"/>
    <row r="28994" ht="12" customHeight="1"/>
    <row r="28995" ht="12" customHeight="1"/>
    <row r="28996" ht="12" customHeight="1"/>
    <row r="28997" ht="12" customHeight="1"/>
    <row r="28998" ht="12" customHeight="1"/>
    <row r="28999" ht="12" customHeight="1"/>
    <row r="29000" ht="12" customHeight="1"/>
    <row r="29001" ht="12" customHeight="1"/>
    <row r="29002" ht="12" customHeight="1"/>
    <row r="29003" ht="12" customHeight="1"/>
    <row r="29004" ht="12" customHeight="1"/>
    <row r="29005" ht="12" customHeight="1"/>
    <row r="29006" ht="12" customHeight="1"/>
    <row r="29007" ht="12" customHeight="1"/>
    <row r="29008" ht="12" customHeight="1"/>
    <row r="29009" ht="12" customHeight="1"/>
    <row r="29010" ht="12" customHeight="1"/>
    <row r="29011" ht="12" customHeight="1"/>
    <row r="29012" ht="12" customHeight="1"/>
    <row r="29013" ht="12" customHeight="1"/>
    <row r="29014" ht="12" customHeight="1"/>
    <row r="29015" ht="12" customHeight="1"/>
    <row r="29016" ht="12" customHeight="1"/>
    <row r="29017" ht="12" customHeight="1"/>
    <row r="29018" ht="12" customHeight="1"/>
    <row r="29019" ht="12" customHeight="1"/>
    <row r="29020" ht="12" customHeight="1"/>
    <row r="29021" ht="12" customHeight="1"/>
    <row r="29022" ht="12" customHeight="1"/>
    <row r="29023" ht="12" customHeight="1"/>
    <row r="29024" ht="12" customHeight="1"/>
    <row r="29025" ht="12" customHeight="1"/>
    <row r="29026" ht="12" customHeight="1"/>
    <row r="29027" ht="12" customHeight="1"/>
    <row r="29028" ht="12" customHeight="1"/>
    <row r="29029" ht="12" customHeight="1"/>
    <row r="29030" ht="12" customHeight="1"/>
    <row r="29031" ht="12" customHeight="1"/>
    <row r="29032" ht="12" customHeight="1"/>
    <row r="29033" ht="12" customHeight="1"/>
    <row r="29034" ht="12" customHeight="1"/>
    <row r="29035" ht="12" customHeight="1"/>
    <row r="29036" ht="12" customHeight="1"/>
    <row r="29037" ht="12" customHeight="1"/>
    <row r="29038" ht="12" customHeight="1"/>
    <row r="29039" ht="12" customHeight="1"/>
    <row r="29040" ht="12" customHeight="1"/>
    <row r="29041" ht="12" customHeight="1"/>
    <row r="29042" ht="12" customHeight="1"/>
    <row r="29043" ht="12" customHeight="1"/>
    <row r="29044" ht="12" customHeight="1"/>
    <row r="29045" ht="12" customHeight="1"/>
    <row r="29046" ht="12" customHeight="1"/>
    <row r="29047" ht="12" customHeight="1"/>
    <row r="29048" ht="12" customHeight="1"/>
    <row r="29049" ht="12" customHeight="1"/>
    <row r="29050" ht="12" customHeight="1"/>
    <row r="29051" ht="12" customHeight="1"/>
    <row r="29052" ht="12" customHeight="1"/>
    <row r="29053" ht="12" customHeight="1"/>
    <row r="29054" ht="12" customHeight="1"/>
    <row r="29055" ht="12" customHeight="1"/>
    <row r="29056" ht="12" customHeight="1"/>
    <row r="29057" ht="12" customHeight="1"/>
    <row r="29058" ht="12" customHeight="1"/>
    <row r="29059" ht="12" customHeight="1"/>
    <row r="29060" ht="12" customHeight="1"/>
    <row r="29061" ht="12" customHeight="1"/>
    <row r="29062" ht="12" customHeight="1"/>
    <row r="29063" ht="12" customHeight="1"/>
    <row r="29064" ht="12" customHeight="1"/>
    <row r="29065" ht="12" customHeight="1"/>
    <row r="29066" ht="12" customHeight="1"/>
    <row r="29067" ht="12" customHeight="1"/>
    <row r="29068" ht="12" customHeight="1"/>
    <row r="29069" ht="12" customHeight="1"/>
    <row r="29070" ht="12" customHeight="1"/>
    <row r="29071" ht="12" customHeight="1"/>
    <row r="29072" ht="12" customHeight="1"/>
    <row r="29073" ht="12" customHeight="1"/>
    <row r="29074" ht="12" customHeight="1"/>
    <row r="29075" ht="12" customHeight="1"/>
    <row r="29076" ht="12" customHeight="1"/>
    <row r="29077" ht="12" customHeight="1"/>
    <row r="29078" ht="12" customHeight="1"/>
    <row r="29079" ht="12" customHeight="1"/>
    <row r="29080" ht="12" customHeight="1"/>
    <row r="29081" ht="12" customHeight="1"/>
    <row r="29082" ht="12" customHeight="1"/>
    <row r="29083" ht="12" customHeight="1"/>
    <row r="29084" ht="12" customHeight="1"/>
    <row r="29085" ht="12" customHeight="1"/>
    <row r="29086" ht="12" customHeight="1"/>
    <row r="29087" ht="12" customHeight="1"/>
    <row r="29088" ht="12" customHeight="1"/>
    <row r="29089" ht="12" customHeight="1"/>
    <row r="29090" ht="12" customHeight="1"/>
    <row r="29091" ht="12" customHeight="1"/>
    <row r="29092" ht="12" customHeight="1"/>
    <row r="29093" ht="12" customHeight="1"/>
    <row r="29094" ht="12" customHeight="1"/>
    <row r="29095" ht="12" customHeight="1"/>
    <row r="29096" ht="12" customHeight="1"/>
    <row r="29097" ht="12" customHeight="1"/>
    <row r="29098" ht="12" customHeight="1"/>
    <row r="29099" ht="12" customHeight="1"/>
    <row r="29100" ht="12" customHeight="1"/>
    <row r="29101" ht="12" customHeight="1"/>
    <row r="29102" ht="12" customHeight="1"/>
    <row r="29103" ht="12" customHeight="1"/>
    <row r="29104" ht="12" customHeight="1"/>
    <row r="29105" ht="12" customHeight="1"/>
    <row r="29106" ht="12" customHeight="1"/>
    <row r="29107" ht="12" customHeight="1"/>
    <row r="29108" ht="12" customHeight="1"/>
    <row r="29109" ht="12" customHeight="1"/>
    <row r="29110" ht="12" customHeight="1"/>
    <row r="29111" ht="12" customHeight="1"/>
    <row r="29112" ht="12" customHeight="1"/>
    <row r="29113" ht="12" customHeight="1"/>
    <row r="29114" ht="12" customHeight="1"/>
    <row r="29115" ht="12" customHeight="1"/>
    <row r="29116" ht="12" customHeight="1"/>
    <row r="29117" ht="12" customHeight="1"/>
    <row r="29118" ht="12" customHeight="1"/>
    <row r="29119" ht="12" customHeight="1"/>
    <row r="29120" ht="12" customHeight="1"/>
    <row r="29121" ht="12" customHeight="1"/>
    <row r="29122" ht="12" customHeight="1"/>
    <row r="29123" ht="12" customHeight="1"/>
    <row r="29124" ht="12" customHeight="1"/>
    <row r="29125" ht="12" customHeight="1"/>
    <row r="29126" ht="12" customHeight="1"/>
    <row r="29127" ht="12" customHeight="1"/>
    <row r="29128" ht="12" customHeight="1"/>
    <row r="29129" ht="12" customHeight="1"/>
    <row r="29130" ht="12" customHeight="1"/>
    <row r="29131" ht="12" customHeight="1"/>
    <row r="29132" ht="12" customHeight="1"/>
    <row r="29133" ht="12" customHeight="1"/>
    <row r="29134" ht="12" customHeight="1"/>
    <row r="29135" ht="12" customHeight="1"/>
    <row r="29136" ht="12" customHeight="1"/>
    <row r="29137" ht="12" customHeight="1"/>
    <row r="29138" ht="12" customHeight="1"/>
    <row r="29139" ht="12" customHeight="1"/>
    <row r="29140" ht="12" customHeight="1"/>
    <row r="29141" ht="12" customHeight="1"/>
    <row r="29142" ht="12" customHeight="1"/>
    <row r="29143" ht="12" customHeight="1"/>
    <row r="29144" ht="12" customHeight="1"/>
    <row r="29145" ht="12" customHeight="1"/>
    <row r="29146" ht="12" customHeight="1"/>
    <row r="29147" ht="12" customHeight="1"/>
    <row r="29148" ht="12" customHeight="1"/>
    <row r="29149" ht="12" customHeight="1"/>
    <row r="29150" ht="12" customHeight="1"/>
    <row r="29151" ht="12" customHeight="1"/>
    <row r="29152" ht="12" customHeight="1"/>
    <row r="29153" ht="12" customHeight="1"/>
    <row r="29154" ht="12" customHeight="1"/>
    <row r="29155" ht="12" customHeight="1"/>
    <row r="29156" ht="12" customHeight="1"/>
    <row r="29157" ht="12" customHeight="1"/>
    <row r="29158" ht="12" customHeight="1"/>
    <row r="29159" ht="12" customHeight="1"/>
    <row r="29160" ht="12" customHeight="1"/>
    <row r="29161" ht="12" customHeight="1"/>
    <row r="29162" ht="12" customHeight="1"/>
    <row r="29163" ht="12" customHeight="1"/>
    <row r="29164" ht="12" customHeight="1"/>
    <row r="29165" ht="12" customHeight="1"/>
    <row r="29166" ht="12" customHeight="1"/>
    <row r="29167" ht="12" customHeight="1"/>
    <row r="29168" ht="12" customHeight="1"/>
    <row r="29169" ht="12" customHeight="1"/>
    <row r="29170" ht="12" customHeight="1"/>
    <row r="29171" ht="12" customHeight="1"/>
    <row r="29172" ht="12" customHeight="1"/>
    <row r="29173" ht="12" customHeight="1"/>
    <row r="29174" ht="12" customHeight="1"/>
    <row r="29175" ht="12" customHeight="1"/>
    <row r="29176" ht="12" customHeight="1"/>
    <row r="29177" ht="12" customHeight="1"/>
    <row r="29178" ht="12" customHeight="1"/>
    <row r="29179" ht="12" customHeight="1"/>
    <row r="29180" ht="12" customHeight="1"/>
    <row r="29181" ht="12" customHeight="1"/>
    <row r="29182" ht="12" customHeight="1"/>
    <row r="29183" ht="12" customHeight="1"/>
    <row r="29184" ht="12" customHeight="1"/>
    <row r="29185" ht="12" customHeight="1"/>
    <row r="29186" ht="12" customHeight="1"/>
    <row r="29187" ht="12" customHeight="1"/>
    <row r="29188" ht="12" customHeight="1"/>
    <row r="29189" ht="12" customHeight="1"/>
    <row r="29190" ht="12" customHeight="1"/>
    <row r="29191" ht="12" customHeight="1"/>
    <row r="29192" ht="12" customHeight="1"/>
    <row r="29193" ht="12" customHeight="1"/>
    <row r="29194" ht="12" customHeight="1"/>
    <row r="29195" ht="12" customHeight="1"/>
    <row r="29196" ht="12" customHeight="1"/>
    <row r="29197" ht="12" customHeight="1"/>
    <row r="29198" ht="12" customHeight="1"/>
    <row r="29199" ht="12" customHeight="1"/>
    <row r="29200" ht="12" customHeight="1"/>
    <row r="29201" ht="12" customHeight="1"/>
    <row r="29202" ht="12" customHeight="1"/>
    <row r="29203" ht="12" customHeight="1"/>
    <row r="29204" ht="12" customHeight="1"/>
    <row r="29205" ht="12" customHeight="1"/>
    <row r="29206" ht="12" customHeight="1"/>
    <row r="29207" ht="12" customHeight="1"/>
    <row r="29208" ht="12" customHeight="1"/>
    <row r="29209" ht="12" customHeight="1"/>
    <row r="29210" ht="12" customHeight="1"/>
    <row r="29211" ht="12" customHeight="1"/>
    <row r="29212" ht="12" customHeight="1"/>
    <row r="29213" ht="12" customHeight="1"/>
    <row r="29214" ht="12" customHeight="1"/>
    <row r="29215" ht="12" customHeight="1"/>
    <row r="29216" ht="12" customHeight="1"/>
    <row r="29217" ht="12" customHeight="1"/>
    <row r="29218" ht="12" customHeight="1"/>
    <row r="29219" ht="12" customHeight="1"/>
    <row r="29220" ht="12" customHeight="1"/>
    <row r="29221" ht="12" customHeight="1"/>
    <row r="29222" ht="12" customHeight="1"/>
    <row r="29223" ht="12" customHeight="1"/>
    <row r="29224" ht="12" customHeight="1"/>
    <row r="29225" ht="12" customHeight="1"/>
    <row r="29226" ht="12" customHeight="1"/>
    <row r="29227" ht="12" customHeight="1"/>
    <row r="29228" ht="12" customHeight="1"/>
    <row r="29229" ht="12" customHeight="1"/>
    <row r="29230" ht="12" customHeight="1"/>
    <row r="29231" ht="12" customHeight="1"/>
    <row r="29232" ht="12" customHeight="1"/>
    <row r="29233" ht="12" customHeight="1"/>
    <row r="29234" ht="12" customHeight="1"/>
    <row r="29235" ht="12" customHeight="1"/>
    <row r="29236" ht="12" customHeight="1"/>
    <row r="29237" ht="12" customHeight="1"/>
    <row r="29238" ht="12" customHeight="1"/>
    <row r="29239" ht="12" customHeight="1"/>
    <row r="29240" ht="12" customHeight="1"/>
    <row r="29241" ht="12" customHeight="1"/>
    <row r="29242" ht="12" customHeight="1"/>
    <row r="29243" ht="12" customHeight="1"/>
    <row r="29244" ht="12" customHeight="1"/>
    <row r="29245" ht="12" customHeight="1"/>
    <row r="29246" ht="12" customHeight="1"/>
    <row r="29247" ht="12" customHeight="1"/>
    <row r="29248" ht="12" customHeight="1"/>
    <row r="29249" ht="12" customHeight="1"/>
    <row r="29250" ht="12" customHeight="1"/>
    <row r="29251" ht="12" customHeight="1"/>
    <row r="29252" ht="12" customHeight="1"/>
    <row r="29253" ht="12" customHeight="1"/>
    <row r="29254" ht="12" customHeight="1"/>
    <row r="29255" ht="12" customHeight="1"/>
    <row r="29256" ht="12" customHeight="1"/>
    <row r="29257" ht="12" customHeight="1"/>
    <row r="29258" ht="12" customHeight="1"/>
    <row r="29259" ht="12" customHeight="1"/>
    <row r="29260" ht="12" customHeight="1"/>
    <row r="29261" ht="12" customHeight="1"/>
    <row r="29262" ht="12" customHeight="1"/>
    <row r="29263" ht="12" customHeight="1"/>
    <row r="29264" ht="12" customHeight="1"/>
    <row r="29265" ht="12" customHeight="1"/>
    <row r="29266" ht="12" customHeight="1"/>
    <row r="29267" ht="12" customHeight="1"/>
    <row r="29268" ht="12" customHeight="1"/>
    <row r="29269" ht="12" customHeight="1"/>
    <row r="29270" ht="12" customHeight="1"/>
    <row r="29271" ht="12" customHeight="1"/>
    <row r="29272" ht="12" customHeight="1"/>
    <row r="29273" ht="12" customHeight="1"/>
    <row r="29274" ht="12" customHeight="1"/>
    <row r="29275" ht="12" customHeight="1"/>
    <row r="29276" ht="12" customHeight="1"/>
    <row r="29277" ht="12" customHeight="1"/>
    <row r="29278" ht="12" customHeight="1"/>
    <row r="29279" ht="12" customHeight="1"/>
    <row r="29280" ht="12" customHeight="1"/>
    <row r="29281" ht="12" customHeight="1"/>
    <row r="29282" ht="12" customHeight="1"/>
    <row r="29283" ht="12" customHeight="1"/>
    <row r="29284" ht="12" customHeight="1"/>
    <row r="29285" ht="12" customHeight="1"/>
    <row r="29286" ht="12" customHeight="1"/>
    <row r="29287" ht="12" customHeight="1"/>
    <row r="29288" ht="12" customHeight="1"/>
    <row r="29289" ht="12" customHeight="1"/>
    <row r="29290" ht="12" customHeight="1"/>
    <row r="29291" ht="12" customHeight="1"/>
    <row r="29292" ht="12" customHeight="1"/>
    <row r="29293" ht="12" customHeight="1"/>
    <row r="29294" ht="12" customHeight="1"/>
    <row r="29295" ht="12" customHeight="1"/>
    <row r="29296" ht="12" customHeight="1"/>
    <row r="29297" ht="12" customHeight="1"/>
    <row r="29298" ht="12" customHeight="1"/>
    <row r="29299" ht="12" customHeight="1"/>
    <row r="29300" ht="12" customHeight="1"/>
    <row r="29301" ht="12" customHeight="1"/>
    <row r="29302" ht="12" customHeight="1"/>
    <row r="29303" ht="12" customHeight="1"/>
    <row r="29304" ht="12" customHeight="1"/>
    <row r="29305" ht="12" customHeight="1"/>
    <row r="29306" ht="12" customHeight="1"/>
    <row r="29307" ht="12" customHeight="1"/>
    <row r="29308" ht="12" customHeight="1"/>
    <row r="29309" ht="12" customHeight="1"/>
    <row r="29310" ht="12" customHeight="1"/>
    <row r="29311" ht="12" customHeight="1"/>
    <row r="29312" ht="12" customHeight="1"/>
    <row r="29313" ht="12" customHeight="1"/>
    <row r="29314" ht="12" customHeight="1"/>
    <row r="29315" ht="12" customHeight="1"/>
    <row r="29316" ht="12" customHeight="1"/>
    <row r="29317" ht="12" customHeight="1"/>
    <row r="29318" ht="12" customHeight="1"/>
    <row r="29319" ht="12" customHeight="1"/>
    <row r="29320" ht="12" customHeight="1"/>
    <row r="29321" ht="12" customHeight="1"/>
    <row r="29322" ht="12" customHeight="1"/>
    <row r="29323" ht="12" customHeight="1"/>
    <row r="29324" ht="12" customHeight="1"/>
    <row r="29325" ht="12" customHeight="1"/>
    <row r="29326" ht="12" customHeight="1"/>
    <row r="29327" ht="12" customHeight="1"/>
    <row r="29328" ht="12" customHeight="1"/>
    <row r="29329" ht="12" customHeight="1"/>
    <row r="29330" ht="12" customHeight="1"/>
    <row r="29331" ht="12" customHeight="1"/>
    <row r="29332" ht="12" customHeight="1"/>
    <row r="29333" ht="12" customHeight="1"/>
    <row r="29334" ht="12" customHeight="1"/>
    <row r="29335" ht="12" customHeight="1"/>
    <row r="29336" ht="12" customHeight="1"/>
    <row r="29337" ht="12" customHeight="1"/>
    <row r="29338" ht="12" customHeight="1"/>
    <row r="29339" ht="12" customHeight="1"/>
    <row r="29340" ht="12" customHeight="1"/>
    <row r="29341" ht="12" customHeight="1"/>
    <row r="29342" ht="12" customHeight="1"/>
    <row r="29343" ht="12" customHeight="1"/>
    <row r="29344" ht="12" customHeight="1"/>
    <row r="29345" ht="12" customHeight="1"/>
    <row r="29346" ht="12" customHeight="1"/>
    <row r="29347" ht="12" customHeight="1"/>
    <row r="29348" ht="12" customHeight="1"/>
    <row r="29349" ht="12" customHeight="1"/>
    <row r="29350" ht="12" customHeight="1"/>
    <row r="29351" ht="12" customHeight="1"/>
    <row r="29352" ht="12" customHeight="1"/>
    <row r="29353" ht="12" customHeight="1"/>
    <row r="29354" ht="12" customHeight="1"/>
    <row r="29355" ht="12" customHeight="1"/>
    <row r="29356" ht="12" customHeight="1"/>
    <row r="29357" ht="12" customHeight="1"/>
    <row r="29358" ht="12" customHeight="1"/>
    <row r="29359" ht="12" customHeight="1"/>
    <row r="29360" ht="12" customHeight="1"/>
    <row r="29361" ht="12" customHeight="1"/>
    <row r="29362" ht="12" customHeight="1"/>
    <row r="29363" ht="12" customHeight="1"/>
    <row r="29364" ht="12" customHeight="1"/>
    <row r="29365" ht="12" customHeight="1"/>
    <row r="29366" ht="12" customHeight="1"/>
    <row r="29367" ht="12" customHeight="1"/>
    <row r="29368" ht="12" customHeight="1"/>
    <row r="29369" ht="12" customHeight="1"/>
    <row r="29370" ht="12" customHeight="1"/>
    <row r="29371" ht="12" customHeight="1"/>
    <row r="29372" ht="12" customHeight="1"/>
    <row r="29373" ht="12" customHeight="1"/>
    <row r="29374" ht="12" customHeight="1"/>
    <row r="29375" ht="12" customHeight="1"/>
    <row r="29376" ht="12" customHeight="1"/>
    <row r="29377" ht="12" customHeight="1"/>
    <row r="29378" ht="12" customHeight="1"/>
    <row r="29379" ht="12" customHeight="1"/>
    <row r="29380" ht="12" customHeight="1"/>
    <row r="29381" ht="12" customHeight="1"/>
    <row r="29382" ht="12" customHeight="1"/>
    <row r="29383" ht="12" customHeight="1"/>
    <row r="29384" ht="12" customHeight="1"/>
    <row r="29385" ht="12" customHeight="1"/>
    <row r="29386" ht="12" customHeight="1"/>
    <row r="29387" ht="12" customHeight="1"/>
    <row r="29388" ht="12" customHeight="1"/>
    <row r="29389" ht="12" customHeight="1"/>
    <row r="29390" ht="12" customHeight="1"/>
    <row r="29391" ht="12" customHeight="1"/>
    <row r="29392" ht="12" customHeight="1"/>
    <row r="29393" ht="12" customHeight="1"/>
    <row r="29394" ht="12" customHeight="1"/>
    <row r="29395" ht="12" customHeight="1"/>
    <row r="29396" ht="12" customHeight="1"/>
    <row r="29397" ht="12" customHeight="1"/>
    <row r="29398" ht="12" customHeight="1"/>
    <row r="29399" ht="12" customHeight="1"/>
    <row r="29400" ht="12" customHeight="1"/>
    <row r="29401" ht="12" customHeight="1"/>
    <row r="29402" ht="12" customHeight="1"/>
    <row r="29403" ht="12" customHeight="1"/>
    <row r="29404" ht="12" customHeight="1"/>
    <row r="29405" ht="12" customHeight="1"/>
    <row r="29406" ht="12" customHeight="1"/>
    <row r="29407" ht="12" customHeight="1"/>
    <row r="29408" ht="12" customHeight="1"/>
    <row r="29409" ht="12" customHeight="1"/>
    <row r="29410" ht="12" customHeight="1"/>
    <row r="29411" ht="12" customHeight="1"/>
    <row r="29412" ht="12" customHeight="1"/>
    <row r="29413" ht="12" customHeight="1"/>
    <row r="29414" ht="12" customHeight="1"/>
    <row r="29415" ht="12" customHeight="1"/>
    <row r="29416" ht="12" customHeight="1"/>
    <row r="29417" ht="12" customHeight="1"/>
    <row r="29418" ht="12" customHeight="1"/>
    <row r="29419" ht="12" customHeight="1"/>
    <row r="29420" ht="12" customHeight="1"/>
    <row r="29421" ht="12" customHeight="1"/>
    <row r="29422" ht="12" customHeight="1"/>
    <row r="29423" ht="12" customHeight="1"/>
    <row r="29424" ht="12" customHeight="1"/>
    <row r="29425" ht="12" customHeight="1"/>
    <row r="29426" ht="12" customHeight="1"/>
    <row r="29427" ht="12" customHeight="1"/>
    <row r="29428" ht="12" customHeight="1"/>
    <row r="29429" ht="12" customHeight="1"/>
    <row r="29430" ht="12" customHeight="1"/>
    <row r="29431" ht="12" customHeight="1"/>
    <row r="29432" ht="12" customHeight="1"/>
    <row r="29433" ht="12" customHeight="1"/>
    <row r="29434" ht="12" customHeight="1"/>
    <row r="29435" ht="12" customHeight="1"/>
    <row r="29436" ht="12" customHeight="1"/>
    <row r="29437" ht="12" customHeight="1"/>
    <row r="29438" ht="12" customHeight="1"/>
    <row r="29439" ht="12" customHeight="1"/>
    <row r="29440" ht="12" customHeight="1"/>
    <row r="29441" ht="12" customHeight="1"/>
    <row r="29442" ht="12" customHeight="1"/>
    <row r="29443" ht="12" customHeight="1"/>
    <row r="29444" ht="12" customHeight="1"/>
    <row r="29445" ht="12" customHeight="1"/>
    <row r="29446" ht="12" customHeight="1"/>
    <row r="29447" ht="12" customHeight="1"/>
    <row r="29448" ht="12" customHeight="1"/>
    <row r="29449" ht="12" customHeight="1"/>
    <row r="29450" ht="12" customHeight="1"/>
    <row r="29451" ht="12" customHeight="1"/>
    <row r="29452" ht="12" customHeight="1"/>
    <row r="29453" ht="12" customHeight="1"/>
    <row r="29454" ht="12" customHeight="1"/>
    <row r="29455" ht="12" customHeight="1"/>
    <row r="29456" ht="12" customHeight="1"/>
    <row r="29457" ht="12" customHeight="1"/>
    <row r="29458" ht="12" customHeight="1"/>
    <row r="29459" ht="12" customHeight="1"/>
    <row r="29460" ht="12" customHeight="1"/>
    <row r="29461" ht="12" customHeight="1"/>
    <row r="29462" ht="12" customHeight="1"/>
    <row r="29463" ht="12" customHeight="1"/>
    <row r="29464" ht="12" customHeight="1"/>
    <row r="29465" ht="12" customHeight="1"/>
    <row r="29466" ht="12" customHeight="1"/>
    <row r="29467" ht="12" customHeight="1"/>
    <row r="29468" ht="12" customHeight="1"/>
    <row r="29469" ht="12" customHeight="1"/>
    <row r="29470" ht="12" customHeight="1"/>
    <row r="29471" ht="12" customHeight="1"/>
    <row r="29472" ht="12" customHeight="1"/>
    <row r="29473" ht="12" customHeight="1"/>
    <row r="29474" ht="12" customHeight="1"/>
    <row r="29475" ht="12" customHeight="1"/>
    <row r="29476" ht="12" customHeight="1"/>
    <row r="29477" ht="12" customHeight="1"/>
    <row r="29478" ht="12" customHeight="1"/>
    <row r="29479" ht="12" customHeight="1"/>
    <row r="29480" ht="12" customHeight="1"/>
    <row r="29481" ht="12" customHeight="1"/>
    <row r="29482" ht="12" customHeight="1"/>
    <row r="29483" ht="12" customHeight="1"/>
    <row r="29484" ht="12" customHeight="1"/>
    <row r="29485" ht="12" customHeight="1"/>
    <row r="29486" ht="12" customHeight="1"/>
    <row r="29487" ht="12" customHeight="1"/>
    <row r="29488" ht="12" customHeight="1"/>
    <row r="29489" ht="12" customHeight="1"/>
    <row r="29490" ht="12" customHeight="1"/>
    <row r="29491" ht="12" customHeight="1"/>
    <row r="29492" ht="12" customHeight="1"/>
    <row r="29493" ht="12" customHeight="1"/>
    <row r="29494" ht="12" customHeight="1"/>
    <row r="29495" ht="12" customHeight="1"/>
    <row r="29496" ht="12" customHeight="1"/>
    <row r="29497" ht="12" customHeight="1"/>
    <row r="29498" ht="12" customHeight="1"/>
    <row r="29499" ht="12" customHeight="1"/>
    <row r="29500" ht="12" customHeight="1"/>
    <row r="29501" ht="12" customHeight="1"/>
    <row r="29502" ht="12" customHeight="1"/>
    <row r="29503" ht="12" customHeight="1"/>
    <row r="29504" ht="12" customHeight="1"/>
    <row r="29505" ht="12" customHeight="1"/>
    <row r="29506" ht="12" customHeight="1"/>
    <row r="29507" ht="12" customHeight="1"/>
    <row r="29508" ht="12" customHeight="1"/>
    <row r="29509" ht="12" customHeight="1"/>
    <row r="29510" ht="12" customHeight="1"/>
    <row r="29511" ht="12" customHeight="1"/>
    <row r="29512" ht="12" customHeight="1"/>
    <row r="29513" ht="12" customHeight="1"/>
    <row r="29514" ht="12" customHeight="1"/>
    <row r="29515" ht="12" customHeight="1"/>
    <row r="29516" ht="12" customHeight="1"/>
    <row r="29517" ht="12" customHeight="1"/>
    <row r="29518" ht="12" customHeight="1"/>
    <row r="29519" ht="12" customHeight="1"/>
    <row r="29520" ht="12" customHeight="1"/>
    <row r="29521" ht="12" customHeight="1"/>
    <row r="29522" ht="12" customHeight="1"/>
    <row r="29523" ht="12" customHeight="1"/>
    <row r="29524" ht="12" customHeight="1"/>
    <row r="29525" ht="12" customHeight="1"/>
    <row r="29526" ht="12" customHeight="1"/>
    <row r="29527" ht="12" customHeight="1"/>
    <row r="29528" ht="12" customHeight="1"/>
    <row r="29529" ht="12" customHeight="1"/>
    <row r="29530" ht="12" customHeight="1"/>
    <row r="29531" ht="12" customHeight="1"/>
    <row r="29532" ht="12" customHeight="1"/>
    <row r="29533" ht="12" customHeight="1"/>
    <row r="29534" ht="12" customHeight="1"/>
    <row r="29535" ht="12" customHeight="1"/>
    <row r="29536" ht="12" customHeight="1"/>
    <row r="29537" ht="12" customHeight="1"/>
    <row r="29538" ht="12" customHeight="1"/>
    <row r="29539" ht="12" customHeight="1"/>
    <row r="29540" ht="12" customHeight="1"/>
    <row r="29541" ht="12" customHeight="1"/>
    <row r="29542" ht="12" customHeight="1"/>
    <row r="29543" ht="12" customHeight="1"/>
    <row r="29544" ht="12" customHeight="1"/>
    <row r="29545" ht="12" customHeight="1"/>
    <row r="29546" ht="12" customHeight="1"/>
    <row r="29547" ht="12" customHeight="1"/>
    <row r="29548" ht="12" customHeight="1"/>
    <row r="29549" ht="12" customHeight="1"/>
    <row r="29550" ht="12" customHeight="1"/>
    <row r="29551" ht="12" customHeight="1"/>
    <row r="29552" ht="12" customHeight="1"/>
    <row r="29553" ht="12" customHeight="1"/>
    <row r="29554" ht="12" customHeight="1"/>
    <row r="29555" ht="12" customHeight="1"/>
    <row r="29556" ht="12" customHeight="1"/>
    <row r="29557" ht="12" customHeight="1"/>
    <row r="29558" ht="12" customHeight="1"/>
    <row r="29559" ht="12" customHeight="1"/>
    <row r="29560" ht="12" customHeight="1"/>
    <row r="29561" ht="12" customHeight="1"/>
    <row r="29562" ht="12" customHeight="1"/>
    <row r="29563" ht="12" customHeight="1"/>
    <row r="29564" ht="12" customHeight="1"/>
    <row r="29565" ht="12" customHeight="1"/>
    <row r="29566" ht="12" customHeight="1"/>
    <row r="29567" ht="12" customHeight="1"/>
    <row r="29568" ht="12" customHeight="1"/>
    <row r="29569" ht="12" customHeight="1"/>
    <row r="29570" ht="12" customHeight="1"/>
    <row r="29571" ht="12" customHeight="1"/>
    <row r="29572" ht="12" customHeight="1"/>
    <row r="29573" ht="12" customHeight="1"/>
    <row r="29574" ht="12" customHeight="1"/>
    <row r="29575" ht="12" customHeight="1"/>
    <row r="29576" ht="12" customHeight="1"/>
    <row r="29577" ht="12" customHeight="1"/>
    <row r="29578" ht="12" customHeight="1"/>
    <row r="29579" ht="12" customHeight="1"/>
    <row r="29580" ht="12" customHeight="1"/>
    <row r="29581" ht="12" customHeight="1"/>
    <row r="29582" ht="12" customHeight="1"/>
    <row r="29583" ht="12" customHeight="1"/>
    <row r="29584" ht="12" customHeight="1"/>
    <row r="29585" ht="12" customHeight="1"/>
    <row r="29586" ht="12" customHeight="1"/>
    <row r="29587" ht="12" customHeight="1"/>
    <row r="29588" ht="12" customHeight="1"/>
    <row r="29589" ht="12" customHeight="1"/>
    <row r="29590" ht="12" customHeight="1"/>
    <row r="29591" ht="12" customHeight="1"/>
    <row r="29592" ht="12" customHeight="1"/>
    <row r="29593" ht="12" customHeight="1"/>
    <row r="29594" ht="12" customHeight="1"/>
    <row r="29595" ht="12" customHeight="1"/>
    <row r="29596" ht="12" customHeight="1"/>
    <row r="29597" ht="12" customHeight="1"/>
    <row r="29598" ht="12" customHeight="1"/>
    <row r="29599" ht="12" customHeight="1"/>
    <row r="29600" ht="12" customHeight="1"/>
    <row r="29601" ht="12" customHeight="1"/>
    <row r="29602" ht="12" customHeight="1"/>
    <row r="29603" ht="12" customHeight="1"/>
    <row r="29604" ht="12" customHeight="1"/>
    <row r="29605" ht="12" customHeight="1"/>
    <row r="29606" ht="12" customHeight="1"/>
    <row r="29607" ht="12" customHeight="1"/>
    <row r="29608" ht="12" customHeight="1"/>
    <row r="29609" ht="12" customHeight="1"/>
    <row r="29610" ht="12" customHeight="1"/>
    <row r="29611" ht="12" customHeight="1"/>
    <row r="29612" ht="12" customHeight="1"/>
    <row r="29613" ht="12" customHeight="1"/>
    <row r="29614" ht="12" customHeight="1"/>
    <row r="29615" ht="12" customHeight="1"/>
    <row r="29616" ht="12" customHeight="1"/>
    <row r="29617" ht="12" customHeight="1"/>
    <row r="29618" ht="12" customHeight="1"/>
    <row r="29619" ht="12" customHeight="1"/>
    <row r="29620" ht="12" customHeight="1"/>
    <row r="29621" ht="12" customHeight="1"/>
    <row r="29622" ht="12" customHeight="1"/>
    <row r="29623" ht="12" customHeight="1"/>
    <row r="29624" ht="12" customHeight="1"/>
    <row r="29625" ht="12" customHeight="1"/>
    <row r="29626" ht="12" customHeight="1"/>
    <row r="29627" ht="12" customHeight="1"/>
    <row r="29628" ht="12" customHeight="1"/>
    <row r="29629" ht="12" customHeight="1"/>
    <row r="29630" ht="12" customHeight="1"/>
    <row r="29631" ht="12" customHeight="1"/>
    <row r="29632" ht="12" customHeight="1"/>
    <row r="29633" ht="12" customHeight="1"/>
    <row r="29634" ht="12" customHeight="1"/>
    <row r="29635" ht="12" customHeight="1"/>
    <row r="29636" ht="12" customHeight="1"/>
    <row r="29637" ht="12" customHeight="1"/>
    <row r="29638" ht="12" customHeight="1"/>
    <row r="29639" ht="12" customHeight="1"/>
    <row r="29640" ht="12" customHeight="1"/>
    <row r="29641" ht="12" customHeight="1"/>
    <row r="29642" ht="12" customHeight="1"/>
    <row r="29643" ht="12" customHeight="1"/>
    <row r="29644" ht="12" customHeight="1"/>
    <row r="29645" ht="12" customHeight="1"/>
    <row r="29646" ht="12" customHeight="1"/>
    <row r="29647" ht="12" customHeight="1"/>
    <row r="29648" ht="12" customHeight="1"/>
    <row r="29649" ht="12" customHeight="1"/>
    <row r="29650" ht="12" customHeight="1"/>
    <row r="29651" ht="12" customHeight="1"/>
    <row r="29652" ht="12" customHeight="1"/>
    <row r="29653" ht="12" customHeight="1"/>
    <row r="29654" ht="12" customHeight="1"/>
    <row r="29655" ht="12" customHeight="1"/>
    <row r="29656" ht="12" customHeight="1"/>
    <row r="29657" ht="12" customHeight="1"/>
    <row r="29658" ht="12" customHeight="1"/>
    <row r="29659" ht="12" customHeight="1"/>
    <row r="29660" ht="12" customHeight="1"/>
    <row r="29661" ht="12" customHeight="1"/>
    <row r="29662" ht="12" customHeight="1"/>
    <row r="29663" ht="12" customHeight="1"/>
    <row r="29664" ht="12" customHeight="1"/>
    <row r="29665" ht="12" customHeight="1"/>
    <row r="29666" ht="12" customHeight="1"/>
    <row r="29667" ht="12" customHeight="1"/>
    <row r="29668" ht="12" customHeight="1"/>
    <row r="29669" ht="12" customHeight="1"/>
    <row r="29670" ht="12" customHeight="1"/>
    <row r="29671" ht="12" customHeight="1"/>
    <row r="29672" ht="12" customHeight="1"/>
    <row r="29673" ht="12" customHeight="1"/>
    <row r="29674" ht="12" customHeight="1"/>
    <row r="29675" ht="12" customHeight="1"/>
    <row r="29676" ht="12" customHeight="1"/>
    <row r="29677" ht="12" customHeight="1"/>
    <row r="29678" ht="12" customHeight="1"/>
    <row r="29679" ht="12" customHeight="1"/>
    <row r="29680" ht="12" customHeight="1"/>
    <row r="29681" ht="12" customHeight="1"/>
    <row r="29682" ht="12" customHeight="1"/>
    <row r="29683" ht="12" customHeight="1"/>
    <row r="29684" ht="12" customHeight="1"/>
    <row r="29685" ht="12" customHeight="1"/>
    <row r="29686" ht="12" customHeight="1"/>
    <row r="29687" ht="12" customHeight="1"/>
    <row r="29688" ht="12" customHeight="1"/>
    <row r="29689" ht="12" customHeight="1"/>
    <row r="29690" ht="12" customHeight="1"/>
    <row r="29691" ht="12" customHeight="1"/>
    <row r="29692" ht="12" customHeight="1"/>
    <row r="29693" ht="12" customHeight="1"/>
    <row r="29694" ht="12" customHeight="1"/>
    <row r="29695" ht="12" customHeight="1"/>
    <row r="29696" ht="12" customHeight="1"/>
    <row r="29697" ht="12" customHeight="1"/>
    <row r="29698" ht="12" customHeight="1"/>
    <row r="29699" ht="12" customHeight="1"/>
    <row r="29700" ht="12" customHeight="1"/>
    <row r="29701" ht="12" customHeight="1"/>
    <row r="29702" ht="12" customHeight="1"/>
    <row r="29703" ht="12" customHeight="1"/>
    <row r="29704" ht="12" customHeight="1"/>
    <row r="29705" ht="12" customHeight="1"/>
    <row r="29706" ht="12" customHeight="1"/>
    <row r="29707" ht="12" customHeight="1"/>
    <row r="29708" ht="12" customHeight="1"/>
    <row r="29709" ht="12" customHeight="1"/>
    <row r="29710" ht="12" customHeight="1"/>
    <row r="29711" ht="12" customHeight="1"/>
    <row r="29712" ht="12" customHeight="1"/>
    <row r="29713" ht="12" customHeight="1"/>
    <row r="29714" ht="12" customHeight="1"/>
    <row r="29715" ht="12" customHeight="1"/>
    <row r="29716" ht="12" customHeight="1"/>
    <row r="29717" ht="12" customHeight="1"/>
    <row r="29718" ht="12" customHeight="1"/>
    <row r="29719" ht="12" customHeight="1"/>
    <row r="29720" ht="12" customHeight="1"/>
    <row r="29721" ht="12" customHeight="1"/>
    <row r="29722" ht="12" customHeight="1"/>
    <row r="29723" ht="12" customHeight="1"/>
    <row r="29724" ht="12" customHeight="1"/>
    <row r="29725" ht="12" customHeight="1"/>
    <row r="29726" ht="12" customHeight="1"/>
    <row r="29727" ht="12" customHeight="1"/>
    <row r="29728" ht="12" customHeight="1"/>
    <row r="29729" ht="12" customHeight="1"/>
    <row r="29730" ht="12" customHeight="1"/>
    <row r="29731" ht="12" customHeight="1"/>
    <row r="29732" ht="12" customHeight="1"/>
    <row r="29733" ht="12" customHeight="1"/>
    <row r="29734" ht="12" customHeight="1"/>
    <row r="29735" ht="12" customHeight="1"/>
    <row r="29736" ht="12" customHeight="1"/>
    <row r="29737" ht="12" customHeight="1"/>
    <row r="29738" ht="12" customHeight="1"/>
    <row r="29739" ht="12" customHeight="1"/>
    <row r="29740" ht="12" customHeight="1"/>
    <row r="29741" ht="12" customHeight="1"/>
    <row r="29742" ht="12" customHeight="1"/>
    <row r="29743" ht="12" customHeight="1"/>
    <row r="29744" ht="12" customHeight="1"/>
    <row r="29745" ht="12" customHeight="1"/>
    <row r="29746" ht="12" customHeight="1"/>
    <row r="29747" ht="12" customHeight="1"/>
    <row r="29748" ht="12" customHeight="1"/>
    <row r="29749" ht="12" customHeight="1"/>
    <row r="29750" ht="12" customHeight="1"/>
    <row r="29751" ht="12" customHeight="1"/>
    <row r="29752" ht="12" customHeight="1"/>
    <row r="29753" ht="12" customHeight="1"/>
    <row r="29754" ht="12" customHeight="1"/>
    <row r="29755" ht="12" customHeight="1"/>
    <row r="29756" ht="12" customHeight="1"/>
    <row r="29757" ht="12" customHeight="1"/>
    <row r="29758" ht="12" customHeight="1"/>
    <row r="29759" ht="12" customHeight="1"/>
    <row r="29760" ht="12" customHeight="1"/>
    <row r="29761" ht="12" customHeight="1"/>
    <row r="29762" ht="12" customHeight="1"/>
    <row r="29763" ht="12" customHeight="1"/>
    <row r="29764" ht="12" customHeight="1"/>
    <row r="29765" ht="12" customHeight="1"/>
    <row r="29766" ht="12" customHeight="1"/>
    <row r="29767" ht="12" customHeight="1"/>
    <row r="29768" ht="12" customHeight="1"/>
    <row r="29769" ht="12" customHeight="1"/>
    <row r="29770" ht="12" customHeight="1"/>
    <row r="29771" ht="12" customHeight="1"/>
    <row r="29772" ht="12" customHeight="1"/>
    <row r="29773" ht="12" customHeight="1"/>
    <row r="29774" ht="12" customHeight="1"/>
    <row r="29775" ht="12" customHeight="1"/>
    <row r="29776" ht="12" customHeight="1"/>
    <row r="29777" ht="12" customHeight="1"/>
    <row r="29778" ht="12" customHeight="1"/>
    <row r="29779" ht="12" customHeight="1"/>
    <row r="29780" ht="12" customHeight="1"/>
    <row r="29781" ht="12" customHeight="1"/>
    <row r="29782" ht="12" customHeight="1"/>
    <row r="29783" ht="12" customHeight="1"/>
    <row r="29784" ht="12" customHeight="1"/>
    <row r="29785" ht="12" customHeight="1"/>
    <row r="29786" ht="12" customHeight="1"/>
    <row r="29787" ht="12" customHeight="1"/>
    <row r="29788" ht="12" customHeight="1"/>
    <row r="29789" ht="12" customHeight="1"/>
    <row r="29790" ht="12" customHeight="1"/>
    <row r="29791" ht="12" customHeight="1"/>
    <row r="29792" ht="12" customHeight="1"/>
    <row r="29793" ht="12" customHeight="1"/>
    <row r="29794" ht="12" customHeight="1"/>
    <row r="29795" ht="12" customHeight="1"/>
    <row r="29796" ht="12" customHeight="1"/>
    <row r="29797" ht="12" customHeight="1"/>
    <row r="29798" ht="12" customHeight="1"/>
    <row r="29799" ht="12" customHeight="1"/>
    <row r="29800" ht="12" customHeight="1"/>
    <row r="29801" ht="12" customHeight="1"/>
    <row r="29802" ht="12" customHeight="1"/>
    <row r="29803" ht="12" customHeight="1"/>
    <row r="29804" ht="12" customHeight="1"/>
    <row r="29805" ht="12" customHeight="1"/>
    <row r="29806" ht="12" customHeight="1"/>
    <row r="29807" ht="12" customHeight="1"/>
    <row r="29808" ht="12" customHeight="1"/>
    <row r="29809" ht="12" customHeight="1"/>
    <row r="29810" ht="12" customHeight="1"/>
    <row r="29811" ht="12" customHeight="1"/>
    <row r="29812" ht="12" customHeight="1"/>
    <row r="29813" ht="12" customHeight="1"/>
    <row r="29814" ht="12" customHeight="1"/>
    <row r="29815" ht="12" customHeight="1"/>
    <row r="29816" ht="12" customHeight="1"/>
    <row r="29817" ht="12" customHeight="1"/>
    <row r="29818" ht="12" customHeight="1"/>
    <row r="29819" ht="12" customHeight="1"/>
    <row r="29820" ht="12" customHeight="1"/>
    <row r="29821" ht="12" customHeight="1"/>
    <row r="29822" ht="12" customHeight="1"/>
    <row r="29823" ht="12" customHeight="1"/>
    <row r="29824" ht="12" customHeight="1"/>
    <row r="29825" ht="12" customHeight="1"/>
    <row r="29826" ht="12" customHeight="1"/>
    <row r="29827" ht="12" customHeight="1"/>
    <row r="29828" ht="12" customHeight="1"/>
    <row r="29829" ht="12" customHeight="1"/>
    <row r="29830" ht="12" customHeight="1"/>
    <row r="29831" ht="12" customHeight="1"/>
    <row r="29832" ht="12" customHeight="1"/>
    <row r="29833" ht="12" customHeight="1"/>
    <row r="29834" ht="12" customHeight="1"/>
    <row r="29835" ht="12" customHeight="1"/>
    <row r="29836" ht="12" customHeight="1"/>
    <row r="29837" ht="12" customHeight="1"/>
    <row r="29838" ht="12" customHeight="1"/>
    <row r="29839" ht="12" customHeight="1"/>
    <row r="29840" ht="12" customHeight="1"/>
    <row r="29841" ht="12" customHeight="1"/>
    <row r="29842" ht="12" customHeight="1"/>
    <row r="29843" ht="12" customHeight="1"/>
    <row r="29844" ht="12" customHeight="1"/>
    <row r="29845" ht="12" customHeight="1"/>
    <row r="29846" ht="12" customHeight="1"/>
    <row r="29847" ht="12" customHeight="1"/>
    <row r="29848" ht="12" customHeight="1"/>
    <row r="29849" ht="12" customHeight="1"/>
    <row r="29850" ht="12" customHeight="1"/>
    <row r="29851" ht="12" customHeight="1"/>
    <row r="29852" ht="12" customHeight="1"/>
    <row r="29853" ht="12" customHeight="1"/>
    <row r="29854" ht="12" customHeight="1"/>
    <row r="29855" ht="12" customHeight="1"/>
    <row r="29856" ht="12" customHeight="1"/>
    <row r="29857" ht="12" customHeight="1"/>
    <row r="29858" ht="12" customHeight="1"/>
    <row r="29859" ht="12" customHeight="1"/>
    <row r="29860" ht="12" customHeight="1"/>
    <row r="29861" ht="12" customHeight="1"/>
    <row r="29862" ht="12" customHeight="1"/>
    <row r="29863" ht="12" customHeight="1"/>
    <row r="29864" ht="12" customHeight="1"/>
    <row r="29865" ht="12" customHeight="1"/>
    <row r="29866" ht="12" customHeight="1"/>
    <row r="29867" ht="12" customHeight="1"/>
    <row r="29868" ht="12" customHeight="1"/>
    <row r="29869" ht="12" customHeight="1"/>
    <row r="29870" ht="12" customHeight="1"/>
    <row r="29871" ht="12" customHeight="1"/>
    <row r="29872" ht="12" customHeight="1"/>
    <row r="29873" ht="12" customHeight="1"/>
    <row r="29874" ht="12" customHeight="1"/>
    <row r="29875" ht="12" customHeight="1"/>
    <row r="29876" ht="12" customHeight="1"/>
    <row r="29877" ht="12" customHeight="1"/>
    <row r="29878" ht="12" customHeight="1"/>
    <row r="29879" ht="12" customHeight="1"/>
    <row r="29880" ht="12" customHeight="1"/>
    <row r="29881" ht="12" customHeight="1"/>
    <row r="29882" ht="12" customHeight="1"/>
    <row r="29883" ht="12" customHeight="1"/>
    <row r="29884" ht="12" customHeight="1"/>
    <row r="29885" ht="12" customHeight="1"/>
    <row r="29886" ht="12" customHeight="1"/>
    <row r="29887" ht="12" customHeight="1"/>
    <row r="29888" ht="12" customHeight="1"/>
    <row r="29889" ht="12" customHeight="1"/>
    <row r="29890" ht="12" customHeight="1"/>
    <row r="29891" ht="12" customHeight="1"/>
    <row r="29892" ht="12" customHeight="1"/>
    <row r="29893" ht="12" customHeight="1"/>
    <row r="29894" ht="12" customHeight="1"/>
    <row r="29895" ht="12" customHeight="1"/>
    <row r="29896" ht="12" customHeight="1"/>
    <row r="29897" ht="12" customHeight="1"/>
    <row r="29898" ht="12" customHeight="1"/>
    <row r="29899" ht="12" customHeight="1"/>
    <row r="29900" ht="12" customHeight="1"/>
    <row r="29901" ht="12" customHeight="1"/>
    <row r="29902" ht="12" customHeight="1"/>
    <row r="29903" ht="12" customHeight="1"/>
    <row r="29904" ht="12" customHeight="1"/>
    <row r="29905" ht="12" customHeight="1"/>
    <row r="29906" ht="12" customHeight="1"/>
    <row r="29907" ht="12" customHeight="1"/>
    <row r="29908" ht="12" customHeight="1"/>
    <row r="29909" ht="12" customHeight="1"/>
    <row r="29910" ht="12" customHeight="1"/>
    <row r="29911" ht="12" customHeight="1"/>
    <row r="29912" ht="12" customHeight="1"/>
    <row r="29913" ht="12" customHeight="1"/>
    <row r="29914" ht="12" customHeight="1"/>
    <row r="29915" ht="12" customHeight="1"/>
    <row r="29916" ht="12" customHeight="1"/>
    <row r="29917" ht="12" customHeight="1"/>
    <row r="29918" ht="12" customHeight="1"/>
    <row r="29919" ht="12" customHeight="1"/>
    <row r="29920" ht="12" customHeight="1"/>
    <row r="29921" ht="12" customHeight="1"/>
    <row r="29922" ht="12" customHeight="1"/>
    <row r="29923" ht="12" customHeight="1"/>
    <row r="29924" ht="12" customHeight="1"/>
    <row r="29925" ht="12" customHeight="1"/>
    <row r="29926" ht="12" customHeight="1"/>
    <row r="29927" ht="12" customHeight="1"/>
    <row r="29928" ht="12" customHeight="1"/>
    <row r="29929" ht="12" customHeight="1"/>
    <row r="29930" ht="12" customHeight="1"/>
    <row r="29931" ht="12" customHeight="1"/>
    <row r="29932" ht="12" customHeight="1"/>
    <row r="29933" ht="12" customHeight="1"/>
    <row r="29934" ht="12" customHeight="1"/>
    <row r="29935" ht="12" customHeight="1"/>
    <row r="29936" ht="12" customHeight="1"/>
    <row r="29937" ht="12" customHeight="1"/>
    <row r="29938" ht="12" customHeight="1"/>
    <row r="29939" ht="12" customHeight="1"/>
    <row r="29940" ht="12" customHeight="1"/>
    <row r="29941" ht="12" customHeight="1"/>
    <row r="29942" ht="12" customHeight="1"/>
    <row r="29943" ht="12" customHeight="1"/>
    <row r="29944" ht="12" customHeight="1"/>
    <row r="29945" ht="12" customHeight="1"/>
    <row r="29946" ht="12" customHeight="1"/>
    <row r="29947" ht="12" customHeight="1"/>
    <row r="29948" ht="12" customHeight="1"/>
    <row r="29949" ht="12" customHeight="1"/>
    <row r="29950" ht="12" customHeight="1"/>
    <row r="29951" ht="12" customHeight="1"/>
    <row r="29952" ht="12" customHeight="1"/>
    <row r="29953" ht="12" customHeight="1"/>
    <row r="29954" ht="12" customHeight="1"/>
    <row r="29955" ht="12" customHeight="1"/>
    <row r="29956" ht="12" customHeight="1"/>
    <row r="29957" ht="12" customHeight="1"/>
    <row r="29958" ht="12" customHeight="1"/>
    <row r="29959" ht="12" customHeight="1"/>
    <row r="29960" ht="12" customHeight="1"/>
    <row r="29961" ht="12" customHeight="1"/>
    <row r="29962" ht="12" customHeight="1"/>
    <row r="29963" ht="12" customHeight="1"/>
    <row r="29964" ht="12" customHeight="1"/>
    <row r="29965" ht="12" customHeight="1"/>
    <row r="29966" ht="12" customHeight="1"/>
    <row r="29967" ht="12" customHeight="1"/>
    <row r="29968" ht="12" customHeight="1"/>
    <row r="29969" ht="12" customHeight="1"/>
    <row r="29970" ht="12" customHeight="1"/>
    <row r="29971" ht="12" customHeight="1"/>
    <row r="29972" ht="12" customHeight="1"/>
    <row r="29973" ht="12" customHeight="1"/>
    <row r="29974" ht="12" customHeight="1"/>
    <row r="29975" ht="12" customHeight="1"/>
    <row r="29976" ht="12" customHeight="1"/>
    <row r="29977" ht="12" customHeight="1"/>
    <row r="29978" ht="12" customHeight="1"/>
    <row r="29979" ht="12" customHeight="1"/>
    <row r="29980" ht="12" customHeight="1"/>
    <row r="29981" ht="12" customHeight="1"/>
    <row r="29982" ht="12" customHeight="1"/>
    <row r="29983" ht="12" customHeight="1"/>
    <row r="29984" ht="12" customHeight="1"/>
    <row r="29985" ht="12" customHeight="1"/>
    <row r="29986" ht="12" customHeight="1"/>
    <row r="29987" ht="12" customHeight="1"/>
    <row r="29988" ht="12" customHeight="1"/>
    <row r="29989" ht="12" customHeight="1"/>
    <row r="29990" ht="12" customHeight="1"/>
    <row r="29991" ht="12" customHeight="1"/>
    <row r="29992" ht="12" customHeight="1"/>
    <row r="29993" ht="12" customHeight="1"/>
    <row r="29994" ht="12" customHeight="1"/>
    <row r="29995" ht="12" customHeight="1"/>
    <row r="29996" ht="12" customHeight="1"/>
    <row r="29997" ht="12" customHeight="1"/>
    <row r="29998" ht="12" customHeight="1"/>
    <row r="29999" ht="12" customHeight="1"/>
    <row r="30000" ht="12" customHeight="1"/>
    <row r="30001" ht="12" customHeight="1"/>
    <row r="30002" ht="12" customHeight="1"/>
    <row r="30003" ht="12" customHeight="1"/>
    <row r="30004" ht="12" customHeight="1"/>
    <row r="30005" ht="12" customHeight="1"/>
    <row r="30006" ht="12" customHeight="1"/>
    <row r="30007" ht="12" customHeight="1"/>
    <row r="30008" ht="12" customHeight="1"/>
    <row r="30009" ht="12" customHeight="1"/>
    <row r="30010" ht="12" customHeight="1"/>
    <row r="30011" ht="12" customHeight="1"/>
    <row r="30012" ht="12" customHeight="1"/>
    <row r="30013" ht="12" customHeight="1"/>
    <row r="30014" ht="12" customHeight="1"/>
    <row r="30015" ht="12" customHeight="1"/>
    <row r="30016" ht="12" customHeight="1"/>
    <row r="30017" ht="12" customHeight="1"/>
    <row r="30018" ht="12" customHeight="1"/>
    <row r="30019" ht="12" customHeight="1"/>
    <row r="30020" ht="12" customHeight="1"/>
    <row r="30021" ht="12" customHeight="1"/>
    <row r="30022" ht="12" customHeight="1"/>
    <row r="30023" ht="12" customHeight="1"/>
    <row r="30024" ht="12" customHeight="1"/>
    <row r="30025" ht="12" customHeight="1"/>
    <row r="30026" ht="12" customHeight="1"/>
    <row r="30027" ht="12" customHeight="1"/>
    <row r="30028" ht="12" customHeight="1"/>
    <row r="30029" ht="12" customHeight="1"/>
    <row r="30030" ht="12" customHeight="1"/>
    <row r="30031" ht="12" customHeight="1"/>
    <row r="30032" ht="12" customHeight="1"/>
    <row r="30033" ht="12" customHeight="1"/>
    <row r="30034" ht="12" customHeight="1"/>
    <row r="30035" ht="12" customHeight="1"/>
    <row r="30036" ht="12" customHeight="1"/>
    <row r="30037" ht="12" customHeight="1"/>
    <row r="30038" ht="12" customHeight="1"/>
    <row r="30039" ht="12" customHeight="1"/>
    <row r="30040" ht="12" customHeight="1"/>
    <row r="30041" ht="12" customHeight="1"/>
    <row r="30042" ht="12" customHeight="1"/>
    <row r="30043" ht="12" customHeight="1"/>
    <row r="30044" ht="12" customHeight="1"/>
    <row r="30045" ht="12" customHeight="1"/>
    <row r="30046" ht="12" customHeight="1"/>
    <row r="30047" ht="12" customHeight="1"/>
    <row r="30048" ht="12" customHeight="1"/>
    <row r="30049" ht="12" customHeight="1"/>
    <row r="30050" ht="12" customHeight="1"/>
    <row r="30051" ht="12" customHeight="1"/>
    <row r="30052" ht="12" customHeight="1"/>
    <row r="30053" ht="12" customHeight="1"/>
    <row r="30054" ht="12" customHeight="1"/>
    <row r="30055" ht="12" customHeight="1"/>
    <row r="30056" ht="12" customHeight="1"/>
    <row r="30057" ht="12" customHeight="1"/>
    <row r="30058" ht="12" customHeight="1"/>
    <row r="30059" ht="12" customHeight="1"/>
    <row r="30060" ht="12" customHeight="1"/>
    <row r="30061" ht="12" customHeight="1"/>
    <row r="30062" ht="12" customHeight="1"/>
    <row r="30063" ht="12" customHeight="1"/>
    <row r="30064" ht="12" customHeight="1"/>
    <row r="30065" ht="12" customHeight="1"/>
    <row r="30066" ht="12" customHeight="1"/>
    <row r="30067" ht="12" customHeight="1"/>
    <row r="30068" ht="12" customHeight="1"/>
    <row r="30069" ht="12" customHeight="1"/>
    <row r="30070" ht="12" customHeight="1"/>
    <row r="30071" ht="12" customHeight="1"/>
    <row r="30072" ht="12" customHeight="1"/>
    <row r="30073" ht="12" customHeight="1"/>
    <row r="30074" ht="12" customHeight="1"/>
    <row r="30075" ht="12" customHeight="1"/>
    <row r="30076" ht="12" customHeight="1"/>
    <row r="30077" ht="12" customHeight="1"/>
    <row r="30078" ht="12" customHeight="1"/>
    <row r="30079" ht="12" customHeight="1"/>
    <row r="30080" ht="12" customHeight="1"/>
    <row r="30081" ht="12" customHeight="1"/>
    <row r="30082" ht="12" customHeight="1"/>
    <row r="30083" ht="12" customHeight="1"/>
    <row r="30084" ht="12" customHeight="1"/>
    <row r="30085" ht="12" customHeight="1"/>
    <row r="30086" ht="12" customHeight="1"/>
    <row r="30087" ht="12" customHeight="1"/>
    <row r="30088" ht="12" customHeight="1"/>
    <row r="30089" ht="12" customHeight="1"/>
    <row r="30090" ht="12" customHeight="1"/>
    <row r="30091" ht="12" customHeight="1"/>
    <row r="30092" ht="12" customHeight="1"/>
    <row r="30093" ht="12" customHeight="1"/>
    <row r="30094" ht="12" customHeight="1"/>
    <row r="30095" ht="12" customHeight="1"/>
    <row r="30096" ht="12" customHeight="1"/>
    <row r="30097" ht="12" customHeight="1"/>
    <row r="30098" ht="12" customHeight="1"/>
    <row r="30099" ht="12" customHeight="1"/>
    <row r="30100" ht="12" customHeight="1"/>
    <row r="30101" ht="12" customHeight="1"/>
    <row r="30102" ht="12" customHeight="1"/>
    <row r="30103" ht="12" customHeight="1"/>
    <row r="30104" ht="12" customHeight="1"/>
    <row r="30105" ht="12" customHeight="1"/>
    <row r="30106" ht="12" customHeight="1"/>
    <row r="30107" ht="12" customHeight="1"/>
    <row r="30108" ht="12" customHeight="1"/>
    <row r="30109" ht="12" customHeight="1"/>
    <row r="30110" ht="12" customHeight="1"/>
    <row r="30111" ht="12" customHeight="1"/>
    <row r="30112" ht="12" customHeight="1"/>
    <row r="30113" ht="12" customHeight="1"/>
    <row r="30114" ht="12" customHeight="1"/>
    <row r="30115" ht="12" customHeight="1"/>
    <row r="30116" ht="12" customHeight="1"/>
    <row r="30117" ht="12" customHeight="1"/>
    <row r="30118" ht="12" customHeight="1"/>
    <row r="30119" ht="12" customHeight="1"/>
    <row r="30120" ht="12" customHeight="1"/>
    <row r="30121" ht="12" customHeight="1"/>
    <row r="30122" ht="12" customHeight="1"/>
    <row r="30123" ht="12" customHeight="1"/>
    <row r="30124" ht="12" customHeight="1"/>
    <row r="30125" ht="12" customHeight="1"/>
    <row r="30126" ht="12" customHeight="1"/>
    <row r="30127" ht="12" customHeight="1"/>
    <row r="30128" ht="12" customHeight="1"/>
    <row r="30129" ht="12" customHeight="1"/>
    <row r="30130" ht="12" customHeight="1"/>
    <row r="30131" ht="12" customHeight="1"/>
    <row r="30132" ht="12" customHeight="1"/>
    <row r="30133" ht="12" customHeight="1"/>
    <row r="30134" ht="12" customHeight="1"/>
    <row r="30135" ht="12" customHeight="1"/>
    <row r="30136" ht="12" customHeight="1"/>
    <row r="30137" ht="12" customHeight="1"/>
    <row r="30138" ht="12" customHeight="1"/>
    <row r="30139" ht="12" customHeight="1"/>
    <row r="30140" ht="12" customHeight="1"/>
    <row r="30141" ht="12" customHeight="1"/>
    <row r="30142" ht="12" customHeight="1"/>
    <row r="30143" ht="12" customHeight="1"/>
    <row r="30144" ht="12" customHeight="1"/>
    <row r="30145" ht="12" customHeight="1"/>
    <row r="30146" ht="12" customHeight="1"/>
    <row r="30147" ht="12" customHeight="1"/>
    <row r="30148" ht="12" customHeight="1"/>
    <row r="30149" ht="12" customHeight="1"/>
    <row r="30150" ht="12" customHeight="1"/>
    <row r="30151" ht="12" customHeight="1"/>
    <row r="30152" ht="12" customHeight="1"/>
    <row r="30153" ht="12" customHeight="1"/>
    <row r="30154" ht="12" customHeight="1"/>
    <row r="30155" ht="12" customHeight="1"/>
    <row r="30156" ht="12" customHeight="1"/>
    <row r="30157" ht="12" customHeight="1"/>
    <row r="30158" ht="12" customHeight="1"/>
    <row r="30159" ht="12" customHeight="1"/>
    <row r="30160" ht="12" customHeight="1"/>
    <row r="30161" ht="12" customHeight="1"/>
    <row r="30162" ht="12" customHeight="1"/>
    <row r="30163" ht="12" customHeight="1"/>
    <row r="30164" ht="12" customHeight="1"/>
    <row r="30165" ht="12" customHeight="1"/>
    <row r="30166" ht="12" customHeight="1"/>
    <row r="30167" ht="12" customHeight="1"/>
    <row r="30168" ht="12" customHeight="1"/>
    <row r="30169" ht="12" customHeight="1"/>
    <row r="30170" ht="12" customHeight="1"/>
    <row r="30171" ht="12" customHeight="1"/>
    <row r="30172" ht="12" customHeight="1"/>
    <row r="30173" ht="12" customHeight="1"/>
    <row r="30174" ht="12" customHeight="1"/>
    <row r="30175" ht="12" customHeight="1"/>
    <row r="30176" ht="12" customHeight="1"/>
    <row r="30177" ht="12" customHeight="1"/>
    <row r="30178" ht="12" customHeight="1"/>
    <row r="30179" ht="12" customHeight="1"/>
    <row r="30180" ht="12" customHeight="1"/>
    <row r="30181" ht="12" customHeight="1"/>
    <row r="30182" ht="12" customHeight="1"/>
    <row r="30183" ht="12" customHeight="1"/>
    <row r="30184" ht="12" customHeight="1"/>
    <row r="30185" ht="12" customHeight="1"/>
    <row r="30186" ht="12" customHeight="1"/>
    <row r="30187" ht="12" customHeight="1"/>
    <row r="30188" ht="12" customHeight="1"/>
    <row r="30189" ht="12" customHeight="1"/>
    <row r="30190" ht="12" customHeight="1"/>
    <row r="30191" ht="12" customHeight="1"/>
    <row r="30192" ht="12" customHeight="1"/>
    <row r="30193" ht="12" customHeight="1"/>
    <row r="30194" ht="12" customHeight="1"/>
    <row r="30195" ht="12" customHeight="1"/>
    <row r="30196" ht="12" customHeight="1"/>
    <row r="30197" ht="12" customHeight="1"/>
    <row r="30198" ht="12" customHeight="1"/>
    <row r="30199" ht="12" customHeight="1"/>
    <row r="30200" ht="12" customHeight="1"/>
    <row r="30201" ht="12" customHeight="1"/>
    <row r="30202" ht="12" customHeight="1"/>
    <row r="30203" ht="12" customHeight="1"/>
    <row r="30204" ht="12" customHeight="1"/>
    <row r="30205" ht="12" customHeight="1"/>
    <row r="30206" ht="12" customHeight="1"/>
    <row r="30207" ht="12" customHeight="1"/>
    <row r="30208" ht="12" customHeight="1"/>
    <row r="30209" ht="12" customHeight="1"/>
    <row r="30210" ht="12" customHeight="1"/>
    <row r="30211" ht="12" customHeight="1"/>
    <row r="30212" ht="12" customHeight="1"/>
    <row r="30213" ht="12" customHeight="1"/>
    <row r="30214" ht="12" customHeight="1"/>
    <row r="30215" ht="12" customHeight="1"/>
    <row r="30216" ht="12" customHeight="1"/>
    <row r="30217" ht="12" customHeight="1"/>
    <row r="30218" ht="12" customHeight="1"/>
    <row r="30219" ht="12" customHeight="1"/>
    <row r="30220" ht="12" customHeight="1"/>
    <row r="30221" ht="12" customHeight="1"/>
    <row r="30222" ht="12" customHeight="1"/>
    <row r="30223" ht="12" customHeight="1"/>
    <row r="30224" ht="12" customHeight="1"/>
    <row r="30225" ht="12" customHeight="1"/>
    <row r="30226" ht="12" customHeight="1"/>
    <row r="30227" ht="12" customHeight="1"/>
    <row r="30228" ht="12" customHeight="1"/>
    <row r="30229" ht="12" customHeight="1"/>
    <row r="30230" ht="12" customHeight="1"/>
    <row r="30231" ht="12" customHeight="1"/>
    <row r="30232" ht="12" customHeight="1"/>
    <row r="30233" ht="12" customHeight="1"/>
    <row r="30234" ht="12" customHeight="1"/>
    <row r="30235" ht="12" customHeight="1"/>
    <row r="30236" ht="12" customHeight="1"/>
    <row r="30237" ht="12" customHeight="1"/>
    <row r="30238" ht="12" customHeight="1"/>
    <row r="30239" ht="12" customHeight="1"/>
    <row r="30240" ht="12" customHeight="1"/>
    <row r="30241" ht="12" customHeight="1"/>
    <row r="30242" ht="12" customHeight="1"/>
    <row r="30243" ht="12" customHeight="1"/>
    <row r="30244" ht="12" customHeight="1"/>
    <row r="30245" ht="12" customHeight="1"/>
    <row r="30246" ht="12" customHeight="1"/>
    <row r="30247" ht="12" customHeight="1"/>
    <row r="30248" ht="12" customHeight="1"/>
    <row r="30249" ht="12" customHeight="1"/>
    <row r="30250" ht="12" customHeight="1"/>
    <row r="30251" ht="12" customHeight="1"/>
    <row r="30252" ht="12" customHeight="1"/>
    <row r="30253" ht="12" customHeight="1"/>
    <row r="30254" ht="12" customHeight="1"/>
    <row r="30255" ht="12" customHeight="1"/>
    <row r="30256" ht="12" customHeight="1"/>
    <row r="30257" ht="12" customHeight="1"/>
    <row r="30258" ht="12" customHeight="1"/>
    <row r="30259" ht="12" customHeight="1"/>
    <row r="30260" ht="12" customHeight="1"/>
    <row r="30261" ht="12" customHeight="1"/>
    <row r="30262" ht="12" customHeight="1"/>
    <row r="30263" ht="12" customHeight="1"/>
    <row r="30264" ht="12" customHeight="1"/>
    <row r="30265" ht="12" customHeight="1"/>
    <row r="30266" ht="12" customHeight="1"/>
    <row r="30267" ht="12" customHeight="1"/>
    <row r="30268" ht="12" customHeight="1"/>
    <row r="30269" ht="12" customHeight="1"/>
    <row r="30270" ht="12" customHeight="1"/>
    <row r="30271" ht="12" customHeight="1"/>
    <row r="30272" ht="12" customHeight="1"/>
    <row r="30273" ht="12" customHeight="1"/>
    <row r="30274" ht="12" customHeight="1"/>
    <row r="30275" ht="12" customHeight="1"/>
    <row r="30276" ht="12" customHeight="1"/>
    <row r="30277" ht="12" customHeight="1"/>
    <row r="30278" ht="12" customHeight="1"/>
    <row r="30279" ht="12" customHeight="1"/>
    <row r="30280" ht="12" customHeight="1"/>
    <row r="30281" ht="12" customHeight="1"/>
    <row r="30282" ht="12" customHeight="1"/>
    <row r="30283" ht="12" customHeight="1"/>
    <row r="30284" ht="12" customHeight="1"/>
    <row r="30285" ht="12" customHeight="1"/>
    <row r="30286" ht="12" customHeight="1"/>
    <row r="30287" ht="12" customHeight="1"/>
    <row r="30288" ht="12" customHeight="1"/>
    <row r="30289" ht="12" customHeight="1"/>
    <row r="30290" ht="12" customHeight="1"/>
    <row r="30291" ht="12" customHeight="1"/>
    <row r="30292" ht="12" customHeight="1"/>
    <row r="30293" ht="12" customHeight="1"/>
    <row r="30294" ht="12" customHeight="1"/>
    <row r="30295" ht="12" customHeight="1"/>
    <row r="30296" ht="12" customHeight="1"/>
    <row r="30297" ht="12" customHeight="1"/>
    <row r="30298" ht="12" customHeight="1"/>
    <row r="30299" ht="12" customHeight="1"/>
    <row r="30300" ht="12" customHeight="1"/>
    <row r="30301" ht="12" customHeight="1"/>
    <row r="30302" ht="12" customHeight="1"/>
    <row r="30303" ht="12" customHeight="1"/>
    <row r="30304" ht="12" customHeight="1"/>
    <row r="30305" ht="12" customHeight="1"/>
    <row r="30306" ht="12" customHeight="1"/>
    <row r="30307" ht="12" customHeight="1"/>
    <row r="30308" ht="12" customHeight="1"/>
    <row r="30309" ht="12" customHeight="1"/>
    <row r="30310" ht="12" customHeight="1"/>
    <row r="30311" ht="12" customHeight="1"/>
    <row r="30312" ht="12" customHeight="1"/>
    <row r="30313" ht="12" customHeight="1"/>
    <row r="30314" ht="12" customHeight="1"/>
    <row r="30315" ht="12" customHeight="1"/>
    <row r="30316" ht="12" customHeight="1"/>
    <row r="30317" ht="12" customHeight="1"/>
    <row r="30318" ht="12" customHeight="1"/>
    <row r="30319" ht="12" customHeight="1"/>
    <row r="30320" ht="12" customHeight="1"/>
    <row r="30321" ht="12" customHeight="1"/>
    <row r="30322" ht="12" customHeight="1"/>
    <row r="30323" ht="12" customHeight="1"/>
    <row r="30324" ht="12" customHeight="1"/>
    <row r="30325" ht="12" customHeight="1"/>
    <row r="30326" ht="12" customHeight="1"/>
    <row r="30327" ht="12" customHeight="1"/>
    <row r="30328" ht="12" customHeight="1"/>
    <row r="30329" ht="12" customHeight="1"/>
    <row r="30330" ht="12" customHeight="1"/>
    <row r="30331" ht="12" customHeight="1"/>
    <row r="30332" ht="12" customHeight="1"/>
    <row r="30333" ht="12" customHeight="1"/>
    <row r="30334" ht="12" customHeight="1"/>
    <row r="30335" ht="12" customHeight="1"/>
    <row r="30336" ht="12" customHeight="1"/>
    <row r="30337" ht="12" customHeight="1"/>
    <row r="30338" ht="12" customHeight="1"/>
    <row r="30339" ht="12" customHeight="1"/>
    <row r="30340" ht="12" customHeight="1"/>
    <row r="30341" ht="12" customHeight="1"/>
    <row r="30342" ht="12" customHeight="1"/>
    <row r="30343" ht="12" customHeight="1"/>
    <row r="30344" ht="12" customHeight="1"/>
    <row r="30345" ht="12" customHeight="1"/>
    <row r="30346" ht="12" customHeight="1"/>
    <row r="30347" ht="12" customHeight="1"/>
    <row r="30348" ht="12" customHeight="1"/>
    <row r="30349" ht="12" customHeight="1"/>
    <row r="30350" ht="12" customHeight="1"/>
    <row r="30351" ht="12" customHeight="1"/>
    <row r="30352" ht="12" customHeight="1"/>
    <row r="30353" ht="12" customHeight="1"/>
    <row r="30354" ht="12" customHeight="1"/>
    <row r="30355" ht="12" customHeight="1"/>
    <row r="30356" ht="12" customHeight="1"/>
    <row r="30357" ht="12" customHeight="1"/>
    <row r="30358" ht="12" customHeight="1"/>
    <row r="30359" ht="12" customHeight="1"/>
    <row r="30360" ht="12" customHeight="1"/>
    <row r="30361" ht="12" customHeight="1"/>
    <row r="30362" ht="12" customHeight="1"/>
    <row r="30363" ht="12" customHeight="1"/>
    <row r="30364" ht="12" customHeight="1"/>
    <row r="30365" ht="12" customHeight="1"/>
    <row r="30366" ht="12" customHeight="1"/>
    <row r="30367" ht="12" customHeight="1"/>
    <row r="30368" ht="12" customHeight="1"/>
    <row r="30369" ht="12" customHeight="1"/>
    <row r="30370" ht="12" customHeight="1"/>
    <row r="30371" ht="12" customHeight="1"/>
    <row r="30372" ht="12" customHeight="1"/>
    <row r="30373" ht="12" customHeight="1"/>
    <row r="30374" ht="12" customHeight="1"/>
    <row r="30375" ht="12" customHeight="1"/>
    <row r="30376" ht="12" customHeight="1"/>
    <row r="30377" ht="12" customHeight="1"/>
    <row r="30378" ht="12" customHeight="1"/>
    <row r="30379" ht="12" customHeight="1"/>
    <row r="30380" ht="12" customHeight="1"/>
    <row r="30381" ht="12" customHeight="1"/>
    <row r="30382" ht="12" customHeight="1"/>
    <row r="30383" ht="12" customHeight="1"/>
    <row r="30384" ht="12" customHeight="1"/>
    <row r="30385" ht="12" customHeight="1"/>
    <row r="30386" ht="12" customHeight="1"/>
    <row r="30387" ht="12" customHeight="1"/>
    <row r="30388" ht="12" customHeight="1"/>
    <row r="30389" ht="12" customHeight="1"/>
    <row r="30390" ht="12" customHeight="1"/>
    <row r="30391" ht="12" customHeight="1"/>
    <row r="30392" ht="12" customHeight="1"/>
    <row r="30393" ht="12" customHeight="1"/>
    <row r="30394" ht="12" customHeight="1"/>
    <row r="30395" ht="12" customHeight="1"/>
    <row r="30396" ht="12" customHeight="1"/>
    <row r="30397" ht="12" customHeight="1"/>
    <row r="30398" ht="12" customHeight="1"/>
    <row r="30399" ht="12" customHeight="1"/>
    <row r="30400" ht="12" customHeight="1"/>
    <row r="30401" ht="12" customHeight="1"/>
    <row r="30402" ht="12" customHeight="1"/>
    <row r="30403" ht="12" customHeight="1"/>
    <row r="30404" ht="12" customHeight="1"/>
    <row r="30405" ht="12" customHeight="1"/>
    <row r="30406" ht="12" customHeight="1"/>
    <row r="30407" ht="12" customHeight="1"/>
    <row r="30408" ht="12" customHeight="1"/>
    <row r="30409" ht="12" customHeight="1"/>
    <row r="30410" ht="12" customHeight="1"/>
    <row r="30411" ht="12" customHeight="1"/>
    <row r="30412" ht="12" customHeight="1"/>
    <row r="30413" ht="12" customHeight="1"/>
    <row r="30414" ht="12" customHeight="1"/>
    <row r="30415" ht="12" customHeight="1"/>
    <row r="30416" ht="12" customHeight="1"/>
    <row r="30417" ht="12" customHeight="1"/>
    <row r="30418" ht="12" customHeight="1"/>
    <row r="30419" ht="12" customHeight="1"/>
    <row r="30420" ht="12" customHeight="1"/>
    <row r="30421" ht="12" customHeight="1"/>
    <row r="30422" ht="12" customHeight="1"/>
    <row r="30423" ht="12" customHeight="1"/>
    <row r="30424" ht="12" customHeight="1"/>
    <row r="30425" ht="12" customHeight="1"/>
    <row r="30426" ht="12" customHeight="1"/>
    <row r="30427" ht="12" customHeight="1"/>
    <row r="30428" ht="12" customHeight="1"/>
    <row r="30429" ht="12" customHeight="1"/>
    <row r="30430" ht="12" customHeight="1"/>
    <row r="30431" ht="12" customHeight="1"/>
    <row r="30432" ht="12" customHeight="1"/>
    <row r="30433" ht="12" customHeight="1"/>
    <row r="30434" ht="12" customHeight="1"/>
    <row r="30435" ht="12" customHeight="1"/>
    <row r="30436" ht="12" customHeight="1"/>
    <row r="30437" ht="12" customHeight="1"/>
    <row r="30438" ht="12" customHeight="1"/>
    <row r="30439" ht="12" customHeight="1"/>
    <row r="30440" ht="12" customHeight="1"/>
    <row r="30441" ht="12" customHeight="1"/>
    <row r="30442" ht="12" customHeight="1"/>
    <row r="30443" ht="12" customHeight="1"/>
    <row r="30444" ht="12" customHeight="1"/>
    <row r="30445" ht="12" customHeight="1"/>
    <row r="30446" ht="12" customHeight="1"/>
    <row r="30447" ht="12" customHeight="1"/>
    <row r="30448" ht="12" customHeight="1"/>
    <row r="30449" ht="12" customHeight="1"/>
    <row r="30450" ht="12" customHeight="1"/>
    <row r="30451" ht="12" customHeight="1"/>
    <row r="30452" ht="12" customHeight="1"/>
    <row r="30453" ht="12" customHeight="1"/>
    <row r="30454" ht="12" customHeight="1"/>
    <row r="30455" ht="12" customHeight="1"/>
    <row r="30456" ht="12" customHeight="1"/>
    <row r="30457" ht="12" customHeight="1"/>
    <row r="30458" ht="12" customHeight="1"/>
    <row r="30459" ht="12" customHeight="1"/>
    <row r="30460" ht="12" customHeight="1"/>
    <row r="30461" ht="12" customHeight="1"/>
    <row r="30462" ht="12" customHeight="1"/>
    <row r="30463" ht="12" customHeight="1"/>
    <row r="30464" ht="12" customHeight="1"/>
    <row r="30465" ht="12" customHeight="1"/>
    <row r="30466" ht="12" customHeight="1"/>
    <row r="30467" ht="12" customHeight="1"/>
    <row r="30468" ht="12" customHeight="1"/>
    <row r="30469" ht="12" customHeight="1"/>
    <row r="30470" ht="12" customHeight="1"/>
    <row r="30471" ht="12" customHeight="1"/>
    <row r="30472" ht="12" customHeight="1"/>
    <row r="30473" ht="12" customHeight="1"/>
    <row r="30474" ht="12" customHeight="1"/>
    <row r="30475" ht="12" customHeight="1"/>
    <row r="30476" ht="12" customHeight="1"/>
    <row r="30477" ht="12" customHeight="1"/>
    <row r="30478" ht="12" customHeight="1"/>
    <row r="30479" ht="12" customHeight="1"/>
    <row r="30480" ht="12" customHeight="1"/>
    <row r="30481" ht="12" customHeight="1"/>
    <row r="30482" ht="12" customHeight="1"/>
    <row r="30483" ht="12" customHeight="1"/>
    <row r="30484" ht="12" customHeight="1"/>
    <row r="30485" ht="12" customHeight="1"/>
    <row r="30486" ht="12" customHeight="1"/>
    <row r="30487" ht="12" customHeight="1"/>
    <row r="30488" ht="12" customHeight="1"/>
    <row r="30489" ht="12" customHeight="1"/>
    <row r="30490" ht="12" customHeight="1"/>
    <row r="30491" ht="12" customHeight="1"/>
    <row r="30492" ht="12" customHeight="1"/>
    <row r="30493" ht="12" customHeight="1"/>
    <row r="30494" ht="12" customHeight="1"/>
    <row r="30495" ht="12" customHeight="1"/>
    <row r="30496" ht="12" customHeight="1"/>
    <row r="30497" ht="12" customHeight="1"/>
    <row r="30498" ht="12" customHeight="1"/>
    <row r="30499" ht="12" customHeight="1"/>
    <row r="30500" ht="12" customHeight="1"/>
    <row r="30501" ht="12" customHeight="1"/>
    <row r="30502" ht="12" customHeight="1"/>
    <row r="30503" ht="12" customHeight="1"/>
    <row r="30504" ht="12" customHeight="1"/>
    <row r="30505" ht="12" customHeight="1"/>
    <row r="30506" ht="12" customHeight="1"/>
    <row r="30507" ht="12" customHeight="1"/>
    <row r="30508" ht="12" customHeight="1"/>
    <row r="30509" ht="12" customHeight="1"/>
    <row r="30510" ht="12" customHeight="1"/>
    <row r="30511" ht="12" customHeight="1"/>
    <row r="30512" ht="12" customHeight="1"/>
    <row r="30513" ht="12" customHeight="1"/>
    <row r="30514" ht="12" customHeight="1"/>
    <row r="30515" ht="12" customHeight="1"/>
    <row r="30516" ht="12" customHeight="1"/>
    <row r="30517" ht="12" customHeight="1"/>
    <row r="30518" ht="12" customHeight="1"/>
    <row r="30519" ht="12" customHeight="1"/>
    <row r="30520" ht="12" customHeight="1"/>
    <row r="30521" ht="12" customHeight="1"/>
    <row r="30522" ht="12" customHeight="1"/>
    <row r="30523" ht="12" customHeight="1"/>
    <row r="30524" ht="12" customHeight="1"/>
    <row r="30525" ht="12" customHeight="1"/>
    <row r="30526" ht="12" customHeight="1"/>
    <row r="30527" ht="12" customHeight="1"/>
    <row r="30528" ht="12" customHeight="1"/>
    <row r="30529" ht="12" customHeight="1"/>
    <row r="30530" ht="12" customHeight="1"/>
    <row r="30531" ht="12" customHeight="1"/>
    <row r="30532" ht="12" customHeight="1"/>
    <row r="30533" ht="12" customHeight="1"/>
    <row r="30534" ht="12" customHeight="1"/>
    <row r="30535" ht="12" customHeight="1"/>
    <row r="30536" ht="12" customHeight="1"/>
    <row r="30537" ht="12" customHeight="1"/>
    <row r="30538" ht="12" customHeight="1"/>
    <row r="30539" ht="12" customHeight="1"/>
    <row r="30540" ht="12" customHeight="1"/>
    <row r="30541" ht="12" customHeight="1"/>
    <row r="30542" ht="12" customHeight="1"/>
    <row r="30543" ht="12" customHeight="1"/>
    <row r="30544" ht="12" customHeight="1"/>
    <row r="30545" ht="12" customHeight="1"/>
    <row r="30546" ht="12" customHeight="1"/>
    <row r="30547" ht="12" customHeight="1"/>
    <row r="30548" ht="12" customHeight="1"/>
    <row r="30549" ht="12" customHeight="1"/>
    <row r="30550" ht="12" customHeight="1"/>
    <row r="30551" ht="12" customHeight="1"/>
    <row r="30552" ht="12" customHeight="1"/>
    <row r="30553" ht="12" customHeight="1"/>
    <row r="30554" ht="12" customHeight="1"/>
    <row r="30555" ht="12" customHeight="1"/>
    <row r="30556" ht="12" customHeight="1"/>
    <row r="30557" ht="12" customHeight="1"/>
    <row r="30558" ht="12" customHeight="1"/>
    <row r="30559" ht="12" customHeight="1"/>
    <row r="30560" ht="12" customHeight="1"/>
    <row r="30561" ht="12" customHeight="1"/>
    <row r="30562" ht="12" customHeight="1"/>
    <row r="30563" ht="12" customHeight="1"/>
    <row r="30564" ht="12" customHeight="1"/>
    <row r="30565" ht="12" customHeight="1"/>
    <row r="30566" ht="12" customHeight="1"/>
    <row r="30567" ht="12" customHeight="1"/>
    <row r="30568" ht="12" customHeight="1"/>
    <row r="30569" ht="12" customHeight="1"/>
    <row r="30570" ht="12" customHeight="1"/>
    <row r="30571" ht="12" customHeight="1"/>
    <row r="30572" ht="12" customHeight="1"/>
    <row r="30573" ht="12" customHeight="1"/>
    <row r="30574" ht="12" customHeight="1"/>
    <row r="30575" ht="12" customHeight="1"/>
    <row r="30576" ht="12" customHeight="1"/>
    <row r="30577" ht="12" customHeight="1"/>
    <row r="30578" ht="12" customHeight="1"/>
    <row r="30579" ht="12" customHeight="1"/>
    <row r="30580" ht="12" customHeight="1"/>
    <row r="30581" ht="12" customHeight="1"/>
    <row r="30582" ht="12" customHeight="1"/>
    <row r="30583" ht="12" customHeight="1"/>
    <row r="30584" ht="12" customHeight="1"/>
    <row r="30585" ht="12" customHeight="1"/>
    <row r="30586" ht="12" customHeight="1"/>
    <row r="30587" ht="12" customHeight="1"/>
    <row r="30588" ht="12" customHeight="1"/>
    <row r="30589" ht="12" customHeight="1"/>
    <row r="30590" ht="12" customHeight="1"/>
    <row r="30591" ht="12" customHeight="1"/>
    <row r="30592" ht="12" customHeight="1"/>
    <row r="30593" ht="12" customHeight="1"/>
    <row r="30594" ht="12" customHeight="1"/>
    <row r="30595" ht="12" customHeight="1"/>
    <row r="30596" ht="12" customHeight="1"/>
    <row r="30597" ht="12" customHeight="1"/>
    <row r="30598" ht="12" customHeight="1"/>
    <row r="30599" ht="12" customHeight="1"/>
    <row r="30600" ht="12" customHeight="1"/>
    <row r="30601" ht="12" customHeight="1"/>
    <row r="30602" ht="12" customHeight="1"/>
    <row r="30603" ht="12" customHeight="1"/>
    <row r="30604" ht="12" customHeight="1"/>
    <row r="30605" ht="12" customHeight="1"/>
    <row r="30606" ht="12" customHeight="1"/>
    <row r="30607" ht="12" customHeight="1"/>
    <row r="30608" ht="12" customHeight="1"/>
    <row r="30609" ht="12" customHeight="1"/>
    <row r="30610" ht="12" customHeight="1"/>
    <row r="30611" ht="12" customHeight="1"/>
    <row r="30612" ht="12" customHeight="1"/>
    <row r="30613" ht="12" customHeight="1"/>
    <row r="30614" ht="12" customHeight="1"/>
    <row r="30615" ht="12" customHeight="1"/>
    <row r="30616" ht="12" customHeight="1"/>
    <row r="30617" ht="12" customHeight="1"/>
    <row r="30618" ht="12" customHeight="1"/>
    <row r="30619" ht="12" customHeight="1"/>
    <row r="30620" ht="12" customHeight="1"/>
    <row r="30621" ht="12" customHeight="1"/>
    <row r="30622" ht="12" customHeight="1"/>
    <row r="30623" ht="12" customHeight="1"/>
    <row r="30624" ht="12" customHeight="1"/>
    <row r="30625" ht="12" customHeight="1"/>
    <row r="30626" ht="12" customHeight="1"/>
    <row r="30627" ht="12" customHeight="1"/>
    <row r="30628" ht="12" customHeight="1"/>
    <row r="30629" ht="12" customHeight="1"/>
    <row r="30630" ht="12" customHeight="1"/>
    <row r="30631" ht="12" customHeight="1"/>
    <row r="30632" ht="12" customHeight="1"/>
    <row r="30633" ht="12" customHeight="1"/>
    <row r="30634" ht="12" customHeight="1"/>
    <row r="30635" ht="12" customHeight="1"/>
    <row r="30636" ht="12" customHeight="1"/>
    <row r="30637" ht="12" customHeight="1"/>
    <row r="30638" ht="12" customHeight="1"/>
    <row r="30639" ht="12" customHeight="1"/>
    <row r="30640" ht="12" customHeight="1"/>
    <row r="30641" ht="12" customHeight="1"/>
    <row r="30642" ht="12" customHeight="1"/>
    <row r="30643" ht="12" customHeight="1"/>
    <row r="30644" ht="12" customHeight="1"/>
    <row r="30645" ht="12" customHeight="1"/>
    <row r="30646" ht="12" customHeight="1"/>
    <row r="30647" ht="12" customHeight="1"/>
    <row r="30648" ht="12" customHeight="1"/>
    <row r="30649" ht="12" customHeight="1"/>
    <row r="30650" ht="12" customHeight="1"/>
    <row r="30651" ht="12" customHeight="1"/>
    <row r="30652" ht="12" customHeight="1"/>
    <row r="30653" ht="12" customHeight="1"/>
    <row r="30654" ht="12" customHeight="1"/>
    <row r="30655" ht="12" customHeight="1"/>
    <row r="30656" ht="12" customHeight="1"/>
    <row r="30657" ht="12" customHeight="1"/>
    <row r="30658" ht="12" customHeight="1"/>
    <row r="30659" ht="12" customHeight="1"/>
    <row r="30660" ht="12" customHeight="1"/>
    <row r="30661" ht="12" customHeight="1"/>
    <row r="30662" ht="12" customHeight="1"/>
    <row r="30663" ht="12" customHeight="1"/>
    <row r="30664" ht="12" customHeight="1"/>
    <row r="30665" ht="12" customHeight="1"/>
    <row r="30666" ht="12" customHeight="1"/>
    <row r="30667" ht="12" customHeight="1"/>
    <row r="30668" ht="12" customHeight="1"/>
    <row r="30669" ht="12" customHeight="1"/>
    <row r="30670" ht="12" customHeight="1"/>
    <row r="30671" ht="12" customHeight="1"/>
    <row r="30672" ht="12" customHeight="1"/>
    <row r="30673" ht="12" customHeight="1"/>
    <row r="30674" ht="12" customHeight="1"/>
    <row r="30675" ht="12" customHeight="1"/>
    <row r="30676" ht="12" customHeight="1"/>
    <row r="30677" ht="12" customHeight="1"/>
    <row r="30678" ht="12" customHeight="1"/>
    <row r="30679" ht="12" customHeight="1"/>
    <row r="30680" ht="12" customHeight="1"/>
    <row r="30681" ht="12" customHeight="1"/>
    <row r="30682" ht="12" customHeight="1"/>
    <row r="30683" ht="12" customHeight="1"/>
    <row r="30684" ht="12" customHeight="1"/>
    <row r="30685" ht="12" customHeight="1"/>
    <row r="30686" ht="12" customHeight="1"/>
    <row r="30687" ht="12" customHeight="1"/>
    <row r="30688" ht="12" customHeight="1"/>
    <row r="30689" ht="12" customHeight="1"/>
    <row r="30690" ht="12" customHeight="1"/>
    <row r="30691" ht="12" customHeight="1"/>
    <row r="30692" ht="12" customHeight="1"/>
    <row r="30693" ht="12" customHeight="1"/>
    <row r="30694" ht="12" customHeight="1"/>
    <row r="30695" ht="12" customHeight="1"/>
    <row r="30696" ht="12" customHeight="1"/>
    <row r="30697" ht="12" customHeight="1"/>
    <row r="30698" ht="12" customHeight="1"/>
    <row r="30699" ht="12" customHeight="1"/>
    <row r="30700" ht="12" customHeight="1"/>
    <row r="30701" ht="12" customHeight="1"/>
    <row r="30702" ht="12" customHeight="1"/>
    <row r="30703" ht="12" customHeight="1"/>
    <row r="30704" ht="12" customHeight="1"/>
    <row r="30705" ht="12" customHeight="1"/>
    <row r="30706" ht="12" customHeight="1"/>
    <row r="30707" ht="12" customHeight="1"/>
    <row r="30708" ht="12" customHeight="1"/>
    <row r="30709" ht="12" customHeight="1"/>
    <row r="30710" ht="12" customHeight="1"/>
    <row r="30711" ht="12" customHeight="1"/>
    <row r="30712" ht="12" customHeight="1"/>
    <row r="30713" ht="12" customHeight="1"/>
    <row r="30714" ht="12" customHeight="1"/>
    <row r="30715" ht="12" customHeight="1"/>
    <row r="30716" ht="12" customHeight="1"/>
    <row r="30717" ht="12" customHeight="1"/>
    <row r="30718" ht="12" customHeight="1"/>
    <row r="30719" ht="12" customHeight="1"/>
    <row r="30720" ht="12" customHeight="1"/>
    <row r="30721" ht="12" customHeight="1"/>
    <row r="30722" ht="12" customHeight="1"/>
    <row r="30723" ht="12" customHeight="1"/>
    <row r="30724" ht="12" customHeight="1"/>
    <row r="30725" ht="12" customHeight="1"/>
    <row r="30726" ht="12" customHeight="1"/>
    <row r="30727" ht="12" customHeight="1"/>
    <row r="30728" ht="12" customHeight="1"/>
    <row r="30729" ht="12" customHeight="1"/>
    <row r="30730" ht="12" customHeight="1"/>
    <row r="30731" ht="12" customHeight="1"/>
    <row r="30732" ht="12" customHeight="1"/>
    <row r="30733" ht="12" customHeight="1"/>
    <row r="30734" ht="12" customHeight="1"/>
    <row r="30735" ht="12" customHeight="1"/>
    <row r="30736" ht="12" customHeight="1"/>
    <row r="30737" ht="12" customHeight="1"/>
    <row r="30738" ht="12" customHeight="1"/>
    <row r="30739" ht="12" customHeight="1"/>
    <row r="30740" ht="12" customHeight="1"/>
    <row r="30741" ht="12" customHeight="1"/>
    <row r="30742" ht="12" customHeight="1"/>
    <row r="30743" ht="12" customHeight="1"/>
    <row r="30744" ht="12" customHeight="1"/>
    <row r="30745" ht="12" customHeight="1"/>
    <row r="30746" ht="12" customHeight="1"/>
    <row r="30747" ht="12" customHeight="1"/>
    <row r="30748" ht="12" customHeight="1"/>
    <row r="30749" ht="12" customHeight="1"/>
    <row r="30750" ht="12" customHeight="1"/>
    <row r="30751" ht="12" customHeight="1"/>
    <row r="30752" ht="12" customHeight="1"/>
    <row r="30753" ht="12" customHeight="1"/>
    <row r="30754" ht="12" customHeight="1"/>
    <row r="30755" ht="12" customHeight="1"/>
    <row r="30756" ht="12" customHeight="1"/>
    <row r="30757" ht="12" customHeight="1"/>
    <row r="30758" ht="12" customHeight="1"/>
    <row r="30759" ht="12" customHeight="1"/>
    <row r="30760" ht="12" customHeight="1"/>
    <row r="30761" ht="12" customHeight="1"/>
    <row r="30762" ht="12" customHeight="1"/>
    <row r="30763" ht="12" customHeight="1"/>
    <row r="30764" ht="12" customHeight="1"/>
    <row r="30765" ht="12" customHeight="1"/>
    <row r="30766" ht="12" customHeight="1"/>
    <row r="30767" ht="12" customHeight="1"/>
    <row r="30768" ht="12" customHeight="1"/>
    <row r="30769" ht="12" customHeight="1"/>
    <row r="30770" ht="12" customHeight="1"/>
    <row r="30771" ht="12" customHeight="1"/>
    <row r="30772" ht="12" customHeight="1"/>
    <row r="30773" ht="12" customHeight="1"/>
    <row r="30774" ht="12" customHeight="1"/>
    <row r="30775" ht="12" customHeight="1"/>
    <row r="30776" ht="12" customHeight="1"/>
    <row r="30777" ht="12" customHeight="1"/>
    <row r="30778" ht="12" customHeight="1"/>
    <row r="30779" ht="12" customHeight="1"/>
    <row r="30780" ht="12" customHeight="1"/>
    <row r="30781" ht="12" customHeight="1"/>
    <row r="30782" ht="12" customHeight="1"/>
    <row r="30783" ht="12" customHeight="1"/>
    <row r="30784" ht="12" customHeight="1"/>
    <row r="30785" ht="12" customHeight="1"/>
    <row r="30786" ht="12" customHeight="1"/>
    <row r="30787" ht="12" customHeight="1"/>
    <row r="30788" ht="12" customHeight="1"/>
    <row r="30789" ht="12" customHeight="1"/>
    <row r="30790" ht="12" customHeight="1"/>
    <row r="30791" ht="12" customHeight="1"/>
    <row r="30792" ht="12" customHeight="1"/>
    <row r="30793" ht="12" customHeight="1"/>
    <row r="30794" ht="12" customHeight="1"/>
    <row r="30795" ht="12" customHeight="1"/>
    <row r="30796" ht="12" customHeight="1"/>
    <row r="30797" ht="12" customHeight="1"/>
    <row r="30798" ht="12" customHeight="1"/>
    <row r="30799" ht="12" customHeight="1"/>
    <row r="30800" ht="12" customHeight="1"/>
    <row r="30801" ht="12" customHeight="1"/>
    <row r="30802" ht="12" customHeight="1"/>
    <row r="30803" ht="12" customHeight="1"/>
    <row r="30804" ht="12" customHeight="1"/>
    <row r="30805" ht="12" customHeight="1"/>
    <row r="30806" ht="12" customHeight="1"/>
    <row r="30807" ht="12" customHeight="1"/>
    <row r="30808" ht="12" customHeight="1"/>
    <row r="30809" ht="12" customHeight="1"/>
    <row r="30810" ht="12" customHeight="1"/>
    <row r="30811" ht="12" customHeight="1"/>
    <row r="30812" ht="12" customHeight="1"/>
    <row r="30813" ht="12" customHeight="1"/>
    <row r="30814" ht="12" customHeight="1"/>
    <row r="30815" ht="12" customHeight="1"/>
    <row r="30816" ht="12" customHeight="1"/>
    <row r="30817" ht="12" customHeight="1"/>
    <row r="30818" ht="12" customHeight="1"/>
    <row r="30819" ht="12" customHeight="1"/>
    <row r="30820" ht="12" customHeight="1"/>
    <row r="30821" ht="12" customHeight="1"/>
    <row r="30822" ht="12" customHeight="1"/>
    <row r="30823" ht="12" customHeight="1"/>
    <row r="30824" ht="12" customHeight="1"/>
    <row r="30825" ht="12" customHeight="1"/>
    <row r="30826" ht="12" customHeight="1"/>
    <row r="30827" ht="12" customHeight="1"/>
    <row r="30828" ht="12" customHeight="1"/>
    <row r="30829" ht="12" customHeight="1"/>
    <row r="30830" ht="12" customHeight="1"/>
    <row r="30831" ht="12" customHeight="1"/>
    <row r="30832" ht="12" customHeight="1"/>
    <row r="30833" ht="12" customHeight="1"/>
    <row r="30834" ht="12" customHeight="1"/>
    <row r="30835" ht="12" customHeight="1"/>
    <row r="30836" ht="12" customHeight="1"/>
    <row r="30837" ht="12" customHeight="1"/>
    <row r="30838" ht="12" customHeight="1"/>
    <row r="30839" ht="12" customHeight="1"/>
    <row r="30840" ht="12" customHeight="1"/>
    <row r="30841" ht="12" customHeight="1"/>
    <row r="30842" ht="12" customHeight="1"/>
    <row r="30843" ht="12" customHeight="1"/>
    <row r="30844" ht="12" customHeight="1"/>
    <row r="30845" ht="12" customHeight="1"/>
    <row r="30846" ht="12" customHeight="1"/>
    <row r="30847" ht="12" customHeight="1"/>
    <row r="30848" ht="12" customHeight="1"/>
    <row r="30849" ht="12" customHeight="1"/>
    <row r="30850" ht="12" customHeight="1"/>
    <row r="30851" ht="12" customHeight="1"/>
    <row r="30852" ht="12" customHeight="1"/>
    <row r="30853" ht="12" customHeight="1"/>
    <row r="30854" ht="12" customHeight="1"/>
    <row r="30855" ht="12" customHeight="1"/>
    <row r="30856" ht="12" customHeight="1"/>
    <row r="30857" ht="12" customHeight="1"/>
    <row r="30858" ht="12" customHeight="1"/>
    <row r="30859" ht="12" customHeight="1"/>
    <row r="30860" ht="12" customHeight="1"/>
    <row r="30861" ht="12" customHeight="1"/>
    <row r="30862" ht="12" customHeight="1"/>
    <row r="30863" ht="12" customHeight="1"/>
    <row r="30864" ht="12" customHeight="1"/>
    <row r="30865" ht="12" customHeight="1"/>
    <row r="30866" ht="12" customHeight="1"/>
    <row r="30867" ht="12" customHeight="1"/>
    <row r="30868" ht="12" customHeight="1"/>
    <row r="30869" ht="12" customHeight="1"/>
    <row r="30870" ht="12" customHeight="1"/>
    <row r="30871" ht="12" customHeight="1"/>
    <row r="30872" ht="12" customHeight="1"/>
    <row r="30873" ht="12" customHeight="1"/>
    <row r="30874" ht="12" customHeight="1"/>
    <row r="30875" ht="12" customHeight="1"/>
    <row r="30876" ht="12" customHeight="1"/>
    <row r="30877" ht="12" customHeight="1"/>
    <row r="30878" ht="12" customHeight="1"/>
    <row r="30879" ht="12" customHeight="1"/>
    <row r="30880" ht="12" customHeight="1"/>
    <row r="30881" ht="12" customHeight="1"/>
    <row r="30882" ht="12" customHeight="1"/>
    <row r="30883" ht="12" customHeight="1"/>
    <row r="30884" ht="12" customHeight="1"/>
    <row r="30885" ht="12" customHeight="1"/>
    <row r="30886" ht="12" customHeight="1"/>
    <row r="30887" ht="12" customHeight="1"/>
    <row r="30888" ht="12" customHeight="1"/>
    <row r="30889" ht="12" customHeight="1"/>
    <row r="30890" ht="12" customHeight="1"/>
    <row r="30891" ht="12" customHeight="1"/>
    <row r="30892" ht="12" customHeight="1"/>
    <row r="30893" ht="12" customHeight="1"/>
    <row r="30894" ht="12" customHeight="1"/>
    <row r="30895" ht="12" customHeight="1"/>
    <row r="30896" ht="12" customHeight="1"/>
    <row r="30897" ht="12" customHeight="1"/>
    <row r="30898" ht="12" customHeight="1"/>
    <row r="30899" ht="12" customHeight="1"/>
    <row r="30900" ht="12" customHeight="1"/>
    <row r="30901" ht="12" customHeight="1"/>
    <row r="30902" ht="12" customHeight="1"/>
    <row r="30903" ht="12" customHeight="1"/>
    <row r="30904" ht="12" customHeight="1"/>
    <row r="30905" ht="12" customHeight="1"/>
    <row r="30906" ht="12" customHeight="1"/>
    <row r="30907" ht="12" customHeight="1"/>
    <row r="30908" ht="12" customHeight="1"/>
    <row r="30909" ht="12" customHeight="1"/>
    <row r="30910" ht="12" customHeight="1"/>
    <row r="30911" ht="12" customHeight="1"/>
    <row r="30912" ht="12" customHeight="1"/>
    <row r="30913" ht="12" customHeight="1"/>
    <row r="30914" ht="12" customHeight="1"/>
    <row r="30915" ht="12" customHeight="1"/>
    <row r="30916" ht="12" customHeight="1"/>
    <row r="30917" ht="12" customHeight="1"/>
    <row r="30918" ht="12" customHeight="1"/>
    <row r="30919" ht="12" customHeight="1"/>
    <row r="30920" ht="12" customHeight="1"/>
    <row r="30921" ht="12" customHeight="1"/>
    <row r="30922" ht="12" customHeight="1"/>
    <row r="30923" ht="12" customHeight="1"/>
    <row r="30924" ht="12" customHeight="1"/>
    <row r="30925" ht="12" customHeight="1"/>
    <row r="30926" ht="12" customHeight="1"/>
    <row r="30927" ht="12" customHeight="1"/>
    <row r="30928" ht="12" customHeight="1"/>
    <row r="30929" ht="12" customHeight="1"/>
    <row r="30930" ht="12" customHeight="1"/>
    <row r="30931" ht="12" customHeight="1"/>
    <row r="30932" ht="12" customHeight="1"/>
    <row r="30933" ht="12" customHeight="1"/>
    <row r="30934" ht="12" customHeight="1"/>
    <row r="30935" ht="12" customHeight="1"/>
    <row r="30936" ht="12" customHeight="1"/>
    <row r="30937" ht="12" customHeight="1"/>
    <row r="30938" ht="12" customHeight="1"/>
    <row r="30939" ht="12" customHeight="1"/>
    <row r="30940" ht="12" customHeight="1"/>
    <row r="30941" ht="12" customHeight="1"/>
    <row r="30942" ht="12" customHeight="1"/>
    <row r="30943" ht="12" customHeight="1"/>
    <row r="30944" ht="12" customHeight="1"/>
    <row r="30945" ht="12" customHeight="1"/>
    <row r="30946" ht="12" customHeight="1"/>
    <row r="30947" ht="12" customHeight="1"/>
    <row r="30948" ht="12" customHeight="1"/>
    <row r="30949" ht="12" customHeight="1"/>
    <row r="30950" ht="12" customHeight="1"/>
    <row r="30951" ht="12" customHeight="1"/>
    <row r="30952" ht="12" customHeight="1"/>
    <row r="30953" ht="12" customHeight="1"/>
    <row r="30954" ht="12" customHeight="1"/>
    <row r="30955" ht="12" customHeight="1"/>
    <row r="30956" ht="12" customHeight="1"/>
    <row r="30957" ht="12" customHeight="1"/>
    <row r="30958" ht="12" customHeight="1"/>
    <row r="30959" ht="12" customHeight="1"/>
    <row r="30960" ht="12" customHeight="1"/>
    <row r="30961" ht="12" customHeight="1"/>
    <row r="30962" ht="12" customHeight="1"/>
    <row r="30963" ht="12" customHeight="1"/>
    <row r="30964" ht="12" customHeight="1"/>
    <row r="30965" ht="12" customHeight="1"/>
    <row r="30966" ht="12" customHeight="1"/>
    <row r="30967" ht="12" customHeight="1"/>
    <row r="30968" ht="12" customHeight="1"/>
    <row r="30969" ht="12" customHeight="1"/>
    <row r="30970" ht="12" customHeight="1"/>
    <row r="30971" ht="12" customHeight="1"/>
    <row r="30972" ht="12" customHeight="1"/>
    <row r="30973" ht="12" customHeight="1"/>
    <row r="30974" ht="12" customHeight="1"/>
    <row r="30975" ht="12" customHeight="1"/>
    <row r="30976" ht="12" customHeight="1"/>
    <row r="30977" ht="12" customHeight="1"/>
    <row r="30978" ht="12" customHeight="1"/>
    <row r="30979" ht="12" customHeight="1"/>
    <row r="30980" ht="12" customHeight="1"/>
    <row r="30981" ht="12" customHeight="1"/>
    <row r="30982" ht="12" customHeight="1"/>
    <row r="30983" ht="12" customHeight="1"/>
    <row r="30984" ht="12" customHeight="1"/>
    <row r="30985" ht="12" customHeight="1"/>
    <row r="30986" ht="12" customHeight="1"/>
    <row r="30987" ht="12" customHeight="1"/>
    <row r="30988" ht="12" customHeight="1"/>
    <row r="30989" ht="12" customHeight="1"/>
    <row r="30990" ht="12" customHeight="1"/>
    <row r="30991" ht="12" customHeight="1"/>
    <row r="30992" ht="12" customHeight="1"/>
    <row r="30993" ht="12" customHeight="1"/>
    <row r="30994" ht="12" customHeight="1"/>
    <row r="30995" ht="12" customHeight="1"/>
    <row r="30996" ht="12" customHeight="1"/>
    <row r="30997" ht="12" customHeight="1"/>
    <row r="30998" ht="12" customHeight="1"/>
    <row r="30999" ht="12" customHeight="1"/>
    <row r="31000" ht="12" customHeight="1"/>
    <row r="31001" ht="12" customHeight="1"/>
    <row r="31002" ht="12" customHeight="1"/>
    <row r="31003" ht="12" customHeight="1"/>
    <row r="31004" ht="12" customHeight="1"/>
    <row r="31005" ht="12" customHeight="1"/>
    <row r="31006" ht="12" customHeight="1"/>
    <row r="31007" ht="12" customHeight="1"/>
    <row r="31008" ht="12" customHeight="1"/>
    <row r="31009" ht="12" customHeight="1"/>
    <row r="31010" ht="12" customHeight="1"/>
    <row r="31011" ht="12" customHeight="1"/>
    <row r="31012" ht="12" customHeight="1"/>
    <row r="31013" ht="12" customHeight="1"/>
    <row r="31014" ht="12" customHeight="1"/>
    <row r="31015" ht="12" customHeight="1"/>
    <row r="31016" ht="12" customHeight="1"/>
    <row r="31017" ht="12" customHeight="1"/>
    <row r="31018" ht="12" customHeight="1"/>
    <row r="31019" ht="12" customHeight="1"/>
    <row r="31020" ht="12" customHeight="1"/>
    <row r="31021" ht="12" customHeight="1"/>
    <row r="31022" ht="12" customHeight="1"/>
    <row r="31023" ht="12" customHeight="1"/>
    <row r="31024" ht="12" customHeight="1"/>
    <row r="31025" ht="12" customHeight="1"/>
    <row r="31026" ht="12" customHeight="1"/>
    <row r="31027" ht="12" customHeight="1"/>
    <row r="31028" ht="12" customHeight="1"/>
    <row r="31029" ht="12" customHeight="1"/>
    <row r="31030" ht="12" customHeight="1"/>
    <row r="31031" ht="12" customHeight="1"/>
    <row r="31032" ht="12" customHeight="1"/>
    <row r="31033" ht="12" customHeight="1"/>
    <row r="31034" ht="12" customHeight="1"/>
    <row r="31035" ht="12" customHeight="1"/>
    <row r="31036" ht="12" customHeight="1"/>
    <row r="31037" ht="12" customHeight="1"/>
    <row r="31038" ht="12" customHeight="1"/>
    <row r="31039" ht="12" customHeight="1"/>
    <row r="31040" ht="12" customHeight="1"/>
    <row r="31041" ht="12" customHeight="1"/>
    <row r="31042" ht="12" customHeight="1"/>
    <row r="31043" ht="12" customHeight="1"/>
    <row r="31044" ht="12" customHeight="1"/>
    <row r="31045" ht="12" customHeight="1"/>
    <row r="31046" ht="12" customHeight="1"/>
    <row r="31047" ht="12" customHeight="1"/>
    <row r="31048" ht="12" customHeight="1"/>
    <row r="31049" ht="12" customHeight="1"/>
    <row r="31050" ht="12" customHeight="1"/>
    <row r="31051" ht="12" customHeight="1"/>
    <row r="31052" ht="12" customHeight="1"/>
    <row r="31053" ht="12" customHeight="1"/>
    <row r="31054" ht="12" customHeight="1"/>
    <row r="31055" ht="12" customHeight="1"/>
    <row r="31056" ht="12" customHeight="1"/>
    <row r="31057" ht="12" customHeight="1"/>
    <row r="31058" ht="12" customHeight="1"/>
    <row r="31059" ht="12" customHeight="1"/>
    <row r="31060" ht="12" customHeight="1"/>
    <row r="31061" ht="12" customHeight="1"/>
    <row r="31062" ht="12" customHeight="1"/>
    <row r="31063" ht="12" customHeight="1"/>
    <row r="31064" ht="12" customHeight="1"/>
    <row r="31065" ht="12" customHeight="1"/>
    <row r="31066" ht="12" customHeight="1"/>
    <row r="31067" ht="12" customHeight="1"/>
    <row r="31068" ht="12" customHeight="1"/>
    <row r="31069" ht="12" customHeight="1"/>
    <row r="31070" ht="12" customHeight="1"/>
    <row r="31071" ht="12" customHeight="1"/>
    <row r="31072" ht="12" customHeight="1"/>
    <row r="31073" ht="12" customHeight="1"/>
    <row r="31074" ht="12" customHeight="1"/>
    <row r="31075" ht="12" customHeight="1"/>
    <row r="31076" ht="12" customHeight="1"/>
    <row r="31077" ht="12" customHeight="1"/>
    <row r="31078" ht="12" customHeight="1"/>
    <row r="31079" ht="12" customHeight="1"/>
    <row r="31080" ht="12" customHeight="1"/>
    <row r="31081" ht="12" customHeight="1"/>
    <row r="31082" ht="12" customHeight="1"/>
    <row r="31083" ht="12" customHeight="1"/>
    <row r="31084" ht="12" customHeight="1"/>
    <row r="31085" ht="12" customHeight="1"/>
    <row r="31086" ht="12" customHeight="1"/>
    <row r="31087" ht="12" customHeight="1"/>
    <row r="31088" ht="12" customHeight="1"/>
    <row r="31089" ht="12" customHeight="1"/>
    <row r="31090" ht="12" customHeight="1"/>
    <row r="31091" ht="12" customHeight="1"/>
    <row r="31092" ht="12" customHeight="1"/>
    <row r="31093" ht="12" customHeight="1"/>
    <row r="31094" ht="12" customHeight="1"/>
    <row r="31095" ht="12" customHeight="1"/>
    <row r="31096" ht="12" customHeight="1"/>
    <row r="31097" ht="12" customHeight="1"/>
    <row r="31098" ht="12" customHeight="1"/>
    <row r="31099" ht="12" customHeight="1"/>
    <row r="31100" ht="12" customHeight="1"/>
    <row r="31101" ht="12" customHeight="1"/>
    <row r="31102" ht="12" customHeight="1"/>
    <row r="31103" ht="12" customHeight="1"/>
    <row r="31104" ht="12" customHeight="1"/>
    <row r="31105" ht="12" customHeight="1"/>
    <row r="31106" ht="12" customHeight="1"/>
    <row r="31107" ht="12" customHeight="1"/>
    <row r="31108" ht="12" customHeight="1"/>
    <row r="31109" ht="12" customHeight="1"/>
    <row r="31110" ht="12" customHeight="1"/>
    <row r="31111" ht="12" customHeight="1"/>
    <row r="31112" ht="12" customHeight="1"/>
    <row r="31113" ht="12" customHeight="1"/>
    <row r="31114" ht="12" customHeight="1"/>
    <row r="31115" ht="12" customHeight="1"/>
    <row r="31116" ht="12" customHeight="1"/>
    <row r="31117" ht="12" customHeight="1"/>
    <row r="31118" ht="12" customHeight="1"/>
    <row r="31119" ht="12" customHeight="1"/>
    <row r="31120" ht="12" customHeight="1"/>
    <row r="31121" ht="12" customHeight="1"/>
    <row r="31122" ht="12" customHeight="1"/>
    <row r="31123" ht="12" customHeight="1"/>
    <row r="31124" ht="12" customHeight="1"/>
    <row r="31125" ht="12" customHeight="1"/>
    <row r="31126" ht="12" customHeight="1"/>
    <row r="31127" ht="12" customHeight="1"/>
    <row r="31128" ht="12" customHeight="1"/>
    <row r="31129" ht="12" customHeight="1"/>
    <row r="31130" ht="12" customHeight="1"/>
    <row r="31131" ht="12" customHeight="1"/>
    <row r="31132" ht="12" customHeight="1"/>
    <row r="31133" ht="12" customHeight="1"/>
    <row r="31134" ht="12" customHeight="1"/>
    <row r="31135" ht="12" customHeight="1"/>
    <row r="31136" ht="12" customHeight="1"/>
    <row r="31137" ht="12" customHeight="1"/>
    <row r="31138" ht="12" customHeight="1"/>
    <row r="31139" ht="12" customHeight="1"/>
    <row r="31140" ht="12" customHeight="1"/>
    <row r="31141" ht="12" customHeight="1"/>
    <row r="31142" ht="12" customHeight="1"/>
    <row r="31143" ht="12" customHeight="1"/>
    <row r="31144" ht="12" customHeight="1"/>
    <row r="31145" ht="12" customHeight="1"/>
    <row r="31146" ht="12" customHeight="1"/>
    <row r="31147" ht="12" customHeight="1"/>
    <row r="31148" ht="12" customHeight="1"/>
    <row r="31149" ht="12" customHeight="1"/>
    <row r="31150" ht="12" customHeight="1"/>
    <row r="31151" ht="12" customHeight="1"/>
    <row r="31152" ht="12" customHeight="1"/>
    <row r="31153" ht="12" customHeight="1"/>
    <row r="31154" ht="12" customHeight="1"/>
    <row r="31155" ht="12" customHeight="1"/>
    <row r="31156" ht="12" customHeight="1"/>
    <row r="31157" ht="12" customHeight="1"/>
    <row r="31158" ht="12" customHeight="1"/>
    <row r="31159" ht="12" customHeight="1"/>
    <row r="31160" ht="12" customHeight="1"/>
    <row r="31161" ht="12" customHeight="1"/>
    <row r="31162" ht="12" customHeight="1"/>
    <row r="31163" ht="12" customHeight="1"/>
    <row r="31164" ht="12" customHeight="1"/>
    <row r="31165" ht="12" customHeight="1"/>
    <row r="31166" ht="12" customHeight="1"/>
    <row r="31167" ht="12" customHeight="1"/>
    <row r="31168" ht="12" customHeight="1"/>
    <row r="31169" ht="12" customHeight="1"/>
    <row r="31170" ht="12" customHeight="1"/>
    <row r="31171" ht="12" customHeight="1"/>
    <row r="31172" ht="12" customHeight="1"/>
    <row r="31173" ht="12" customHeight="1"/>
    <row r="31174" ht="12" customHeight="1"/>
    <row r="31175" ht="12" customHeight="1"/>
    <row r="31176" ht="12" customHeight="1"/>
    <row r="31177" ht="12" customHeight="1"/>
    <row r="31178" ht="12" customHeight="1"/>
    <row r="31179" ht="12" customHeight="1"/>
    <row r="31180" ht="12" customHeight="1"/>
    <row r="31181" ht="12" customHeight="1"/>
    <row r="31182" ht="12" customHeight="1"/>
    <row r="31183" ht="12" customHeight="1"/>
    <row r="31184" ht="12" customHeight="1"/>
    <row r="31185" ht="12" customHeight="1"/>
    <row r="31186" ht="12" customHeight="1"/>
    <row r="31187" ht="12" customHeight="1"/>
    <row r="31188" ht="12" customHeight="1"/>
    <row r="31189" ht="12" customHeight="1"/>
    <row r="31190" ht="12" customHeight="1"/>
    <row r="31191" ht="12" customHeight="1"/>
    <row r="31192" ht="12" customHeight="1"/>
    <row r="31193" ht="12" customHeight="1"/>
    <row r="31194" ht="12" customHeight="1"/>
    <row r="31195" ht="12" customHeight="1"/>
    <row r="31196" ht="12" customHeight="1"/>
    <row r="31197" ht="12" customHeight="1"/>
    <row r="31198" ht="12" customHeight="1"/>
    <row r="31199" ht="12" customHeight="1"/>
    <row r="31200" ht="12" customHeight="1"/>
    <row r="31201" ht="12" customHeight="1"/>
    <row r="31202" ht="12" customHeight="1"/>
    <row r="31203" ht="12" customHeight="1"/>
    <row r="31204" ht="12" customHeight="1"/>
    <row r="31205" ht="12" customHeight="1"/>
    <row r="31206" ht="12" customHeight="1"/>
    <row r="31207" ht="12" customHeight="1"/>
    <row r="31208" ht="12" customHeight="1"/>
    <row r="31209" ht="12" customHeight="1"/>
    <row r="31210" ht="12" customHeight="1"/>
    <row r="31211" ht="12" customHeight="1"/>
    <row r="31212" ht="12" customHeight="1"/>
    <row r="31213" ht="12" customHeight="1"/>
    <row r="31214" ht="12" customHeight="1"/>
    <row r="31215" ht="12" customHeight="1"/>
    <row r="31216" ht="12" customHeight="1"/>
    <row r="31217" ht="12" customHeight="1"/>
    <row r="31218" ht="12" customHeight="1"/>
    <row r="31219" ht="12" customHeight="1"/>
    <row r="31220" ht="12" customHeight="1"/>
    <row r="31221" ht="12" customHeight="1"/>
    <row r="31222" ht="12" customHeight="1"/>
    <row r="31223" ht="12" customHeight="1"/>
    <row r="31224" ht="12" customHeight="1"/>
    <row r="31225" ht="12" customHeight="1"/>
    <row r="31226" ht="12" customHeight="1"/>
    <row r="31227" ht="12" customHeight="1"/>
    <row r="31228" ht="12" customHeight="1"/>
    <row r="31229" ht="12" customHeight="1"/>
    <row r="31230" ht="12" customHeight="1"/>
    <row r="31231" ht="12" customHeight="1"/>
    <row r="31232" ht="12" customHeight="1"/>
    <row r="31233" ht="12" customHeight="1"/>
    <row r="31234" ht="12" customHeight="1"/>
    <row r="31235" ht="12" customHeight="1"/>
    <row r="31236" ht="12" customHeight="1"/>
    <row r="31237" ht="12" customHeight="1"/>
    <row r="31238" ht="12" customHeight="1"/>
    <row r="31239" ht="12" customHeight="1"/>
    <row r="31240" ht="12" customHeight="1"/>
    <row r="31241" ht="12" customHeight="1"/>
    <row r="31242" ht="12" customHeight="1"/>
    <row r="31243" ht="12" customHeight="1"/>
    <row r="31244" ht="12" customHeight="1"/>
    <row r="31245" ht="12" customHeight="1"/>
    <row r="31246" ht="12" customHeight="1"/>
    <row r="31247" ht="12" customHeight="1"/>
    <row r="31248" ht="12" customHeight="1"/>
    <row r="31249" ht="12" customHeight="1"/>
    <row r="31250" ht="12" customHeight="1"/>
    <row r="31251" ht="12" customHeight="1"/>
    <row r="31252" ht="12" customHeight="1"/>
    <row r="31253" ht="12" customHeight="1"/>
    <row r="31254" ht="12" customHeight="1"/>
    <row r="31255" ht="12" customHeight="1"/>
    <row r="31256" ht="12" customHeight="1"/>
    <row r="31257" ht="12" customHeight="1"/>
    <row r="31258" ht="12" customHeight="1"/>
    <row r="31259" ht="12" customHeight="1"/>
    <row r="31260" ht="12" customHeight="1"/>
    <row r="31261" ht="12" customHeight="1"/>
    <row r="31262" ht="12" customHeight="1"/>
    <row r="31263" ht="12" customHeight="1"/>
    <row r="31264" ht="12" customHeight="1"/>
    <row r="31265" ht="12" customHeight="1"/>
    <row r="31266" ht="12" customHeight="1"/>
    <row r="31267" ht="12" customHeight="1"/>
    <row r="31268" ht="12" customHeight="1"/>
    <row r="31269" ht="12" customHeight="1"/>
    <row r="31270" ht="12" customHeight="1"/>
    <row r="31271" ht="12" customHeight="1"/>
    <row r="31272" ht="12" customHeight="1"/>
    <row r="31273" ht="12" customHeight="1"/>
    <row r="31274" ht="12" customHeight="1"/>
    <row r="31275" ht="12" customHeight="1"/>
    <row r="31276" ht="12" customHeight="1"/>
    <row r="31277" ht="12" customHeight="1"/>
    <row r="31278" ht="12" customHeight="1"/>
    <row r="31279" ht="12" customHeight="1"/>
    <row r="31280" ht="12" customHeight="1"/>
    <row r="31281" ht="12" customHeight="1"/>
    <row r="31282" ht="12" customHeight="1"/>
    <row r="31283" ht="12" customHeight="1"/>
    <row r="31284" ht="12" customHeight="1"/>
    <row r="31285" ht="12" customHeight="1"/>
    <row r="31286" ht="12" customHeight="1"/>
    <row r="31287" ht="12" customHeight="1"/>
    <row r="31288" ht="12" customHeight="1"/>
    <row r="31289" ht="12" customHeight="1"/>
    <row r="31290" ht="12" customHeight="1"/>
    <row r="31291" ht="12" customHeight="1"/>
    <row r="31292" ht="12" customHeight="1"/>
    <row r="31293" ht="12" customHeight="1"/>
    <row r="31294" ht="12" customHeight="1"/>
    <row r="31295" ht="12" customHeight="1"/>
    <row r="31296" ht="12" customHeight="1"/>
    <row r="31297" ht="12" customHeight="1"/>
    <row r="31298" ht="12" customHeight="1"/>
    <row r="31299" ht="12" customHeight="1"/>
    <row r="31300" ht="12" customHeight="1"/>
    <row r="31301" ht="12" customHeight="1"/>
    <row r="31302" ht="12" customHeight="1"/>
    <row r="31303" ht="12" customHeight="1"/>
    <row r="31304" ht="12" customHeight="1"/>
    <row r="31305" ht="12" customHeight="1"/>
    <row r="31306" ht="12" customHeight="1"/>
    <row r="31307" ht="12" customHeight="1"/>
    <row r="31308" ht="12" customHeight="1"/>
    <row r="31309" ht="12" customHeight="1"/>
    <row r="31310" ht="12" customHeight="1"/>
    <row r="31311" ht="12" customHeight="1"/>
    <row r="31312" ht="12" customHeight="1"/>
    <row r="31313" ht="12" customHeight="1"/>
    <row r="31314" ht="12" customHeight="1"/>
    <row r="31315" ht="12" customHeight="1"/>
    <row r="31316" ht="12" customHeight="1"/>
    <row r="31317" ht="12" customHeight="1"/>
    <row r="31318" ht="12" customHeight="1"/>
    <row r="31319" ht="12" customHeight="1"/>
    <row r="31320" ht="12" customHeight="1"/>
    <row r="31321" ht="12" customHeight="1"/>
    <row r="31322" ht="12" customHeight="1"/>
    <row r="31323" ht="12" customHeight="1"/>
    <row r="31324" ht="12" customHeight="1"/>
    <row r="31325" ht="12" customHeight="1"/>
    <row r="31326" ht="12" customHeight="1"/>
    <row r="31327" ht="12" customHeight="1"/>
    <row r="31328" ht="12" customHeight="1"/>
    <row r="31329" ht="12" customHeight="1"/>
    <row r="31330" ht="12" customHeight="1"/>
    <row r="31331" ht="12" customHeight="1"/>
    <row r="31332" ht="12" customHeight="1"/>
    <row r="31333" ht="12" customHeight="1"/>
    <row r="31334" ht="12" customHeight="1"/>
    <row r="31335" ht="12" customHeight="1"/>
    <row r="31336" ht="12" customHeight="1"/>
    <row r="31337" ht="12" customHeight="1"/>
    <row r="31338" ht="12" customHeight="1"/>
    <row r="31339" ht="12" customHeight="1"/>
    <row r="31340" ht="12" customHeight="1"/>
    <row r="31341" ht="12" customHeight="1"/>
    <row r="31342" ht="12" customHeight="1"/>
    <row r="31343" ht="12" customHeight="1"/>
    <row r="31344" ht="12" customHeight="1"/>
    <row r="31345" ht="12" customHeight="1"/>
    <row r="31346" ht="12" customHeight="1"/>
    <row r="31347" ht="12" customHeight="1"/>
    <row r="31348" ht="12" customHeight="1"/>
    <row r="31349" ht="12" customHeight="1"/>
    <row r="31350" ht="12" customHeight="1"/>
    <row r="31351" ht="12" customHeight="1"/>
    <row r="31352" ht="12" customHeight="1"/>
    <row r="31353" ht="12" customHeight="1"/>
    <row r="31354" ht="12" customHeight="1"/>
    <row r="31355" ht="12" customHeight="1"/>
    <row r="31356" ht="12" customHeight="1"/>
    <row r="31357" ht="12" customHeight="1"/>
    <row r="31358" ht="12" customHeight="1"/>
    <row r="31359" ht="12" customHeight="1"/>
    <row r="31360" ht="12" customHeight="1"/>
    <row r="31361" ht="12" customHeight="1"/>
    <row r="31362" ht="12" customHeight="1"/>
    <row r="31363" ht="12" customHeight="1"/>
    <row r="31364" ht="12" customHeight="1"/>
    <row r="31365" ht="12" customHeight="1"/>
    <row r="31366" ht="12" customHeight="1"/>
    <row r="31367" ht="12" customHeight="1"/>
    <row r="31368" ht="12" customHeight="1"/>
    <row r="31369" ht="12" customHeight="1"/>
    <row r="31370" ht="12" customHeight="1"/>
    <row r="31371" ht="12" customHeight="1"/>
    <row r="31372" ht="12" customHeight="1"/>
    <row r="31373" ht="12" customHeight="1"/>
    <row r="31374" ht="12" customHeight="1"/>
    <row r="31375" ht="12" customHeight="1"/>
    <row r="31376" ht="12" customHeight="1"/>
    <row r="31377" ht="12" customHeight="1"/>
    <row r="31378" ht="12" customHeight="1"/>
    <row r="31379" ht="12" customHeight="1"/>
    <row r="31380" ht="12" customHeight="1"/>
    <row r="31381" ht="12" customHeight="1"/>
    <row r="31382" ht="12" customHeight="1"/>
    <row r="31383" ht="12" customHeight="1"/>
    <row r="31384" ht="12" customHeight="1"/>
    <row r="31385" ht="12" customHeight="1"/>
    <row r="31386" ht="12" customHeight="1"/>
    <row r="31387" ht="12" customHeight="1"/>
    <row r="31388" ht="12" customHeight="1"/>
    <row r="31389" ht="12" customHeight="1"/>
    <row r="31390" ht="12" customHeight="1"/>
    <row r="31391" ht="12" customHeight="1"/>
    <row r="31392" ht="12" customHeight="1"/>
    <row r="31393" ht="12" customHeight="1"/>
    <row r="31394" ht="12" customHeight="1"/>
    <row r="31395" ht="12" customHeight="1"/>
    <row r="31396" ht="12" customHeight="1"/>
    <row r="31397" ht="12" customHeight="1"/>
    <row r="31398" ht="12" customHeight="1"/>
    <row r="31399" ht="12" customHeight="1"/>
    <row r="31400" ht="12" customHeight="1"/>
    <row r="31401" ht="12" customHeight="1"/>
    <row r="31402" ht="12" customHeight="1"/>
    <row r="31403" ht="12" customHeight="1"/>
    <row r="31404" ht="12" customHeight="1"/>
    <row r="31405" ht="12" customHeight="1"/>
    <row r="31406" ht="12" customHeight="1"/>
    <row r="31407" ht="12" customHeight="1"/>
    <row r="31408" ht="12" customHeight="1"/>
    <row r="31409" ht="12" customHeight="1"/>
    <row r="31410" ht="12" customHeight="1"/>
    <row r="31411" ht="12" customHeight="1"/>
    <row r="31412" ht="12" customHeight="1"/>
    <row r="31413" ht="12" customHeight="1"/>
    <row r="31414" ht="12" customHeight="1"/>
    <row r="31415" ht="12" customHeight="1"/>
    <row r="31416" ht="12" customHeight="1"/>
    <row r="31417" ht="12" customHeight="1"/>
    <row r="31418" ht="12" customHeight="1"/>
    <row r="31419" ht="12" customHeight="1"/>
    <row r="31420" ht="12" customHeight="1"/>
    <row r="31421" ht="12" customHeight="1"/>
    <row r="31422" ht="12" customHeight="1"/>
    <row r="31423" ht="12" customHeight="1"/>
    <row r="31424" ht="12" customHeight="1"/>
    <row r="31425" ht="12" customHeight="1"/>
    <row r="31426" ht="12" customHeight="1"/>
    <row r="31427" ht="12" customHeight="1"/>
    <row r="31428" ht="12" customHeight="1"/>
    <row r="31429" ht="12" customHeight="1"/>
    <row r="31430" ht="12" customHeight="1"/>
    <row r="31431" ht="12" customHeight="1"/>
    <row r="31432" ht="12" customHeight="1"/>
    <row r="31433" ht="12" customHeight="1"/>
    <row r="31434" ht="12" customHeight="1"/>
    <row r="31435" ht="12" customHeight="1"/>
    <row r="31436" ht="12" customHeight="1"/>
    <row r="31437" ht="12" customHeight="1"/>
    <row r="31438" ht="12" customHeight="1"/>
    <row r="31439" ht="12" customHeight="1"/>
    <row r="31440" ht="12" customHeight="1"/>
    <row r="31441" ht="12" customHeight="1"/>
    <row r="31442" ht="12" customHeight="1"/>
    <row r="31443" ht="12" customHeight="1"/>
    <row r="31444" ht="12" customHeight="1"/>
    <row r="31445" ht="12" customHeight="1"/>
    <row r="31446" ht="12" customHeight="1"/>
    <row r="31447" ht="12" customHeight="1"/>
    <row r="31448" ht="12" customHeight="1"/>
    <row r="31449" ht="12" customHeight="1"/>
    <row r="31450" ht="12" customHeight="1"/>
    <row r="31451" ht="12" customHeight="1"/>
    <row r="31452" ht="12" customHeight="1"/>
    <row r="31453" ht="12" customHeight="1"/>
    <row r="31454" ht="12" customHeight="1"/>
    <row r="31455" ht="12" customHeight="1"/>
    <row r="31456" ht="12" customHeight="1"/>
    <row r="31457" ht="12" customHeight="1"/>
    <row r="31458" ht="12" customHeight="1"/>
    <row r="31459" ht="12" customHeight="1"/>
    <row r="31460" ht="12" customHeight="1"/>
    <row r="31461" ht="12" customHeight="1"/>
    <row r="31462" ht="12" customHeight="1"/>
    <row r="31463" ht="12" customHeight="1"/>
    <row r="31464" ht="12" customHeight="1"/>
    <row r="31465" ht="12" customHeight="1"/>
    <row r="31466" ht="12" customHeight="1"/>
    <row r="31467" ht="12" customHeight="1"/>
    <row r="31468" ht="12" customHeight="1"/>
    <row r="31469" ht="12" customHeight="1"/>
    <row r="31470" ht="12" customHeight="1"/>
    <row r="31471" ht="12" customHeight="1"/>
    <row r="31472" ht="12" customHeight="1"/>
    <row r="31473" ht="12" customHeight="1"/>
    <row r="31474" ht="12" customHeight="1"/>
    <row r="31475" ht="12" customHeight="1"/>
    <row r="31476" ht="12" customHeight="1"/>
    <row r="31477" ht="12" customHeight="1"/>
    <row r="31478" ht="12" customHeight="1"/>
    <row r="31479" ht="12" customHeight="1"/>
    <row r="31480" ht="12" customHeight="1"/>
    <row r="31481" ht="12" customHeight="1"/>
    <row r="31482" ht="12" customHeight="1"/>
    <row r="31483" ht="12" customHeight="1"/>
    <row r="31484" ht="12" customHeight="1"/>
    <row r="31485" ht="12" customHeight="1"/>
    <row r="31486" ht="12" customHeight="1"/>
    <row r="31487" ht="12" customHeight="1"/>
    <row r="31488" ht="12" customHeight="1"/>
    <row r="31489" ht="12" customHeight="1"/>
    <row r="31490" ht="12" customHeight="1"/>
    <row r="31491" ht="12" customHeight="1"/>
    <row r="31492" ht="12" customHeight="1"/>
    <row r="31493" ht="12" customHeight="1"/>
    <row r="31494" ht="12" customHeight="1"/>
    <row r="31495" ht="12" customHeight="1"/>
    <row r="31496" ht="12" customHeight="1"/>
    <row r="31497" ht="12" customHeight="1"/>
    <row r="31498" ht="12" customHeight="1"/>
    <row r="31499" ht="12" customHeight="1"/>
    <row r="31500" ht="12" customHeight="1"/>
    <row r="31501" ht="12" customHeight="1"/>
    <row r="31502" ht="12" customHeight="1"/>
    <row r="31503" ht="12" customHeight="1"/>
    <row r="31504" ht="12" customHeight="1"/>
    <row r="31505" ht="12" customHeight="1"/>
    <row r="31506" ht="12" customHeight="1"/>
    <row r="31507" ht="12" customHeight="1"/>
    <row r="31508" ht="12" customHeight="1"/>
    <row r="31509" ht="12" customHeight="1"/>
    <row r="31510" ht="12" customHeight="1"/>
    <row r="31511" ht="12" customHeight="1"/>
    <row r="31512" ht="12" customHeight="1"/>
    <row r="31513" ht="12" customHeight="1"/>
    <row r="31514" ht="12" customHeight="1"/>
    <row r="31515" ht="12" customHeight="1"/>
    <row r="31516" ht="12" customHeight="1"/>
    <row r="31517" ht="12" customHeight="1"/>
    <row r="31518" ht="12" customHeight="1"/>
    <row r="31519" ht="12" customHeight="1"/>
    <row r="31520" ht="12" customHeight="1"/>
    <row r="31521" ht="12" customHeight="1"/>
    <row r="31522" ht="12" customHeight="1"/>
    <row r="31523" ht="12" customHeight="1"/>
    <row r="31524" ht="12" customHeight="1"/>
    <row r="31525" ht="12" customHeight="1"/>
    <row r="31526" ht="12" customHeight="1"/>
    <row r="31527" ht="12" customHeight="1"/>
    <row r="31528" ht="12" customHeight="1"/>
    <row r="31529" ht="12" customHeight="1"/>
    <row r="31530" ht="12" customHeight="1"/>
    <row r="31531" ht="12" customHeight="1"/>
    <row r="31532" ht="12" customHeight="1"/>
    <row r="31533" ht="12" customHeight="1"/>
    <row r="31534" ht="12" customHeight="1"/>
    <row r="31535" ht="12" customHeight="1"/>
    <row r="31536" ht="12" customHeight="1"/>
    <row r="31537" ht="12" customHeight="1"/>
    <row r="31538" ht="12" customHeight="1"/>
    <row r="31539" ht="12" customHeight="1"/>
    <row r="31540" ht="12" customHeight="1"/>
    <row r="31541" ht="12" customHeight="1"/>
    <row r="31542" ht="12" customHeight="1"/>
    <row r="31543" ht="12" customHeight="1"/>
    <row r="31544" ht="12" customHeight="1"/>
    <row r="31545" ht="12" customHeight="1"/>
    <row r="31546" ht="12" customHeight="1"/>
    <row r="31547" ht="12" customHeight="1"/>
    <row r="31548" ht="12" customHeight="1"/>
    <row r="31549" ht="12" customHeight="1"/>
    <row r="31550" ht="12" customHeight="1"/>
    <row r="31551" ht="12" customHeight="1"/>
    <row r="31552" ht="12" customHeight="1"/>
    <row r="31553" ht="12" customHeight="1"/>
    <row r="31554" ht="12" customHeight="1"/>
    <row r="31555" ht="12" customHeight="1"/>
    <row r="31556" ht="12" customHeight="1"/>
    <row r="31557" ht="12" customHeight="1"/>
    <row r="31558" ht="12" customHeight="1"/>
    <row r="31559" ht="12" customHeight="1"/>
    <row r="31560" ht="12" customHeight="1"/>
    <row r="31561" ht="12" customHeight="1"/>
    <row r="31562" ht="12" customHeight="1"/>
    <row r="31563" ht="12" customHeight="1"/>
    <row r="31564" ht="12" customHeight="1"/>
    <row r="31565" ht="12" customHeight="1"/>
    <row r="31566" ht="12" customHeight="1"/>
    <row r="31567" ht="12" customHeight="1"/>
    <row r="31568" ht="12" customHeight="1"/>
    <row r="31569" ht="12" customHeight="1"/>
    <row r="31570" ht="12" customHeight="1"/>
    <row r="31571" ht="12" customHeight="1"/>
    <row r="31572" ht="12" customHeight="1"/>
    <row r="31573" ht="12" customHeight="1"/>
    <row r="31574" ht="12" customHeight="1"/>
    <row r="31575" ht="12" customHeight="1"/>
    <row r="31576" ht="12" customHeight="1"/>
    <row r="31577" ht="12" customHeight="1"/>
    <row r="31578" ht="12" customHeight="1"/>
    <row r="31579" ht="12" customHeight="1"/>
    <row r="31580" ht="12" customHeight="1"/>
    <row r="31581" ht="12" customHeight="1"/>
    <row r="31582" ht="12" customHeight="1"/>
    <row r="31583" ht="12" customHeight="1"/>
    <row r="31584" ht="12" customHeight="1"/>
    <row r="31585" ht="12" customHeight="1"/>
    <row r="31586" ht="12" customHeight="1"/>
    <row r="31587" ht="12" customHeight="1"/>
    <row r="31588" ht="12" customHeight="1"/>
    <row r="31589" ht="12" customHeight="1"/>
    <row r="31590" ht="12" customHeight="1"/>
    <row r="31591" ht="12" customHeight="1"/>
    <row r="31592" ht="12" customHeight="1"/>
    <row r="31593" ht="12" customHeight="1"/>
    <row r="31594" ht="12" customHeight="1"/>
    <row r="31595" ht="12" customHeight="1"/>
    <row r="31596" ht="12" customHeight="1"/>
    <row r="31597" ht="12" customHeight="1"/>
    <row r="31598" ht="12" customHeight="1"/>
    <row r="31599" ht="12" customHeight="1"/>
    <row r="31600" ht="12" customHeight="1"/>
    <row r="31601" ht="12" customHeight="1"/>
    <row r="31602" ht="12" customHeight="1"/>
    <row r="31603" ht="12" customHeight="1"/>
    <row r="31604" ht="12" customHeight="1"/>
    <row r="31605" ht="12" customHeight="1"/>
    <row r="31606" ht="12" customHeight="1"/>
    <row r="31607" ht="12" customHeight="1"/>
    <row r="31608" ht="12" customHeight="1"/>
    <row r="31609" ht="12" customHeight="1"/>
    <row r="31610" ht="12" customHeight="1"/>
    <row r="31611" ht="12" customHeight="1"/>
    <row r="31612" ht="12" customHeight="1"/>
    <row r="31613" ht="12" customHeight="1"/>
    <row r="31614" ht="12" customHeight="1"/>
    <row r="31615" ht="12" customHeight="1"/>
    <row r="31616" ht="12" customHeight="1"/>
    <row r="31617" ht="12" customHeight="1"/>
    <row r="31618" ht="12" customHeight="1"/>
    <row r="31619" ht="12" customHeight="1"/>
    <row r="31620" ht="12" customHeight="1"/>
    <row r="31621" ht="12" customHeight="1"/>
    <row r="31622" ht="12" customHeight="1"/>
    <row r="31623" ht="12" customHeight="1"/>
    <row r="31624" ht="12" customHeight="1"/>
    <row r="31625" ht="12" customHeight="1"/>
    <row r="31626" ht="12" customHeight="1"/>
    <row r="31627" ht="12" customHeight="1"/>
    <row r="31628" ht="12" customHeight="1"/>
    <row r="31629" ht="12" customHeight="1"/>
    <row r="31630" ht="12" customHeight="1"/>
    <row r="31631" ht="12" customHeight="1"/>
    <row r="31632" ht="12" customHeight="1"/>
    <row r="31633" ht="12" customHeight="1"/>
    <row r="31634" ht="12" customHeight="1"/>
    <row r="31635" ht="12" customHeight="1"/>
    <row r="31636" ht="12" customHeight="1"/>
    <row r="31637" ht="12" customHeight="1"/>
    <row r="31638" ht="12" customHeight="1"/>
    <row r="31639" ht="12" customHeight="1"/>
    <row r="31640" ht="12" customHeight="1"/>
    <row r="31641" ht="12" customHeight="1"/>
    <row r="31642" ht="12" customHeight="1"/>
    <row r="31643" ht="12" customHeight="1"/>
    <row r="31644" ht="12" customHeight="1"/>
    <row r="31645" ht="12" customHeight="1"/>
    <row r="31646" ht="12" customHeight="1"/>
    <row r="31647" ht="12" customHeight="1"/>
    <row r="31648" ht="12" customHeight="1"/>
    <row r="31649" ht="12" customHeight="1"/>
    <row r="31650" ht="12" customHeight="1"/>
    <row r="31651" ht="12" customHeight="1"/>
    <row r="31652" ht="12" customHeight="1"/>
    <row r="31653" ht="12" customHeight="1"/>
    <row r="31654" ht="12" customHeight="1"/>
    <row r="31655" ht="12" customHeight="1"/>
    <row r="31656" ht="12" customHeight="1"/>
    <row r="31657" ht="12" customHeight="1"/>
    <row r="31658" ht="12" customHeight="1"/>
    <row r="31659" ht="12" customHeight="1"/>
    <row r="31660" ht="12" customHeight="1"/>
    <row r="31661" ht="12" customHeight="1"/>
    <row r="31662" ht="12" customHeight="1"/>
    <row r="31663" ht="12" customHeight="1"/>
    <row r="31664" ht="12" customHeight="1"/>
    <row r="31665" ht="12" customHeight="1"/>
    <row r="31666" ht="12" customHeight="1"/>
    <row r="31667" ht="12" customHeight="1"/>
    <row r="31668" ht="12" customHeight="1"/>
    <row r="31669" ht="12" customHeight="1"/>
    <row r="31670" ht="12" customHeight="1"/>
    <row r="31671" ht="12" customHeight="1"/>
    <row r="31672" ht="12" customHeight="1"/>
    <row r="31673" ht="12" customHeight="1"/>
    <row r="31674" ht="12" customHeight="1"/>
    <row r="31675" ht="12" customHeight="1"/>
    <row r="31676" ht="12" customHeight="1"/>
    <row r="31677" ht="12" customHeight="1"/>
    <row r="31678" ht="12" customHeight="1"/>
    <row r="31679" ht="12" customHeight="1"/>
    <row r="31680" ht="12" customHeight="1"/>
    <row r="31681" ht="12" customHeight="1"/>
    <row r="31682" ht="12" customHeight="1"/>
    <row r="31683" ht="12" customHeight="1"/>
    <row r="31684" ht="12" customHeight="1"/>
    <row r="31685" ht="12" customHeight="1"/>
    <row r="31686" ht="12" customHeight="1"/>
    <row r="31687" ht="12" customHeight="1"/>
    <row r="31688" ht="12" customHeight="1"/>
    <row r="31689" ht="12" customHeight="1"/>
    <row r="31690" ht="12" customHeight="1"/>
    <row r="31691" ht="12" customHeight="1"/>
    <row r="31692" ht="12" customHeight="1"/>
    <row r="31693" ht="12" customHeight="1"/>
    <row r="31694" ht="12" customHeight="1"/>
    <row r="31695" ht="12" customHeight="1"/>
    <row r="31696" ht="12" customHeight="1"/>
    <row r="31697" ht="12" customHeight="1"/>
    <row r="31698" ht="12" customHeight="1"/>
    <row r="31699" ht="12" customHeight="1"/>
    <row r="31700" ht="12" customHeight="1"/>
    <row r="31701" ht="12" customHeight="1"/>
    <row r="31702" ht="12" customHeight="1"/>
    <row r="31703" ht="12" customHeight="1"/>
    <row r="31704" ht="12" customHeight="1"/>
    <row r="31705" ht="12" customHeight="1"/>
    <row r="31706" ht="12" customHeight="1"/>
    <row r="31707" ht="12" customHeight="1"/>
    <row r="31708" ht="12" customHeight="1"/>
    <row r="31709" ht="12" customHeight="1"/>
    <row r="31710" ht="12" customHeight="1"/>
    <row r="31711" ht="12" customHeight="1"/>
    <row r="31712" ht="12" customHeight="1"/>
    <row r="31713" ht="12" customHeight="1"/>
    <row r="31714" ht="12" customHeight="1"/>
    <row r="31715" ht="12" customHeight="1"/>
    <row r="31716" ht="12" customHeight="1"/>
    <row r="31717" ht="12" customHeight="1"/>
    <row r="31718" ht="12" customHeight="1"/>
    <row r="31719" ht="12" customHeight="1"/>
    <row r="31720" ht="12" customHeight="1"/>
    <row r="31721" ht="12" customHeight="1"/>
    <row r="31722" ht="12" customHeight="1"/>
    <row r="31723" ht="12" customHeight="1"/>
    <row r="31724" ht="12" customHeight="1"/>
    <row r="31725" ht="12" customHeight="1"/>
    <row r="31726" ht="12" customHeight="1"/>
    <row r="31727" ht="12" customHeight="1"/>
    <row r="31728" ht="12" customHeight="1"/>
    <row r="31729" ht="12" customHeight="1"/>
    <row r="31730" ht="12" customHeight="1"/>
    <row r="31731" ht="12" customHeight="1"/>
    <row r="31732" ht="12" customHeight="1"/>
    <row r="31733" ht="12" customHeight="1"/>
    <row r="31734" ht="12" customHeight="1"/>
    <row r="31735" ht="12" customHeight="1"/>
    <row r="31736" ht="12" customHeight="1"/>
    <row r="31737" ht="12" customHeight="1"/>
    <row r="31738" ht="12" customHeight="1"/>
    <row r="31739" ht="12" customHeight="1"/>
    <row r="31740" ht="12" customHeight="1"/>
    <row r="31741" ht="12" customHeight="1"/>
    <row r="31742" ht="12" customHeight="1"/>
    <row r="31743" ht="12" customHeight="1"/>
    <row r="31744" ht="12" customHeight="1"/>
    <row r="31745" ht="12" customHeight="1"/>
    <row r="31746" ht="12" customHeight="1"/>
    <row r="31747" ht="12" customHeight="1"/>
    <row r="31748" ht="12" customHeight="1"/>
    <row r="31749" ht="12" customHeight="1"/>
    <row r="31750" ht="12" customHeight="1"/>
    <row r="31751" ht="12" customHeight="1"/>
    <row r="31752" ht="12" customHeight="1"/>
    <row r="31753" ht="12" customHeight="1"/>
    <row r="31754" ht="12" customHeight="1"/>
    <row r="31755" ht="12" customHeight="1"/>
    <row r="31756" ht="12" customHeight="1"/>
    <row r="31757" ht="12" customHeight="1"/>
    <row r="31758" ht="12" customHeight="1"/>
    <row r="31759" ht="12" customHeight="1"/>
    <row r="31760" ht="12" customHeight="1"/>
    <row r="31761" ht="12" customHeight="1"/>
    <row r="31762" ht="12" customHeight="1"/>
    <row r="31763" ht="12" customHeight="1"/>
    <row r="31764" ht="12" customHeight="1"/>
    <row r="31765" ht="12" customHeight="1"/>
    <row r="31766" ht="12" customHeight="1"/>
    <row r="31767" ht="12" customHeight="1"/>
    <row r="31768" ht="12" customHeight="1"/>
    <row r="31769" ht="12" customHeight="1"/>
    <row r="31770" ht="12" customHeight="1"/>
    <row r="31771" ht="12" customHeight="1"/>
    <row r="31772" ht="12" customHeight="1"/>
    <row r="31773" ht="12" customHeight="1"/>
    <row r="31774" ht="12" customHeight="1"/>
    <row r="31775" ht="12" customHeight="1"/>
    <row r="31776" ht="12" customHeight="1"/>
    <row r="31777" ht="12" customHeight="1"/>
    <row r="31778" ht="12" customHeight="1"/>
    <row r="31779" ht="12" customHeight="1"/>
    <row r="31780" ht="12" customHeight="1"/>
    <row r="31781" ht="12" customHeight="1"/>
    <row r="31782" ht="12" customHeight="1"/>
    <row r="31783" ht="12" customHeight="1"/>
    <row r="31784" ht="12" customHeight="1"/>
    <row r="31785" ht="12" customHeight="1"/>
    <row r="31786" ht="12" customHeight="1"/>
    <row r="31787" ht="12" customHeight="1"/>
    <row r="31788" ht="12" customHeight="1"/>
    <row r="31789" ht="12" customHeight="1"/>
    <row r="31790" ht="12" customHeight="1"/>
    <row r="31791" ht="12" customHeight="1"/>
    <row r="31792" ht="12" customHeight="1"/>
    <row r="31793" ht="12" customHeight="1"/>
    <row r="31794" ht="12" customHeight="1"/>
    <row r="31795" ht="12" customHeight="1"/>
    <row r="31796" ht="12" customHeight="1"/>
    <row r="31797" ht="12" customHeight="1"/>
    <row r="31798" ht="12" customHeight="1"/>
    <row r="31799" ht="12" customHeight="1"/>
    <row r="31800" ht="12" customHeight="1"/>
    <row r="31801" ht="12" customHeight="1"/>
    <row r="31802" ht="12" customHeight="1"/>
    <row r="31803" ht="12" customHeight="1"/>
    <row r="31804" ht="12" customHeight="1"/>
    <row r="31805" ht="12" customHeight="1"/>
    <row r="31806" ht="12" customHeight="1"/>
    <row r="31807" ht="12" customHeight="1"/>
    <row r="31808" ht="12" customHeight="1"/>
    <row r="31809" ht="12" customHeight="1"/>
    <row r="31810" ht="12" customHeight="1"/>
    <row r="31811" ht="12" customHeight="1"/>
    <row r="31812" ht="12" customHeight="1"/>
    <row r="31813" ht="12" customHeight="1"/>
    <row r="31814" ht="12" customHeight="1"/>
    <row r="31815" ht="12" customHeight="1"/>
    <row r="31816" ht="12" customHeight="1"/>
    <row r="31817" ht="12" customHeight="1"/>
    <row r="31818" ht="12" customHeight="1"/>
    <row r="31819" ht="12" customHeight="1"/>
    <row r="31820" ht="12" customHeight="1"/>
    <row r="31821" ht="12" customHeight="1"/>
    <row r="31822" ht="12" customHeight="1"/>
    <row r="31823" ht="12" customHeight="1"/>
    <row r="31824" ht="12" customHeight="1"/>
    <row r="31825" ht="12" customHeight="1"/>
    <row r="31826" ht="12" customHeight="1"/>
    <row r="31827" ht="12" customHeight="1"/>
    <row r="31828" ht="12" customHeight="1"/>
    <row r="31829" ht="12" customHeight="1"/>
    <row r="31830" ht="12" customHeight="1"/>
    <row r="31831" ht="12" customHeight="1"/>
    <row r="31832" ht="12" customHeight="1"/>
    <row r="31833" ht="12" customHeight="1"/>
    <row r="31834" ht="12" customHeight="1"/>
    <row r="31835" ht="12" customHeight="1"/>
    <row r="31836" ht="12" customHeight="1"/>
    <row r="31837" ht="12" customHeight="1"/>
    <row r="31838" ht="12" customHeight="1"/>
    <row r="31839" ht="12" customHeight="1"/>
    <row r="31840" ht="12" customHeight="1"/>
    <row r="31841" ht="12" customHeight="1"/>
    <row r="31842" ht="12" customHeight="1"/>
    <row r="31843" ht="12" customHeight="1"/>
    <row r="31844" ht="12" customHeight="1"/>
    <row r="31845" ht="12" customHeight="1"/>
    <row r="31846" ht="12" customHeight="1"/>
    <row r="31847" ht="12" customHeight="1"/>
    <row r="31848" ht="12" customHeight="1"/>
    <row r="31849" ht="12" customHeight="1"/>
    <row r="31850" ht="12" customHeight="1"/>
    <row r="31851" ht="12" customHeight="1"/>
    <row r="31852" ht="12" customHeight="1"/>
    <row r="31853" ht="12" customHeight="1"/>
    <row r="31854" ht="12" customHeight="1"/>
    <row r="31855" ht="12" customHeight="1"/>
    <row r="31856" ht="12" customHeight="1"/>
    <row r="31857" ht="12" customHeight="1"/>
    <row r="31858" ht="12" customHeight="1"/>
    <row r="31859" ht="12" customHeight="1"/>
    <row r="31860" ht="12" customHeight="1"/>
    <row r="31861" ht="12" customHeight="1"/>
    <row r="31862" ht="12" customHeight="1"/>
    <row r="31863" ht="12" customHeight="1"/>
    <row r="31864" ht="12" customHeight="1"/>
    <row r="31865" ht="12" customHeight="1"/>
    <row r="31866" ht="12" customHeight="1"/>
    <row r="31867" ht="12" customHeight="1"/>
    <row r="31868" ht="12" customHeight="1"/>
    <row r="31869" ht="12" customHeight="1"/>
    <row r="31870" ht="12" customHeight="1"/>
    <row r="31871" ht="12" customHeight="1"/>
    <row r="31872" ht="12" customHeight="1"/>
    <row r="31873" ht="12" customHeight="1"/>
    <row r="31874" ht="12" customHeight="1"/>
    <row r="31875" ht="12" customHeight="1"/>
    <row r="31876" ht="12" customHeight="1"/>
    <row r="31877" ht="12" customHeight="1"/>
    <row r="31878" ht="12" customHeight="1"/>
    <row r="31879" ht="12" customHeight="1"/>
    <row r="31880" ht="12" customHeight="1"/>
    <row r="31881" ht="12" customHeight="1"/>
    <row r="31882" ht="12" customHeight="1"/>
    <row r="31883" ht="12" customHeight="1"/>
    <row r="31884" ht="12" customHeight="1"/>
    <row r="31885" ht="12" customHeight="1"/>
    <row r="31886" ht="12" customHeight="1"/>
    <row r="31887" ht="12" customHeight="1"/>
    <row r="31888" ht="12" customHeight="1"/>
    <row r="31889" ht="12" customHeight="1"/>
    <row r="31890" ht="12" customHeight="1"/>
    <row r="31891" ht="12" customHeight="1"/>
    <row r="31892" ht="12" customHeight="1"/>
    <row r="31893" ht="12" customHeight="1"/>
    <row r="31894" ht="12" customHeight="1"/>
    <row r="31895" ht="12" customHeight="1"/>
    <row r="31896" ht="12" customHeight="1"/>
    <row r="31897" ht="12" customHeight="1"/>
    <row r="31898" ht="12" customHeight="1"/>
    <row r="31899" ht="12" customHeight="1"/>
    <row r="31900" ht="12" customHeight="1"/>
    <row r="31901" ht="12" customHeight="1"/>
    <row r="31902" ht="12" customHeight="1"/>
    <row r="31903" ht="12" customHeight="1"/>
    <row r="31904" ht="12" customHeight="1"/>
    <row r="31905" ht="12" customHeight="1"/>
    <row r="31906" ht="12" customHeight="1"/>
    <row r="31907" ht="12" customHeight="1"/>
    <row r="31908" ht="12" customHeight="1"/>
    <row r="31909" ht="12" customHeight="1"/>
    <row r="31910" ht="12" customHeight="1"/>
    <row r="31911" ht="12" customHeight="1"/>
    <row r="31912" ht="12" customHeight="1"/>
    <row r="31913" ht="12" customHeight="1"/>
    <row r="31914" ht="12" customHeight="1"/>
    <row r="31915" ht="12" customHeight="1"/>
    <row r="31916" ht="12" customHeight="1"/>
    <row r="31917" ht="12" customHeight="1"/>
    <row r="31918" ht="12" customHeight="1"/>
    <row r="31919" ht="12" customHeight="1"/>
    <row r="31920" ht="12" customHeight="1"/>
    <row r="31921" ht="12" customHeight="1"/>
    <row r="31922" ht="12" customHeight="1"/>
    <row r="31923" ht="12" customHeight="1"/>
    <row r="31924" ht="12" customHeight="1"/>
    <row r="31925" ht="12" customHeight="1"/>
    <row r="31926" ht="12" customHeight="1"/>
    <row r="31927" ht="12" customHeight="1"/>
    <row r="31928" ht="12" customHeight="1"/>
    <row r="31929" ht="12" customHeight="1"/>
    <row r="31930" ht="12" customHeight="1"/>
    <row r="31931" ht="12" customHeight="1"/>
    <row r="31932" ht="12" customHeight="1"/>
    <row r="31933" ht="12" customHeight="1"/>
    <row r="31934" ht="12" customHeight="1"/>
    <row r="31935" ht="12" customHeight="1"/>
    <row r="31936" ht="12" customHeight="1"/>
    <row r="31937" ht="12" customHeight="1"/>
    <row r="31938" ht="12" customHeight="1"/>
    <row r="31939" ht="12" customHeight="1"/>
    <row r="31940" ht="12" customHeight="1"/>
    <row r="31941" ht="12" customHeight="1"/>
    <row r="31942" ht="12" customHeight="1"/>
    <row r="31943" ht="12" customHeight="1"/>
    <row r="31944" ht="12" customHeight="1"/>
    <row r="31945" ht="12" customHeight="1"/>
    <row r="31946" ht="12" customHeight="1"/>
    <row r="31947" ht="12" customHeight="1"/>
    <row r="31948" ht="12" customHeight="1"/>
    <row r="31949" ht="12" customHeight="1"/>
    <row r="31950" ht="12" customHeight="1"/>
    <row r="31951" ht="12" customHeight="1"/>
    <row r="31952" ht="12" customHeight="1"/>
    <row r="31953" ht="12" customHeight="1"/>
    <row r="31954" ht="12" customHeight="1"/>
    <row r="31955" ht="12" customHeight="1"/>
    <row r="31956" ht="12" customHeight="1"/>
    <row r="31957" ht="12" customHeight="1"/>
    <row r="31958" ht="12" customHeight="1"/>
    <row r="31959" ht="12" customHeight="1"/>
    <row r="31960" ht="12" customHeight="1"/>
    <row r="31961" ht="12" customHeight="1"/>
    <row r="31962" ht="12" customHeight="1"/>
    <row r="31963" ht="12" customHeight="1"/>
    <row r="31964" ht="12" customHeight="1"/>
    <row r="31965" ht="12" customHeight="1"/>
    <row r="31966" ht="12" customHeight="1"/>
    <row r="31967" ht="12" customHeight="1"/>
    <row r="31968" ht="12" customHeight="1"/>
    <row r="31969" ht="12" customHeight="1"/>
    <row r="31970" ht="12" customHeight="1"/>
    <row r="31971" ht="12" customHeight="1"/>
    <row r="31972" ht="12" customHeight="1"/>
    <row r="31973" ht="12" customHeight="1"/>
    <row r="31974" ht="12" customHeight="1"/>
    <row r="31975" ht="12" customHeight="1"/>
    <row r="31976" ht="12" customHeight="1"/>
    <row r="31977" ht="12" customHeight="1"/>
    <row r="31978" ht="12" customHeight="1"/>
    <row r="31979" ht="12" customHeight="1"/>
    <row r="31980" ht="12" customHeight="1"/>
    <row r="31981" ht="12" customHeight="1"/>
    <row r="31982" ht="12" customHeight="1"/>
    <row r="31983" ht="12" customHeight="1"/>
    <row r="31984" ht="12" customHeight="1"/>
    <row r="31985" ht="12" customHeight="1"/>
    <row r="31986" ht="12" customHeight="1"/>
    <row r="31987" ht="12" customHeight="1"/>
    <row r="31988" ht="12" customHeight="1"/>
    <row r="31989" ht="12" customHeight="1"/>
    <row r="31990" ht="12" customHeight="1"/>
    <row r="31991" ht="12" customHeight="1"/>
    <row r="31992" ht="12" customHeight="1"/>
    <row r="31993" ht="12" customHeight="1"/>
    <row r="31994" ht="12" customHeight="1"/>
    <row r="31995" ht="12" customHeight="1"/>
    <row r="31996" ht="12" customHeight="1"/>
    <row r="31997" ht="12" customHeight="1"/>
    <row r="31998" ht="12" customHeight="1"/>
    <row r="31999" ht="12" customHeight="1"/>
    <row r="32000" ht="12" customHeight="1"/>
    <row r="32001" ht="12" customHeight="1"/>
    <row r="32002" ht="12" customHeight="1"/>
    <row r="32003" ht="12" customHeight="1"/>
    <row r="32004" ht="12" customHeight="1"/>
    <row r="32005" ht="12" customHeight="1"/>
    <row r="32006" ht="12" customHeight="1"/>
    <row r="32007" ht="12" customHeight="1"/>
    <row r="32008" ht="12" customHeight="1"/>
    <row r="32009" ht="12" customHeight="1"/>
    <row r="32010" ht="12" customHeight="1"/>
    <row r="32011" ht="12" customHeight="1"/>
    <row r="32012" ht="12" customHeight="1"/>
    <row r="32013" ht="12" customHeight="1"/>
    <row r="32014" ht="12" customHeight="1"/>
    <row r="32015" ht="12" customHeight="1"/>
    <row r="32016" ht="12" customHeight="1"/>
    <row r="32017" ht="12" customHeight="1"/>
    <row r="32018" ht="12" customHeight="1"/>
    <row r="32019" ht="12" customHeight="1"/>
    <row r="32020" ht="12" customHeight="1"/>
    <row r="32021" ht="12" customHeight="1"/>
    <row r="32022" ht="12" customHeight="1"/>
    <row r="32023" ht="12" customHeight="1"/>
    <row r="32024" ht="12" customHeight="1"/>
    <row r="32025" ht="12" customHeight="1"/>
    <row r="32026" ht="12" customHeight="1"/>
    <row r="32027" ht="12" customHeight="1"/>
    <row r="32028" ht="12" customHeight="1"/>
    <row r="32029" ht="12" customHeight="1"/>
    <row r="32030" ht="12" customHeight="1"/>
    <row r="32031" ht="12" customHeight="1"/>
    <row r="32032" ht="12" customHeight="1"/>
    <row r="32033" ht="12" customHeight="1"/>
    <row r="32034" ht="12" customHeight="1"/>
    <row r="32035" ht="12" customHeight="1"/>
    <row r="32036" ht="12" customHeight="1"/>
    <row r="32037" ht="12" customHeight="1"/>
    <row r="32038" ht="12" customHeight="1"/>
    <row r="32039" ht="12" customHeight="1"/>
    <row r="32040" ht="12" customHeight="1"/>
    <row r="32041" ht="12" customHeight="1"/>
    <row r="32042" ht="12" customHeight="1"/>
    <row r="32043" ht="12" customHeight="1"/>
    <row r="32044" ht="12" customHeight="1"/>
    <row r="32045" ht="12" customHeight="1"/>
    <row r="32046" ht="12" customHeight="1"/>
    <row r="32047" ht="12" customHeight="1"/>
    <row r="32048" ht="12" customHeight="1"/>
    <row r="32049" ht="12" customHeight="1"/>
    <row r="32050" ht="12" customHeight="1"/>
    <row r="32051" ht="12" customHeight="1"/>
    <row r="32052" ht="12" customHeight="1"/>
    <row r="32053" ht="12" customHeight="1"/>
    <row r="32054" ht="12" customHeight="1"/>
    <row r="32055" ht="12" customHeight="1"/>
    <row r="32056" ht="12" customHeight="1"/>
    <row r="32057" ht="12" customHeight="1"/>
    <row r="32058" ht="12" customHeight="1"/>
    <row r="32059" ht="12" customHeight="1"/>
    <row r="32060" ht="12" customHeight="1"/>
    <row r="32061" ht="12" customHeight="1"/>
    <row r="32062" ht="12" customHeight="1"/>
    <row r="32063" ht="12" customHeight="1"/>
    <row r="32064" ht="12" customHeight="1"/>
    <row r="32065" ht="12" customHeight="1"/>
    <row r="32066" ht="12" customHeight="1"/>
    <row r="32067" ht="12" customHeight="1"/>
    <row r="32068" ht="12" customHeight="1"/>
    <row r="32069" ht="12" customHeight="1"/>
    <row r="32070" ht="12" customHeight="1"/>
    <row r="32071" ht="12" customHeight="1"/>
    <row r="32072" ht="12" customHeight="1"/>
    <row r="32073" ht="12" customHeight="1"/>
    <row r="32074" ht="12" customHeight="1"/>
    <row r="32075" ht="12" customHeight="1"/>
    <row r="32076" ht="12" customHeight="1"/>
    <row r="32077" ht="12" customHeight="1"/>
    <row r="32078" ht="12" customHeight="1"/>
    <row r="32079" ht="12" customHeight="1"/>
    <row r="32080" ht="12" customHeight="1"/>
    <row r="32081" ht="12" customHeight="1"/>
    <row r="32082" ht="12" customHeight="1"/>
    <row r="32083" ht="12" customHeight="1"/>
    <row r="32084" ht="12" customHeight="1"/>
    <row r="32085" ht="12" customHeight="1"/>
    <row r="32086" ht="12" customHeight="1"/>
    <row r="32087" ht="12" customHeight="1"/>
    <row r="32088" ht="12" customHeight="1"/>
    <row r="32089" ht="12" customHeight="1"/>
    <row r="32090" ht="12" customHeight="1"/>
    <row r="32091" ht="12" customHeight="1"/>
    <row r="32092" ht="12" customHeight="1"/>
    <row r="32093" ht="12" customHeight="1"/>
    <row r="32094" ht="12" customHeight="1"/>
    <row r="32095" ht="12" customHeight="1"/>
    <row r="32096" ht="12" customHeight="1"/>
    <row r="32097" ht="12" customHeight="1"/>
    <row r="32098" ht="12" customHeight="1"/>
    <row r="32099" ht="12" customHeight="1"/>
    <row r="32100" ht="12" customHeight="1"/>
    <row r="32101" ht="12" customHeight="1"/>
    <row r="32102" ht="12" customHeight="1"/>
    <row r="32103" ht="12" customHeight="1"/>
    <row r="32104" ht="12" customHeight="1"/>
    <row r="32105" ht="12" customHeight="1"/>
    <row r="32106" ht="12" customHeight="1"/>
    <row r="32107" ht="12" customHeight="1"/>
    <row r="32108" ht="12" customHeight="1"/>
    <row r="32109" ht="12" customHeight="1"/>
    <row r="32110" ht="12" customHeight="1"/>
    <row r="32111" ht="12" customHeight="1"/>
    <row r="32112" ht="12" customHeight="1"/>
    <row r="32113" ht="12" customHeight="1"/>
    <row r="32114" ht="12" customHeight="1"/>
    <row r="32115" ht="12" customHeight="1"/>
    <row r="32116" ht="12" customHeight="1"/>
    <row r="32117" ht="12" customHeight="1"/>
    <row r="32118" ht="12" customHeight="1"/>
    <row r="32119" ht="12" customHeight="1"/>
    <row r="32120" ht="12" customHeight="1"/>
    <row r="32121" ht="12" customHeight="1"/>
    <row r="32122" ht="12" customHeight="1"/>
    <row r="32123" ht="12" customHeight="1"/>
    <row r="32124" ht="12" customHeight="1"/>
    <row r="32125" ht="12" customHeight="1"/>
    <row r="32126" ht="12" customHeight="1"/>
    <row r="32127" ht="12" customHeight="1"/>
    <row r="32128" ht="12" customHeight="1"/>
    <row r="32129" ht="12" customHeight="1"/>
    <row r="32130" ht="12" customHeight="1"/>
    <row r="32131" ht="12" customHeight="1"/>
    <row r="32132" ht="12" customHeight="1"/>
    <row r="32133" ht="12" customHeight="1"/>
    <row r="32134" ht="12" customHeight="1"/>
    <row r="32135" ht="12" customHeight="1"/>
    <row r="32136" ht="12" customHeight="1"/>
    <row r="32137" ht="12" customHeight="1"/>
    <row r="32138" ht="12" customHeight="1"/>
    <row r="32139" ht="12" customHeight="1"/>
    <row r="32140" ht="12" customHeight="1"/>
    <row r="32141" ht="12" customHeight="1"/>
    <row r="32142" ht="12" customHeight="1"/>
    <row r="32143" ht="12" customHeight="1"/>
    <row r="32144" ht="12" customHeight="1"/>
    <row r="32145" ht="12" customHeight="1"/>
    <row r="32146" ht="12" customHeight="1"/>
    <row r="32147" ht="12" customHeight="1"/>
    <row r="32148" ht="12" customHeight="1"/>
    <row r="32149" ht="12" customHeight="1"/>
    <row r="32150" ht="12" customHeight="1"/>
    <row r="32151" ht="12" customHeight="1"/>
    <row r="32152" ht="12" customHeight="1"/>
    <row r="32153" ht="12" customHeight="1"/>
    <row r="32154" ht="12" customHeight="1"/>
    <row r="32155" ht="12" customHeight="1"/>
    <row r="32156" ht="12" customHeight="1"/>
    <row r="32157" ht="12" customHeight="1"/>
    <row r="32158" ht="12" customHeight="1"/>
    <row r="32159" ht="12" customHeight="1"/>
    <row r="32160" ht="12" customHeight="1"/>
    <row r="32161" ht="12" customHeight="1"/>
    <row r="32162" ht="12" customHeight="1"/>
    <row r="32163" ht="12" customHeight="1"/>
    <row r="32164" ht="12" customHeight="1"/>
    <row r="32165" ht="12" customHeight="1"/>
    <row r="32166" ht="12" customHeight="1"/>
    <row r="32167" ht="12" customHeight="1"/>
    <row r="32168" ht="12" customHeight="1"/>
    <row r="32169" ht="12" customHeight="1"/>
    <row r="32170" ht="12" customHeight="1"/>
    <row r="32171" ht="12" customHeight="1"/>
    <row r="32172" ht="12" customHeight="1"/>
    <row r="32173" ht="12" customHeight="1"/>
    <row r="32174" ht="12" customHeight="1"/>
    <row r="32175" ht="12" customHeight="1"/>
    <row r="32176" ht="12" customHeight="1"/>
    <row r="32177" ht="12" customHeight="1"/>
    <row r="32178" ht="12" customHeight="1"/>
    <row r="32179" ht="12" customHeight="1"/>
    <row r="32180" ht="12" customHeight="1"/>
    <row r="32181" ht="12" customHeight="1"/>
    <row r="32182" ht="12" customHeight="1"/>
    <row r="32183" ht="12" customHeight="1"/>
    <row r="32184" ht="12" customHeight="1"/>
    <row r="32185" ht="12" customHeight="1"/>
    <row r="32186" ht="12" customHeight="1"/>
    <row r="32187" ht="12" customHeight="1"/>
    <row r="32188" ht="12" customHeight="1"/>
    <row r="32189" ht="12" customHeight="1"/>
    <row r="32190" ht="12" customHeight="1"/>
    <row r="32191" ht="12" customHeight="1"/>
    <row r="32192" ht="12" customHeight="1"/>
    <row r="32193" ht="12" customHeight="1"/>
    <row r="32194" ht="12" customHeight="1"/>
    <row r="32195" ht="12" customHeight="1"/>
    <row r="32196" ht="12" customHeight="1"/>
    <row r="32197" ht="12" customHeight="1"/>
    <row r="32198" ht="12" customHeight="1"/>
    <row r="32199" ht="12" customHeight="1"/>
    <row r="32200" ht="12" customHeight="1"/>
    <row r="32201" ht="12" customHeight="1"/>
    <row r="32202" ht="12" customHeight="1"/>
    <row r="32203" ht="12" customHeight="1"/>
    <row r="32204" ht="12" customHeight="1"/>
    <row r="32205" ht="12" customHeight="1"/>
    <row r="32206" ht="12" customHeight="1"/>
    <row r="32207" ht="12" customHeight="1"/>
    <row r="32208" ht="12" customHeight="1"/>
    <row r="32209" ht="12" customHeight="1"/>
    <row r="32210" ht="12" customHeight="1"/>
    <row r="32211" ht="12" customHeight="1"/>
    <row r="32212" ht="12" customHeight="1"/>
    <row r="32213" ht="12" customHeight="1"/>
    <row r="32214" ht="12" customHeight="1"/>
    <row r="32215" ht="12" customHeight="1"/>
    <row r="32216" ht="12" customHeight="1"/>
    <row r="32217" ht="12" customHeight="1"/>
    <row r="32218" ht="12" customHeight="1"/>
    <row r="32219" ht="12" customHeight="1"/>
    <row r="32220" ht="12" customHeight="1"/>
    <row r="32221" ht="12" customHeight="1"/>
    <row r="32222" ht="12" customHeight="1"/>
    <row r="32223" ht="12" customHeight="1"/>
    <row r="32224" ht="12" customHeight="1"/>
    <row r="32225" ht="12" customHeight="1"/>
    <row r="32226" ht="12" customHeight="1"/>
    <row r="32227" ht="12" customHeight="1"/>
    <row r="32228" ht="12" customHeight="1"/>
    <row r="32229" ht="12" customHeight="1"/>
    <row r="32230" ht="12" customHeight="1"/>
    <row r="32231" ht="12" customHeight="1"/>
    <row r="32232" ht="12" customHeight="1"/>
    <row r="32233" ht="12" customHeight="1"/>
    <row r="32234" ht="12" customHeight="1"/>
    <row r="32235" ht="12" customHeight="1"/>
    <row r="32236" ht="12" customHeight="1"/>
    <row r="32237" ht="12" customHeight="1"/>
    <row r="32238" ht="12" customHeight="1"/>
    <row r="32239" ht="12" customHeight="1"/>
    <row r="32240" ht="12" customHeight="1"/>
    <row r="32241" ht="12" customHeight="1"/>
    <row r="32242" ht="12" customHeight="1"/>
    <row r="32243" ht="12" customHeight="1"/>
    <row r="32244" ht="12" customHeight="1"/>
    <row r="32245" ht="12" customHeight="1"/>
    <row r="32246" ht="12" customHeight="1"/>
    <row r="32247" ht="12" customHeight="1"/>
    <row r="32248" ht="12" customHeight="1"/>
    <row r="32249" ht="12" customHeight="1"/>
    <row r="32250" ht="12" customHeight="1"/>
    <row r="32251" ht="12" customHeight="1"/>
    <row r="32252" ht="12" customHeight="1"/>
    <row r="32253" ht="12" customHeight="1"/>
    <row r="32254" ht="12" customHeight="1"/>
    <row r="32255" ht="12" customHeight="1"/>
    <row r="32256" ht="12" customHeight="1"/>
    <row r="32257" ht="12" customHeight="1"/>
    <row r="32258" ht="12" customHeight="1"/>
    <row r="32259" ht="12" customHeight="1"/>
    <row r="32260" ht="12" customHeight="1"/>
    <row r="32261" ht="12" customHeight="1"/>
    <row r="32262" ht="12" customHeight="1"/>
    <row r="32263" ht="12" customHeight="1"/>
    <row r="32264" ht="12" customHeight="1"/>
    <row r="32265" ht="12" customHeight="1"/>
    <row r="32266" ht="12" customHeight="1"/>
    <row r="32267" ht="12" customHeight="1"/>
    <row r="32268" ht="12" customHeight="1"/>
    <row r="32269" ht="12" customHeight="1"/>
    <row r="32270" ht="12" customHeight="1"/>
    <row r="32271" ht="12" customHeight="1"/>
    <row r="32272" ht="12" customHeight="1"/>
    <row r="32273" ht="12" customHeight="1"/>
    <row r="32274" ht="12" customHeight="1"/>
    <row r="32275" ht="12" customHeight="1"/>
    <row r="32276" ht="12" customHeight="1"/>
    <row r="32277" ht="12" customHeight="1"/>
    <row r="32278" ht="12" customHeight="1"/>
    <row r="32279" ht="12" customHeight="1"/>
    <row r="32280" ht="12" customHeight="1"/>
    <row r="32281" ht="12" customHeight="1"/>
    <row r="32282" ht="12" customHeight="1"/>
    <row r="32283" ht="12" customHeight="1"/>
    <row r="32284" ht="12" customHeight="1"/>
    <row r="32285" ht="12" customHeight="1"/>
    <row r="32286" ht="12" customHeight="1"/>
    <row r="32287" ht="12" customHeight="1"/>
    <row r="32288" ht="12" customHeight="1"/>
    <row r="32289" ht="12" customHeight="1"/>
    <row r="32290" ht="12" customHeight="1"/>
    <row r="32291" ht="12" customHeight="1"/>
    <row r="32292" ht="12" customHeight="1"/>
    <row r="32293" ht="12" customHeight="1"/>
    <row r="32294" ht="12" customHeight="1"/>
    <row r="32295" ht="12" customHeight="1"/>
    <row r="32296" ht="12" customHeight="1"/>
    <row r="32297" ht="12" customHeight="1"/>
    <row r="32298" ht="12" customHeight="1"/>
    <row r="32299" ht="12" customHeight="1"/>
    <row r="32300" ht="12" customHeight="1"/>
    <row r="32301" ht="12" customHeight="1"/>
    <row r="32302" ht="12" customHeight="1"/>
    <row r="32303" ht="12" customHeight="1"/>
    <row r="32304" ht="12" customHeight="1"/>
    <row r="32305" ht="12" customHeight="1"/>
    <row r="32306" ht="12" customHeight="1"/>
    <row r="32307" ht="12" customHeight="1"/>
    <row r="32308" ht="12" customHeight="1"/>
    <row r="32309" ht="12" customHeight="1"/>
    <row r="32310" ht="12" customHeight="1"/>
    <row r="32311" ht="12" customHeight="1"/>
    <row r="32312" ht="12" customHeight="1"/>
    <row r="32313" ht="12" customHeight="1"/>
    <row r="32314" ht="12" customHeight="1"/>
    <row r="32315" ht="12" customHeight="1"/>
    <row r="32316" ht="12" customHeight="1"/>
    <row r="32317" ht="12" customHeight="1"/>
    <row r="32318" ht="12" customHeight="1"/>
    <row r="32319" ht="12" customHeight="1"/>
    <row r="32320" ht="12" customHeight="1"/>
    <row r="32321" ht="12" customHeight="1"/>
    <row r="32322" ht="12" customHeight="1"/>
    <row r="32323" ht="12" customHeight="1"/>
    <row r="32324" ht="12" customHeight="1"/>
    <row r="32325" ht="12" customHeight="1"/>
    <row r="32326" ht="12" customHeight="1"/>
    <row r="32327" ht="12" customHeight="1"/>
    <row r="32328" ht="12" customHeight="1"/>
    <row r="32329" ht="12" customHeight="1"/>
    <row r="32330" ht="12" customHeight="1"/>
    <row r="32331" ht="12" customHeight="1"/>
    <row r="32332" ht="12" customHeight="1"/>
    <row r="32333" ht="12" customHeight="1"/>
    <row r="32334" ht="12" customHeight="1"/>
    <row r="32335" ht="12" customHeight="1"/>
    <row r="32336" ht="12" customHeight="1"/>
    <row r="32337" ht="12" customHeight="1"/>
    <row r="32338" ht="12" customHeight="1"/>
    <row r="32339" ht="12" customHeight="1"/>
    <row r="32340" ht="12" customHeight="1"/>
    <row r="32341" ht="12" customHeight="1"/>
    <row r="32342" ht="12" customHeight="1"/>
    <row r="32343" ht="12" customHeight="1"/>
    <row r="32344" ht="12" customHeight="1"/>
    <row r="32345" ht="12" customHeight="1"/>
    <row r="32346" ht="12" customHeight="1"/>
    <row r="32347" ht="12" customHeight="1"/>
    <row r="32348" ht="12" customHeight="1"/>
    <row r="32349" ht="12" customHeight="1"/>
    <row r="32350" ht="12" customHeight="1"/>
    <row r="32351" ht="12" customHeight="1"/>
    <row r="32352" ht="12" customHeight="1"/>
    <row r="32353" ht="12" customHeight="1"/>
    <row r="32354" ht="12" customHeight="1"/>
    <row r="32355" ht="12" customHeight="1"/>
    <row r="32356" ht="12" customHeight="1"/>
    <row r="32357" ht="12" customHeight="1"/>
    <row r="32358" ht="12" customHeight="1"/>
    <row r="32359" ht="12" customHeight="1"/>
    <row r="32360" ht="12" customHeight="1"/>
    <row r="32361" ht="12" customHeight="1"/>
    <row r="32362" ht="12" customHeight="1"/>
    <row r="32363" ht="12" customHeight="1"/>
    <row r="32364" ht="12" customHeight="1"/>
    <row r="32365" ht="12" customHeight="1"/>
    <row r="32366" ht="12" customHeight="1"/>
    <row r="32367" ht="12" customHeight="1"/>
    <row r="32368" ht="12" customHeight="1"/>
    <row r="32369" ht="12" customHeight="1"/>
    <row r="32370" ht="12" customHeight="1"/>
    <row r="32371" ht="12" customHeight="1"/>
    <row r="32372" ht="12" customHeight="1"/>
    <row r="32373" ht="12" customHeight="1"/>
    <row r="32374" ht="12" customHeight="1"/>
    <row r="32375" ht="12" customHeight="1"/>
    <row r="32376" ht="12" customHeight="1"/>
    <row r="32377" ht="12" customHeight="1"/>
    <row r="32378" ht="12" customHeight="1"/>
    <row r="32379" ht="12" customHeight="1"/>
    <row r="32380" ht="12" customHeight="1"/>
    <row r="32381" ht="12" customHeight="1"/>
    <row r="32382" ht="12" customHeight="1"/>
    <row r="32383" ht="12" customHeight="1"/>
    <row r="32384" ht="12" customHeight="1"/>
    <row r="32385" ht="12" customHeight="1"/>
    <row r="32386" ht="12" customHeight="1"/>
    <row r="32387" ht="12" customHeight="1"/>
    <row r="32388" ht="12" customHeight="1"/>
    <row r="32389" ht="12" customHeight="1"/>
    <row r="32390" ht="12" customHeight="1"/>
    <row r="32391" ht="12" customHeight="1"/>
    <row r="32392" ht="12" customHeight="1"/>
    <row r="32393" ht="12" customHeight="1"/>
    <row r="32394" ht="12" customHeight="1"/>
    <row r="32395" ht="12" customHeight="1"/>
    <row r="32396" ht="12" customHeight="1"/>
    <row r="32397" ht="12" customHeight="1"/>
    <row r="32398" ht="12" customHeight="1"/>
    <row r="32399" ht="12" customHeight="1"/>
    <row r="32400" ht="12" customHeight="1"/>
    <row r="32401" ht="12" customHeight="1"/>
    <row r="32402" ht="12" customHeight="1"/>
    <row r="32403" ht="12" customHeight="1"/>
    <row r="32404" ht="12" customHeight="1"/>
    <row r="32405" ht="12" customHeight="1"/>
    <row r="32406" ht="12" customHeight="1"/>
    <row r="32407" ht="12" customHeight="1"/>
    <row r="32408" ht="12" customHeight="1"/>
    <row r="32409" ht="12" customHeight="1"/>
    <row r="32410" ht="12" customHeight="1"/>
    <row r="32411" ht="12" customHeight="1"/>
    <row r="32412" ht="12" customHeight="1"/>
    <row r="32413" ht="12" customHeight="1"/>
    <row r="32414" ht="12" customHeight="1"/>
    <row r="32415" ht="12" customHeight="1"/>
    <row r="32416" ht="12" customHeight="1"/>
    <row r="32417" ht="12" customHeight="1"/>
    <row r="32418" ht="12" customHeight="1"/>
    <row r="32419" ht="12" customHeight="1"/>
    <row r="32420" ht="12" customHeight="1"/>
    <row r="32421" ht="12" customHeight="1"/>
    <row r="32422" ht="12" customHeight="1"/>
    <row r="32423" ht="12" customHeight="1"/>
    <row r="32424" ht="12" customHeight="1"/>
    <row r="32425" ht="12" customHeight="1"/>
    <row r="32426" ht="12" customHeight="1"/>
    <row r="32427" ht="12" customHeight="1"/>
    <row r="32428" ht="12" customHeight="1"/>
    <row r="32429" ht="12" customHeight="1"/>
    <row r="32430" ht="12" customHeight="1"/>
    <row r="32431" ht="12" customHeight="1"/>
    <row r="32432" ht="12" customHeight="1"/>
    <row r="32433" ht="12" customHeight="1"/>
    <row r="32434" ht="12" customHeight="1"/>
    <row r="32435" ht="12" customHeight="1"/>
    <row r="32436" ht="12" customHeight="1"/>
    <row r="32437" ht="12" customHeight="1"/>
    <row r="32438" ht="12" customHeight="1"/>
    <row r="32439" ht="12" customHeight="1"/>
    <row r="32440" ht="12" customHeight="1"/>
    <row r="32441" ht="12" customHeight="1"/>
    <row r="32442" ht="12" customHeight="1"/>
    <row r="32443" ht="12" customHeight="1"/>
    <row r="32444" ht="12" customHeight="1"/>
    <row r="32445" ht="12" customHeight="1"/>
    <row r="32446" ht="12" customHeight="1"/>
    <row r="32447" ht="12" customHeight="1"/>
    <row r="32448" ht="12" customHeight="1"/>
    <row r="32449" ht="12" customHeight="1"/>
    <row r="32450" ht="12" customHeight="1"/>
    <row r="32451" ht="12" customHeight="1"/>
    <row r="32452" ht="12" customHeight="1"/>
    <row r="32453" ht="12" customHeight="1"/>
    <row r="32454" ht="12" customHeight="1"/>
    <row r="32455" ht="12" customHeight="1"/>
    <row r="32456" ht="12" customHeight="1"/>
    <row r="32457" ht="12" customHeight="1"/>
    <row r="32458" ht="12" customHeight="1"/>
    <row r="32459" ht="12" customHeight="1"/>
    <row r="32460" ht="12" customHeight="1"/>
    <row r="32461" ht="12" customHeight="1"/>
    <row r="32462" ht="12" customHeight="1"/>
    <row r="32463" ht="12" customHeight="1"/>
    <row r="32464" ht="12" customHeight="1"/>
    <row r="32465" ht="12" customHeight="1"/>
    <row r="32466" ht="12" customHeight="1"/>
    <row r="32467" ht="12" customHeight="1"/>
    <row r="32468" ht="12" customHeight="1"/>
    <row r="32469" ht="12" customHeight="1"/>
    <row r="32470" ht="12" customHeight="1"/>
    <row r="32471" ht="12" customHeight="1"/>
    <row r="32472" ht="12" customHeight="1"/>
    <row r="32473" ht="12" customHeight="1"/>
    <row r="32474" ht="12" customHeight="1"/>
    <row r="32475" ht="12" customHeight="1"/>
    <row r="32476" ht="12" customHeight="1"/>
    <row r="32477" ht="12" customHeight="1"/>
    <row r="32478" ht="12" customHeight="1"/>
    <row r="32479" ht="12" customHeight="1"/>
    <row r="32480" ht="12" customHeight="1"/>
    <row r="32481" ht="12" customHeight="1"/>
    <row r="32482" ht="12" customHeight="1"/>
    <row r="32483" ht="12" customHeight="1"/>
    <row r="32484" ht="12" customHeight="1"/>
    <row r="32485" ht="12" customHeight="1"/>
    <row r="32486" ht="12" customHeight="1"/>
    <row r="32487" ht="12" customHeight="1"/>
    <row r="32488" ht="12" customHeight="1"/>
    <row r="32489" ht="12" customHeight="1"/>
    <row r="32490" ht="12" customHeight="1"/>
    <row r="32491" ht="12" customHeight="1"/>
    <row r="32492" ht="12" customHeight="1"/>
    <row r="32493" ht="12" customHeight="1"/>
    <row r="32494" ht="12" customHeight="1"/>
    <row r="32495" ht="12" customHeight="1"/>
    <row r="32496" ht="12" customHeight="1"/>
    <row r="32497" ht="12" customHeight="1"/>
    <row r="32498" ht="12" customHeight="1"/>
    <row r="32499" ht="12" customHeight="1"/>
    <row r="32500" ht="12" customHeight="1"/>
    <row r="32501" ht="12" customHeight="1"/>
    <row r="32502" ht="12" customHeight="1"/>
    <row r="32503" ht="12" customHeight="1"/>
    <row r="32504" ht="12" customHeight="1"/>
    <row r="32505" ht="12" customHeight="1"/>
    <row r="32506" ht="12" customHeight="1"/>
    <row r="32507" ht="12" customHeight="1"/>
    <row r="32508" ht="12" customHeight="1"/>
    <row r="32509" ht="12" customHeight="1"/>
    <row r="32510" ht="12" customHeight="1"/>
    <row r="32511" ht="12" customHeight="1"/>
    <row r="32512" ht="12" customHeight="1"/>
    <row r="32513" ht="12" customHeight="1"/>
    <row r="32514" ht="12" customHeight="1"/>
    <row r="32515" ht="12" customHeight="1"/>
    <row r="32516" ht="12" customHeight="1"/>
    <row r="32517" ht="12" customHeight="1"/>
    <row r="32518" ht="12" customHeight="1"/>
    <row r="32519" ht="12" customHeight="1"/>
    <row r="32520" ht="12" customHeight="1"/>
    <row r="32521" ht="12" customHeight="1"/>
    <row r="32522" ht="12" customHeight="1"/>
    <row r="32523" ht="12" customHeight="1"/>
    <row r="32524" ht="12" customHeight="1"/>
    <row r="32525" ht="12" customHeight="1"/>
    <row r="32526" ht="12" customHeight="1"/>
    <row r="32527" ht="12" customHeight="1"/>
    <row r="32528" ht="12" customHeight="1"/>
    <row r="32529" ht="12" customHeight="1"/>
    <row r="32530" ht="12" customHeight="1"/>
    <row r="32531" ht="12" customHeight="1"/>
    <row r="32532" ht="12" customHeight="1"/>
    <row r="32533" ht="12" customHeight="1"/>
    <row r="32534" ht="12" customHeight="1"/>
    <row r="32535" ht="12" customHeight="1"/>
    <row r="32536" ht="12" customHeight="1"/>
    <row r="32537" ht="12" customHeight="1"/>
    <row r="32538" ht="12" customHeight="1"/>
    <row r="32539" ht="12" customHeight="1"/>
    <row r="32540" ht="12" customHeight="1"/>
    <row r="32541" ht="12" customHeight="1"/>
    <row r="32542" ht="12" customHeight="1"/>
    <row r="32543" ht="12" customHeight="1"/>
    <row r="32544" ht="12" customHeight="1"/>
    <row r="32545" ht="12" customHeight="1"/>
    <row r="32546" ht="12" customHeight="1"/>
    <row r="32547" ht="12" customHeight="1"/>
    <row r="32548" ht="12" customHeight="1"/>
    <row r="32549" ht="12" customHeight="1"/>
    <row r="32550" ht="12" customHeight="1"/>
    <row r="32551" ht="12" customHeight="1"/>
    <row r="32552" ht="12" customHeight="1"/>
    <row r="32553" ht="12" customHeight="1"/>
    <row r="32554" ht="12" customHeight="1"/>
    <row r="32555" ht="12" customHeight="1"/>
    <row r="32556" ht="12" customHeight="1"/>
    <row r="32557" ht="12" customHeight="1"/>
    <row r="32558" ht="12" customHeight="1"/>
    <row r="32559" ht="12" customHeight="1"/>
    <row r="32560" ht="12" customHeight="1"/>
    <row r="32561" ht="12" customHeight="1"/>
    <row r="32562" ht="12" customHeight="1"/>
    <row r="32563" ht="12" customHeight="1"/>
    <row r="32564" ht="12" customHeight="1"/>
    <row r="32565" ht="12" customHeight="1"/>
    <row r="32566" ht="12" customHeight="1"/>
    <row r="32567" ht="12" customHeight="1"/>
    <row r="32568" ht="12" customHeight="1"/>
    <row r="32569" ht="12" customHeight="1"/>
    <row r="32570" ht="12" customHeight="1"/>
    <row r="32571" ht="12" customHeight="1"/>
    <row r="32572" ht="12" customHeight="1"/>
    <row r="32573" ht="12" customHeight="1"/>
    <row r="32574" ht="12" customHeight="1"/>
    <row r="32575" ht="12" customHeight="1"/>
    <row r="32576" ht="12" customHeight="1"/>
    <row r="32577" ht="12" customHeight="1"/>
    <row r="32578" ht="12" customHeight="1"/>
    <row r="32579" ht="12" customHeight="1"/>
    <row r="32580" ht="12" customHeight="1"/>
    <row r="32581" ht="12" customHeight="1"/>
    <row r="32582" ht="12" customHeight="1"/>
    <row r="32583" ht="12" customHeight="1"/>
    <row r="32584" ht="12" customHeight="1"/>
    <row r="32585" ht="12" customHeight="1"/>
    <row r="32586" ht="12" customHeight="1"/>
    <row r="32587" ht="12" customHeight="1"/>
    <row r="32588" ht="12" customHeight="1"/>
    <row r="32589" ht="12" customHeight="1"/>
    <row r="32590" ht="12" customHeight="1"/>
    <row r="32591" ht="12" customHeight="1"/>
    <row r="32592" ht="12" customHeight="1"/>
    <row r="32593" ht="12" customHeight="1"/>
    <row r="32594" ht="12" customHeight="1"/>
    <row r="32595" ht="12" customHeight="1"/>
    <row r="32596" ht="12" customHeight="1"/>
    <row r="32597" ht="12" customHeight="1"/>
    <row r="32598" ht="12" customHeight="1"/>
    <row r="32599" ht="12" customHeight="1"/>
    <row r="32600" ht="12" customHeight="1"/>
    <row r="32601" ht="12" customHeight="1"/>
    <row r="32602" ht="12" customHeight="1"/>
    <row r="32603" ht="12" customHeight="1"/>
    <row r="32604" ht="12" customHeight="1"/>
    <row r="32605" ht="12" customHeight="1"/>
    <row r="32606" ht="12" customHeight="1"/>
    <row r="32607" ht="12" customHeight="1"/>
    <row r="32608" ht="12" customHeight="1"/>
    <row r="32609" ht="12" customHeight="1"/>
    <row r="32610" ht="12" customHeight="1"/>
    <row r="32611" ht="12" customHeight="1"/>
    <row r="32612" ht="12" customHeight="1"/>
    <row r="32613" ht="12" customHeight="1"/>
    <row r="32614" ht="12" customHeight="1"/>
    <row r="32615" ht="12" customHeight="1"/>
    <row r="32616" ht="12" customHeight="1"/>
    <row r="32617" ht="12" customHeight="1"/>
    <row r="32618" ht="12" customHeight="1"/>
    <row r="32619" ht="12" customHeight="1"/>
    <row r="32620" ht="12" customHeight="1"/>
    <row r="32621" ht="12" customHeight="1"/>
    <row r="32622" ht="12" customHeight="1"/>
    <row r="32623" ht="12" customHeight="1"/>
    <row r="32624" ht="12" customHeight="1"/>
    <row r="32625" ht="12" customHeight="1"/>
    <row r="32626" ht="12" customHeight="1"/>
    <row r="32627" ht="12" customHeight="1"/>
    <row r="32628" ht="12" customHeight="1"/>
    <row r="32629" ht="12" customHeight="1"/>
    <row r="32630" ht="12" customHeight="1"/>
    <row r="32631" ht="12" customHeight="1"/>
    <row r="32632" ht="12" customHeight="1"/>
    <row r="32633" ht="12" customHeight="1"/>
    <row r="32634" ht="12" customHeight="1"/>
    <row r="32635" ht="12" customHeight="1"/>
    <row r="32636" ht="12" customHeight="1"/>
    <row r="32637" ht="12" customHeight="1"/>
    <row r="32638" ht="12" customHeight="1"/>
    <row r="32639" ht="12" customHeight="1"/>
    <row r="32640" ht="12" customHeight="1"/>
    <row r="32641" ht="12" customHeight="1"/>
    <row r="32642" ht="12" customHeight="1"/>
    <row r="32643" ht="12" customHeight="1"/>
    <row r="32644" ht="12" customHeight="1"/>
    <row r="32645" ht="12" customHeight="1"/>
    <row r="32646" ht="12" customHeight="1"/>
    <row r="32647" ht="12" customHeight="1"/>
    <row r="32648" ht="12" customHeight="1"/>
    <row r="32649" ht="12" customHeight="1"/>
    <row r="32650" ht="12" customHeight="1"/>
    <row r="32651" ht="12" customHeight="1"/>
    <row r="32652" ht="12" customHeight="1"/>
    <row r="32653" ht="12" customHeight="1"/>
    <row r="32654" ht="12" customHeight="1"/>
    <row r="32655" ht="12" customHeight="1"/>
    <row r="32656" ht="12" customHeight="1"/>
    <row r="32657" ht="12" customHeight="1"/>
    <row r="32658" ht="12" customHeight="1"/>
    <row r="32659" ht="12" customHeight="1"/>
    <row r="32660" ht="12" customHeight="1"/>
    <row r="32661" ht="12" customHeight="1"/>
    <row r="32662" ht="12" customHeight="1"/>
    <row r="32663" ht="12" customHeight="1"/>
    <row r="32664" ht="12" customHeight="1"/>
    <row r="32665" ht="12" customHeight="1"/>
    <row r="32666" ht="12" customHeight="1"/>
    <row r="32667" ht="12" customHeight="1"/>
    <row r="32668" ht="12" customHeight="1"/>
    <row r="32669" ht="12" customHeight="1"/>
    <row r="32670" ht="12" customHeight="1"/>
    <row r="32671" ht="12" customHeight="1"/>
    <row r="32672" ht="12" customHeight="1"/>
    <row r="32673" ht="12" customHeight="1"/>
    <row r="32674" ht="12" customHeight="1"/>
    <row r="32675" ht="12" customHeight="1"/>
    <row r="32676" ht="12" customHeight="1"/>
    <row r="32677" ht="12" customHeight="1"/>
    <row r="32678" ht="12" customHeight="1"/>
    <row r="32679" ht="12" customHeight="1"/>
    <row r="32680" ht="12" customHeight="1"/>
    <row r="32681" ht="12" customHeight="1"/>
    <row r="32682" ht="12" customHeight="1"/>
    <row r="32683" ht="12" customHeight="1"/>
    <row r="32684" ht="12" customHeight="1"/>
    <row r="32685" ht="12" customHeight="1"/>
    <row r="32686" ht="12" customHeight="1"/>
    <row r="32687" ht="12" customHeight="1"/>
    <row r="32688" ht="12" customHeight="1"/>
    <row r="32689" ht="12" customHeight="1"/>
    <row r="32690" ht="12" customHeight="1"/>
    <row r="32691" ht="12" customHeight="1"/>
    <row r="32692" ht="12" customHeight="1"/>
    <row r="32693" ht="12" customHeight="1"/>
    <row r="32694" ht="12" customHeight="1"/>
    <row r="32695" ht="12" customHeight="1"/>
    <row r="32696" ht="12" customHeight="1"/>
    <row r="32697" ht="12" customHeight="1"/>
    <row r="32698" ht="12" customHeight="1"/>
    <row r="32699" ht="12" customHeight="1"/>
    <row r="32700" ht="12" customHeight="1"/>
    <row r="32701" ht="12" customHeight="1"/>
    <row r="32702" ht="12" customHeight="1"/>
    <row r="32703" ht="12" customHeight="1"/>
    <row r="32704" ht="12" customHeight="1"/>
    <row r="32705" ht="12" customHeight="1"/>
    <row r="32706" ht="12" customHeight="1"/>
    <row r="32707" ht="12" customHeight="1"/>
    <row r="32708" ht="12" customHeight="1"/>
    <row r="32709" ht="12" customHeight="1"/>
    <row r="32710" ht="12" customHeight="1"/>
    <row r="32711" ht="12" customHeight="1"/>
    <row r="32712" ht="12" customHeight="1"/>
    <row r="32713" ht="12" customHeight="1"/>
    <row r="32714" ht="12" customHeight="1"/>
    <row r="32715" ht="12" customHeight="1"/>
    <row r="32716" ht="12" customHeight="1"/>
    <row r="32717" ht="12" customHeight="1"/>
    <row r="32718" ht="12" customHeight="1"/>
    <row r="32719" ht="12" customHeight="1"/>
    <row r="32720" ht="12" customHeight="1"/>
    <row r="32721" ht="12" customHeight="1"/>
    <row r="32722" ht="12" customHeight="1"/>
    <row r="32723" ht="12" customHeight="1"/>
    <row r="32724" ht="12" customHeight="1"/>
    <row r="32725" ht="12" customHeight="1"/>
    <row r="32726" ht="12" customHeight="1"/>
    <row r="32727" ht="12" customHeight="1"/>
    <row r="32728" ht="12" customHeight="1"/>
    <row r="32729" ht="12" customHeight="1"/>
    <row r="32730" ht="12" customHeight="1"/>
    <row r="32731" ht="12" customHeight="1"/>
    <row r="32732" ht="12" customHeight="1"/>
    <row r="32733" ht="12" customHeight="1"/>
    <row r="32734" ht="12" customHeight="1"/>
    <row r="32735" ht="12" customHeight="1"/>
    <row r="32736" ht="12" customHeight="1"/>
    <row r="32737" ht="12" customHeight="1"/>
    <row r="32738" ht="12" customHeight="1"/>
    <row r="32739" ht="12" customHeight="1"/>
    <row r="32740" ht="12" customHeight="1"/>
    <row r="32741" ht="12" customHeight="1"/>
    <row r="32742" ht="12" customHeight="1"/>
    <row r="32743" ht="12" customHeight="1"/>
    <row r="32744" ht="12" customHeight="1"/>
    <row r="32745" ht="12" customHeight="1"/>
    <row r="32746" ht="12" customHeight="1"/>
    <row r="32747" ht="12" customHeight="1"/>
    <row r="32748" ht="12" customHeight="1"/>
    <row r="32749" ht="12" customHeight="1"/>
    <row r="32750" ht="12" customHeight="1"/>
    <row r="32751" ht="12" customHeight="1"/>
    <row r="32752" ht="12" customHeight="1"/>
    <row r="32753" ht="12" customHeight="1"/>
    <row r="32754" ht="12" customHeight="1"/>
    <row r="32755" ht="12" customHeight="1"/>
    <row r="32756" ht="12" customHeight="1"/>
    <row r="32757" ht="12" customHeight="1"/>
    <row r="32758" ht="12" customHeight="1"/>
    <row r="32759" ht="12" customHeight="1"/>
    <row r="32760" ht="12" customHeight="1"/>
    <row r="32761" ht="12" customHeight="1"/>
    <row r="32762" ht="12" customHeight="1"/>
    <row r="32763" ht="12" customHeight="1"/>
    <row r="32764" ht="12" customHeight="1"/>
    <row r="32765" ht="12" customHeight="1"/>
    <row r="32766" ht="12" customHeight="1"/>
    <row r="32767" ht="12" customHeight="1"/>
    <row r="32768" ht="12" customHeight="1"/>
    <row r="32769" ht="12" customHeight="1"/>
    <row r="32770" ht="12" customHeight="1"/>
    <row r="32771" ht="12" customHeight="1"/>
    <row r="32772" ht="12" customHeight="1"/>
    <row r="32773" ht="12" customHeight="1"/>
    <row r="32774" ht="12" customHeight="1"/>
    <row r="32775" ht="12" customHeight="1"/>
    <row r="32776" ht="12" customHeight="1"/>
    <row r="32777" ht="12" customHeight="1"/>
    <row r="32778" ht="12" customHeight="1"/>
    <row r="32779" ht="12" customHeight="1"/>
    <row r="32780" ht="12" customHeight="1"/>
    <row r="32781" ht="12" customHeight="1"/>
    <row r="32782" ht="12" customHeight="1"/>
    <row r="32783" ht="12" customHeight="1"/>
    <row r="32784" ht="12" customHeight="1"/>
    <row r="32785" ht="12" customHeight="1"/>
    <row r="32786" ht="12" customHeight="1"/>
    <row r="32787" ht="12" customHeight="1"/>
    <row r="32788" ht="12" customHeight="1"/>
    <row r="32789" ht="12" customHeight="1"/>
    <row r="32790" ht="12" customHeight="1"/>
    <row r="32791" ht="12" customHeight="1"/>
    <row r="32792" ht="12" customHeight="1"/>
    <row r="32793" ht="12" customHeight="1"/>
    <row r="32794" ht="12" customHeight="1"/>
    <row r="32795" ht="12" customHeight="1"/>
    <row r="32796" ht="12" customHeight="1"/>
    <row r="32797" ht="12" customHeight="1"/>
    <row r="32798" ht="12" customHeight="1"/>
    <row r="32799" ht="12" customHeight="1"/>
    <row r="32800" ht="12" customHeight="1"/>
    <row r="32801" ht="12" customHeight="1"/>
    <row r="32802" ht="12" customHeight="1"/>
    <row r="32803" ht="12" customHeight="1"/>
    <row r="32804" ht="12" customHeight="1"/>
    <row r="32805" ht="12" customHeight="1"/>
    <row r="32806" ht="12" customHeight="1"/>
    <row r="32807" ht="12" customHeight="1"/>
    <row r="32808" ht="12" customHeight="1"/>
    <row r="32809" ht="12" customHeight="1"/>
    <row r="32810" ht="12" customHeight="1"/>
    <row r="32811" ht="12" customHeight="1"/>
    <row r="32812" ht="12" customHeight="1"/>
    <row r="32813" ht="12" customHeight="1"/>
    <row r="32814" ht="12" customHeight="1"/>
    <row r="32815" ht="12" customHeight="1"/>
    <row r="32816" ht="12" customHeight="1"/>
    <row r="32817" ht="12" customHeight="1"/>
    <row r="32818" ht="12" customHeight="1"/>
    <row r="32819" ht="12" customHeight="1"/>
    <row r="32820" ht="12" customHeight="1"/>
    <row r="32821" ht="12" customHeight="1"/>
    <row r="32822" ht="12" customHeight="1"/>
    <row r="32823" ht="12" customHeight="1"/>
    <row r="32824" ht="12" customHeight="1"/>
    <row r="32825" ht="12" customHeight="1"/>
    <row r="32826" ht="12" customHeight="1"/>
    <row r="32827" ht="12" customHeight="1"/>
    <row r="32828" ht="12" customHeight="1"/>
    <row r="32829" ht="12" customHeight="1"/>
    <row r="32830" ht="12" customHeight="1"/>
    <row r="32831" ht="12" customHeight="1"/>
    <row r="32832" ht="12" customHeight="1"/>
    <row r="32833" ht="12" customHeight="1"/>
    <row r="32834" ht="12" customHeight="1"/>
    <row r="32835" ht="12" customHeight="1"/>
    <row r="32836" ht="12" customHeight="1"/>
    <row r="32837" ht="12" customHeight="1"/>
    <row r="32838" ht="12" customHeight="1"/>
    <row r="32839" ht="12" customHeight="1"/>
    <row r="32840" ht="12" customHeight="1"/>
    <row r="32841" ht="12" customHeight="1"/>
    <row r="32842" ht="12" customHeight="1"/>
    <row r="32843" ht="12" customHeight="1"/>
    <row r="32844" ht="12" customHeight="1"/>
    <row r="32845" ht="12" customHeight="1"/>
    <row r="32846" ht="12" customHeight="1"/>
    <row r="32847" ht="12" customHeight="1"/>
    <row r="32848" ht="12" customHeight="1"/>
    <row r="32849" ht="12" customHeight="1"/>
    <row r="32850" ht="12" customHeight="1"/>
    <row r="32851" ht="12" customHeight="1"/>
    <row r="32852" ht="12" customHeight="1"/>
    <row r="32853" ht="12" customHeight="1"/>
    <row r="32854" ht="12" customHeight="1"/>
    <row r="32855" ht="12" customHeight="1"/>
    <row r="32856" ht="12" customHeight="1"/>
    <row r="32857" ht="12" customHeight="1"/>
    <row r="32858" ht="12" customHeight="1"/>
    <row r="32859" ht="12" customHeight="1"/>
    <row r="32860" ht="12" customHeight="1"/>
    <row r="32861" ht="12" customHeight="1"/>
    <row r="32862" ht="12" customHeight="1"/>
    <row r="32863" ht="12" customHeight="1"/>
    <row r="32864" ht="12" customHeight="1"/>
    <row r="32865" ht="12" customHeight="1"/>
    <row r="32866" ht="12" customHeight="1"/>
    <row r="32867" ht="12" customHeight="1"/>
    <row r="32868" ht="12" customHeight="1"/>
    <row r="32869" ht="12" customHeight="1"/>
    <row r="32870" ht="12" customHeight="1"/>
    <row r="32871" ht="12" customHeight="1"/>
    <row r="32872" ht="12" customHeight="1"/>
    <row r="32873" ht="12" customHeight="1"/>
    <row r="32874" ht="12" customHeight="1"/>
    <row r="32875" ht="12" customHeight="1"/>
    <row r="32876" ht="12" customHeight="1"/>
    <row r="32877" ht="12" customHeight="1"/>
    <row r="32878" ht="12" customHeight="1"/>
    <row r="32879" ht="12" customHeight="1"/>
    <row r="32880" ht="12" customHeight="1"/>
    <row r="32881" ht="12" customHeight="1"/>
    <row r="32882" ht="12" customHeight="1"/>
    <row r="32883" ht="12" customHeight="1"/>
    <row r="32884" ht="12" customHeight="1"/>
    <row r="32885" ht="12" customHeight="1"/>
    <row r="32886" ht="12" customHeight="1"/>
    <row r="32887" ht="12" customHeight="1"/>
    <row r="32888" ht="12" customHeight="1"/>
    <row r="32889" ht="12" customHeight="1"/>
    <row r="32890" ht="12" customHeight="1"/>
    <row r="32891" ht="12" customHeight="1"/>
    <row r="32892" ht="12" customHeight="1"/>
    <row r="32893" ht="12" customHeight="1"/>
    <row r="32894" ht="12" customHeight="1"/>
    <row r="32895" ht="12" customHeight="1"/>
    <row r="32896" ht="12" customHeight="1"/>
    <row r="32897" ht="12" customHeight="1"/>
    <row r="32898" ht="12" customHeight="1"/>
    <row r="32899" ht="12" customHeight="1"/>
    <row r="32900" ht="12" customHeight="1"/>
    <row r="32901" ht="12" customHeight="1"/>
    <row r="32902" ht="12" customHeight="1"/>
    <row r="32903" ht="12" customHeight="1"/>
    <row r="32904" ht="12" customHeight="1"/>
    <row r="32905" ht="12" customHeight="1"/>
    <row r="32906" ht="12" customHeight="1"/>
    <row r="32907" ht="12" customHeight="1"/>
    <row r="32908" ht="12" customHeight="1"/>
    <row r="32909" ht="12" customHeight="1"/>
    <row r="32910" ht="12" customHeight="1"/>
    <row r="32911" ht="12" customHeight="1"/>
    <row r="32912" ht="12" customHeight="1"/>
    <row r="32913" ht="12" customHeight="1"/>
    <row r="32914" ht="12" customHeight="1"/>
    <row r="32915" ht="12" customHeight="1"/>
    <row r="32916" ht="12" customHeight="1"/>
    <row r="32917" ht="12" customHeight="1"/>
    <row r="32918" ht="12" customHeight="1"/>
    <row r="32919" ht="12" customHeight="1"/>
    <row r="32920" ht="12" customHeight="1"/>
    <row r="32921" ht="12" customHeight="1"/>
    <row r="32922" ht="12" customHeight="1"/>
    <row r="32923" ht="12" customHeight="1"/>
    <row r="32924" ht="12" customHeight="1"/>
    <row r="32925" ht="12" customHeight="1"/>
    <row r="32926" ht="12" customHeight="1"/>
    <row r="32927" ht="12" customHeight="1"/>
    <row r="32928" ht="12" customHeight="1"/>
    <row r="32929" ht="12" customHeight="1"/>
    <row r="32930" ht="12" customHeight="1"/>
    <row r="32931" ht="12" customHeight="1"/>
    <row r="32932" ht="12" customHeight="1"/>
    <row r="32933" ht="12" customHeight="1"/>
    <row r="32934" ht="12" customHeight="1"/>
    <row r="32935" ht="12" customHeight="1"/>
    <row r="32936" ht="12" customHeight="1"/>
    <row r="32937" ht="12" customHeight="1"/>
    <row r="32938" ht="12" customHeight="1"/>
    <row r="32939" ht="12" customHeight="1"/>
    <row r="32940" ht="12" customHeight="1"/>
    <row r="32941" ht="12" customHeight="1"/>
    <row r="32942" ht="12" customHeight="1"/>
    <row r="32943" ht="12" customHeight="1"/>
    <row r="32944" ht="12" customHeight="1"/>
    <row r="32945" ht="12" customHeight="1"/>
    <row r="32946" ht="12" customHeight="1"/>
    <row r="32947" ht="12" customHeight="1"/>
    <row r="32948" ht="12" customHeight="1"/>
    <row r="32949" ht="12" customHeight="1"/>
    <row r="32950" ht="12" customHeight="1"/>
    <row r="32951" ht="12" customHeight="1"/>
    <row r="32952" ht="12" customHeight="1"/>
    <row r="32953" ht="12" customHeight="1"/>
    <row r="32954" ht="12" customHeight="1"/>
    <row r="32955" ht="12" customHeight="1"/>
    <row r="32956" ht="12" customHeight="1"/>
    <row r="32957" ht="12" customHeight="1"/>
    <row r="32958" ht="12" customHeight="1"/>
    <row r="32959" ht="12" customHeight="1"/>
    <row r="32960" ht="12" customHeight="1"/>
    <row r="32961" ht="12" customHeight="1"/>
    <row r="32962" ht="12" customHeight="1"/>
    <row r="32963" ht="12" customHeight="1"/>
    <row r="32964" ht="12" customHeight="1"/>
    <row r="32965" ht="12" customHeight="1"/>
    <row r="32966" ht="12" customHeight="1"/>
    <row r="32967" ht="12" customHeight="1"/>
    <row r="32968" ht="12" customHeight="1"/>
    <row r="32969" ht="12" customHeight="1"/>
    <row r="32970" ht="12" customHeight="1"/>
    <row r="32971" ht="12" customHeight="1"/>
    <row r="32972" ht="12" customHeight="1"/>
    <row r="32973" ht="12" customHeight="1"/>
    <row r="32974" ht="12" customHeight="1"/>
    <row r="32975" ht="12" customHeight="1"/>
    <row r="32976" ht="12" customHeight="1"/>
    <row r="32977" ht="12" customHeight="1"/>
    <row r="32978" ht="12" customHeight="1"/>
    <row r="32979" ht="12" customHeight="1"/>
    <row r="32980" ht="12" customHeight="1"/>
    <row r="32981" ht="12" customHeight="1"/>
    <row r="32982" ht="12" customHeight="1"/>
    <row r="32983" ht="12" customHeight="1"/>
    <row r="32984" ht="12" customHeight="1"/>
    <row r="32985" ht="12" customHeight="1"/>
    <row r="32986" ht="12" customHeight="1"/>
    <row r="32987" ht="12" customHeight="1"/>
    <row r="32988" ht="12" customHeight="1"/>
    <row r="32989" ht="12" customHeight="1"/>
    <row r="32990" ht="12" customHeight="1"/>
    <row r="32991" ht="12" customHeight="1"/>
    <row r="32992" ht="12" customHeight="1"/>
    <row r="32993" ht="12" customHeight="1"/>
    <row r="32994" ht="12" customHeight="1"/>
    <row r="32995" ht="12" customHeight="1"/>
    <row r="32996" ht="12" customHeight="1"/>
    <row r="32997" ht="12" customHeight="1"/>
    <row r="32998" ht="12" customHeight="1"/>
    <row r="32999" ht="12" customHeight="1"/>
    <row r="33000" ht="12" customHeight="1"/>
    <row r="33001" ht="12" customHeight="1"/>
    <row r="33002" ht="12" customHeight="1"/>
    <row r="33003" ht="12" customHeight="1"/>
    <row r="33004" ht="12" customHeight="1"/>
    <row r="33005" ht="12" customHeight="1"/>
    <row r="33006" ht="12" customHeight="1"/>
    <row r="33007" ht="12" customHeight="1"/>
    <row r="33008" ht="12" customHeight="1"/>
    <row r="33009" ht="12" customHeight="1"/>
    <row r="33010" ht="12" customHeight="1"/>
    <row r="33011" ht="12" customHeight="1"/>
    <row r="33012" ht="12" customHeight="1"/>
    <row r="33013" ht="12" customHeight="1"/>
    <row r="33014" ht="12" customHeight="1"/>
    <row r="33015" ht="12" customHeight="1"/>
    <row r="33016" ht="12" customHeight="1"/>
    <row r="33017" ht="12" customHeight="1"/>
    <row r="33018" ht="12" customHeight="1"/>
    <row r="33019" ht="12" customHeight="1"/>
    <row r="33020" ht="12" customHeight="1"/>
    <row r="33021" ht="12" customHeight="1"/>
    <row r="33022" ht="12" customHeight="1"/>
    <row r="33023" ht="12" customHeight="1"/>
    <row r="33024" ht="12" customHeight="1"/>
    <row r="33025" ht="12" customHeight="1"/>
    <row r="33026" ht="12" customHeight="1"/>
    <row r="33027" ht="12" customHeight="1"/>
    <row r="33028" ht="12" customHeight="1"/>
    <row r="33029" ht="12" customHeight="1"/>
    <row r="33030" ht="12" customHeight="1"/>
    <row r="33031" ht="12" customHeight="1"/>
    <row r="33032" ht="12" customHeight="1"/>
    <row r="33033" ht="12" customHeight="1"/>
    <row r="33034" ht="12" customHeight="1"/>
    <row r="33035" ht="12" customHeight="1"/>
    <row r="33036" ht="12" customHeight="1"/>
    <row r="33037" ht="12" customHeight="1"/>
    <row r="33038" ht="12" customHeight="1"/>
    <row r="33039" ht="12" customHeight="1"/>
    <row r="33040" ht="12" customHeight="1"/>
    <row r="33041" ht="12" customHeight="1"/>
    <row r="33042" ht="12" customHeight="1"/>
    <row r="33043" ht="12" customHeight="1"/>
    <row r="33044" ht="12" customHeight="1"/>
    <row r="33045" ht="12" customHeight="1"/>
    <row r="33046" ht="12" customHeight="1"/>
    <row r="33047" ht="12" customHeight="1"/>
    <row r="33048" ht="12" customHeight="1"/>
    <row r="33049" ht="12" customHeight="1"/>
    <row r="33050" ht="12" customHeight="1"/>
    <row r="33051" ht="12" customHeight="1"/>
    <row r="33052" ht="12" customHeight="1"/>
    <row r="33053" ht="12" customHeight="1"/>
    <row r="33054" ht="12" customHeight="1"/>
    <row r="33055" ht="12" customHeight="1"/>
    <row r="33056" ht="12" customHeight="1"/>
    <row r="33057" ht="12" customHeight="1"/>
    <row r="33058" ht="12" customHeight="1"/>
    <row r="33059" ht="12" customHeight="1"/>
    <row r="33060" ht="12" customHeight="1"/>
    <row r="33061" ht="12" customHeight="1"/>
    <row r="33062" ht="12" customHeight="1"/>
    <row r="33063" ht="12" customHeight="1"/>
    <row r="33064" ht="12" customHeight="1"/>
    <row r="33065" ht="12" customHeight="1"/>
    <row r="33066" ht="12" customHeight="1"/>
    <row r="33067" ht="12" customHeight="1"/>
    <row r="33068" ht="12" customHeight="1"/>
    <row r="33069" ht="12" customHeight="1"/>
    <row r="33070" ht="12" customHeight="1"/>
    <row r="33071" ht="12" customHeight="1"/>
    <row r="33072" ht="12" customHeight="1"/>
    <row r="33073" ht="12" customHeight="1"/>
    <row r="33074" ht="12" customHeight="1"/>
    <row r="33075" ht="12" customHeight="1"/>
    <row r="33076" ht="12" customHeight="1"/>
    <row r="33077" ht="12" customHeight="1"/>
    <row r="33078" ht="12" customHeight="1"/>
    <row r="33079" ht="12" customHeight="1"/>
    <row r="33080" ht="12" customHeight="1"/>
    <row r="33081" ht="12" customHeight="1"/>
    <row r="33082" ht="12" customHeight="1"/>
    <row r="33083" ht="12" customHeight="1"/>
    <row r="33084" ht="12" customHeight="1"/>
    <row r="33085" ht="12" customHeight="1"/>
    <row r="33086" ht="12" customHeight="1"/>
    <row r="33087" ht="12" customHeight="1"/>
    <row r="33088" ht="12" customHeight="1"/>
    <row r="33089" ht="12" customHeight="1"/>
    <row r="33090" ht="12" customHeight="1"/>
    <row r="33091" ht="12" customHeight="1"/>
    <row r="33092" ht="12" customHeight="1"/>
    <row r="33093" ht="12" customHeight="1"/>
    <row r="33094" ht="12" customHeight="1"/>
    <row r="33095" ht="12" customHeight="1"/>
    <row r="33096" ht="12" customHeight="1"/>
    <row r="33097" ht="12" customHeight="1"/>
    <row r="33098" ht="12" customHeight="1"/>
    <row r="33099" ht="12" customHeight="1"/>
    <row r="33100" ht="12" customHeight="1"/>
    <row r="33101" ht="12" customHeight="1"/>
    <row r="33102" ht="12" customHeight="1"/>
    <row r="33103" ht="12" customHeight="1"/>
    <row r="33104" ht="12" customHeight="1"/>
    <row r="33105" ht="12" customHeight="1"/>
    <row r="33106" ht="12" customHeight="1"/>
    <row r="33107" ht="12" customHeight="1"/>
    <row r="33108" ht="12" customHeight="1"/>
    <row r="33109" ht="12" customHeight="1"/>
    <row r="33110" ht="12" customHeight="1"/>
    <row r="33111" ht="12" customHeight="1"/>
    <row r="33112" ht="12" customHeight="1"/>
    <row r="33113" ht="12" customHeight="1"/>
    <row r="33114" ht="12" customHeight="1"/>
    <row r="33115" ht="12" customHeight="1"/>
    <row r="33116" ht="12" customHeight="1"/>
    <row r="33117" ht="12" customHeight="1"/>
    <row r="33118" ht="12" customHeight="1"/>
    <row r="33119" ht="12" customHeight="1"/>
    <row r="33120" ht="12" customHeight="1"/>
    <row r="33121" ht="12" customHeight="1"/>
    <row r="33122" ht="12" customHeight="1"/>
    <row r="33123" ht="12" customHeight="1"/>
    <row r="33124" ht="12" customHeight="1"/>
    <row r="33125" ht="12" customHeight="1"/>
    <row r="33126" ht="12" customHeight="1"/>
    <row r="33127" ht="12" customHeight="1"/>
    <row r="33128" ht="12" customHeight="1"/>
    <row r="33129" ht="12" customHeight="1"/>
    <row r="33130" ht="12" customHeight="1"/>
    <row r="33131" ht="12" customHeight="1"/>
    <row r="33132" ht="12" customHeight="1"/>
    <row r="33133" ht="12" customHeight="1"/>
    <row r="33134" ht="12" customHeight="1"/>
    <row r="33135" ht="12" customHeight="1"/>
    <row r="33136" ht="12" customHeight="1"/>
    <row r="33137" ht="12" customHeight="1"/>
    <row r="33138" ht="12" customHeight="1"/>
    <row r="33139" ht="12" customHeight="1"/>
    <row r="33140" ht="12" customHeight="1"/>
    <row r="33141" ht="12" customHeight="1"/>
    <row r="33142" ht="12" customHeight="1"/>
    <row r="33143" ht="12" customHeight="1"/>
    <row r="33144" ht="12" customHeight="1"/>
    <row r="33145" ht="12" customHeight="1"/>
    <row r="33146" ht="12" customHeight="1"/>
    <row r="33147" ht="12" customHeight="1"/>
    <row r="33148" ht="12" customHeight="1"/>
    <row r="33149" ht="12" customHeight="1"/>
    <row r="33150" ht="12" customHeight="1"/>
    <row r="33151" ht="12" customHeight="1"/>
    <row r="33152" ht="12" customHeight="1"/>
    <row r="33153" ht="12" customHeight="1"/>
    <row r="33154" ht="12" customHeight="1"/>
    <row r="33155" ht="12" customHeight="1"/>
    <row r="33156" ht="12" customHeight="1"/>
    <row r="33157" ht="12" customHeight="1"/>
    <row r="33158" ht="12" customHeight="1"/>
    <row r="33159" ht="12" customHeight="1"/>
    <row r="33160" ht="12" customHeight="1"/>
    <row r="33161" ht="12" customHeight="1"/>
    <row r="33162" ht="12" customHeight="1"/>
    <row r="33163" ht="12" customHeight="1"/>
    <row r="33164" ht="12" customHeight="1"/>
    <row r="33165" ht="12" customHeight="1"/>
    <row r="33166" ht="12" customHeight="1"/>
    <row r="33167" ht="12" customHeight="1"/>
    <row r="33168" ht="12" customHeight="1"/>
    <row r="33169" ht="12" customHeight="1"/>
    <row r="33170" ht="12" customHeight="1"/>
    <row r="33171" ht="12" customHeight="1"/>
    <row r="33172" ht="12" customHeight="1"/>
    <row r="33173" ht="12" customHeight="1"/>
    <row r="33174" ht="12" customHeight="1"/>
    <row r="33175" ht="12" customHeight="1"/>
    <row r="33176" ht="12" customHeight="1"/>
    <row r="33177" ht="12" customHeight="1"/>
    <row r="33178" ht="12" customHeight="1"/>
    <row r="33179" ht="12" customHeight="1"/>
    <row r="33180" ht="12" customHeight="1"/>
    <row r="33181" ht="12" customHeight="1"/>
    <row r="33182" ht="12" customHeight="1"/>
    <row r="33183" ht="12" customHeight="1"/>
    <row r="33184" ht="12" customHeight="1"/>
    <row r="33185" ht="12" customHeight="1"/>
    <row r="33186" ht="12" customHeight="1"/>
    <row r="33187" ht="12" customHeight="1"/>
    <row r="33188" ht="12" customHeight="1"/>
    <row r="33189" ht="12" customHeight="1"/>
    <row r="33190" ht="12" customHeight="1"/>
    <row r="33191" ht="12" customHeight="1"/>
    <row r="33192" ht="12" customHeight="1"/>
    <row r="33193" ht="12" customHeight="1"/>
    <row r="33194" ht="12" customHeight="1"/>
    <row r="33195" ht="12" customHeight="1"/>
    <row r="33196" ht="12" customHeight="1"/>
    <row r="33197" ht="12" customHeight="1"/>
    <row r="33198" ht="12" customHeight="1"/>
    <row r="33199" ht="12" customHeight="1"/>
    <row r="33200" ht="12" customHeight="1"/>
    <row r="33201" ht="12" customHeight="1"/>
    <row r="33202" ht="12" customHeight="1"/>
    <row r="33203" ht="12" customHeight="1"/>
    <row r="33204" ht="12" customHeight="1"/>
    <row r="33205" ht="12" customHeight="1"/>
    <row r="33206" ht="12" customHeight="1"/>
    <row r="33207" ht="12" customHeight="1"/>
    <row r="33208" ht="12" customHeight="1"/>
    <row r="33209" ht="12" customHeight="1"/>
    <row r="33210" ht="12" customHeight="1"/>
    <row r="33211" ht="12" customHeight="1"/>
    <row r="33212" ht="12" customHeight="1"/>
    <row r="33213" ht="12" customHeight="1"/>
    <row r="33214" ht="12" customHeight="1"/>
    <row r="33215" ht="12" customHeight="1"/>
    <row r="33216" ht="12" customHeight="1"/>
    <row r="33217" ht="12" customHeight="1"/>
    <row r="33218" ht="12" customHeight="1"/>
    <row r="33219" ht="12" customHeight="1"/>
    <row r="33220" ht="12" customHeight="1"/>
    <row r="33221" ht="12" customHeight="1"/>
    <row r="33222" ht="12" customHeight="1"/>
    <row r="33223" ht="12" customHeight="1"/>
    <row r="33224" ht="12" customHeight="1"/>
    <row r="33225" ht="12" customHeight="1"/>
    <row r="33226" ht="12" customHeight="1"/>
    <row r="33227" ht="12" customHeight="1"/>
    <row r="33228" ht="12" customHeight="1"/>
    <row r="33229" ht="12" customHeight="1"/>
    <row r="33230" ht="12" customHeight="1"/>
    <row r="33231" ht="12" customHeight="1"/>
    <row r="33232" ht="12" customHeight="1"/>
    <row r="33233" ht="12" customHeight="1"/>
    <row r="33234" ht="12" customHeight="1"/>
    <row r="33235" ht="12" customHeight="1"/>
    <row r="33236" ht="12" customHeight="1"/>
    <row r="33237" ht="12" customHeight="1"/>
    <row r="33238" ht="12" customHeight="1"/>
    <row r="33239" ht="12" customHeight="1"/>
    <row r="33240" ht="12" customHeight="1"/>
    <row r="33241" ht="12" customHeight="1"/>
    <row r="33242" ht="12" customHeight="1"/>
    <row r="33243" ht="12" customHeight="1"/>
    <row r="33244" ht="12" customHeight="1"/>
    <row r="33245" ht="12" customHeight="1"/>
    <row r="33246" ht="12" customHeight="1"/>
    <row r="33247" ht="12" customHeight="1"/>
    <row r="33248" ht="12" customHeight="1"/>
    <row r="33249" ht="12" customHeight="1"/>
    <row r="33250" ht="12" customHeight="1"/>
    <row r="33251" ht="12" customHeight="1"/>
    <row r="33252" ht="12" customHeight="1"/>
    <row r="33253" ht="12" customHeight="1"/>
    <row r="33254" ht="12" customHeight="1"/>
    <row r="33255" ht="12" customHeight="1"/>
    <row r="33256" ht="12" customHeight="1"/>
    <row r="33257" ht="12" customHeight="1"/>
    <row r="33258" ht="12" customHeight="1"/>
    <row r="33259" ht="12" customHeight="1"/>
    <row r="33260" ht="12" customHeight="1"/>
    <row r="33261" ht="12" customHeight="1"/>
    <row r="33262" ht="12" customHeight="1"/>
    <row r="33263" ht="12" customHeight="1"/>
    <row r="33264" ht="12" customHeight="1"/>
    <row r="33265" ht="12" customHeight="1"/>
    <row r="33266" ht="12" customHeight="1"/>
    <row r="33267" ht="12" customHeight="1"/>
    <row r="33268" ht="12" customHeight="1"/>
    <row r="33269" ht="12" customHeight="1"/>
    <row r="33270" ht="12" customHeight="1"/>
    <row r="33271" ht="12" customHeight="1"/>
    <row r="33272" ht="12" customHeight="1"/>
    <row r="33273" ht="12" customHeight="1"/>
    <row r="33274" ht="12" customHeight="1"/>
    <row r="33275" ht="12" customHeight="1"/>
    <row r="33276" ht="12" customHeight="1"/>
    <row r="33277" ht="12" customHeight="1"/>
    <row r="33278" ht="12" customHeight="1"/>
    <row r="33279" ht="12" customHeight="1"/>
    <row r="33280" ht="12" customHeight="1"/>
    <row r="33281" ht="12" customHeight="1"/>
    <row r="33282" ht="12" customHeight="1"/>
    <row r="33283" ht="12" customHeight="1"/>
    <row r="33284" ht="12" customHeight="1"/>
    <row r="33285" ht="12" customHeight="1"/>
    <row r="33286" ht="12" customHeight="1"/>
    <row r="33287" ht="12" customHeight="1"/>
    <row r="33288" ht="12" customHeight="1"/>
    <row r="33289" ht="12" customHeight="1"/>
    <row r="33290" ht="12" customHeight="1"/>
    <row r="33291" ht="12" customHeight="1"/>
    <row r="33292" ht="12" customHeight="1"/>
    <row r="33293" ht="12" customHeight="1"/>
    <row r="33294" ht="12" customHeight="1"/>
    <row r="33295" ht="12" customHeight="1"/>
    <row r="33296" ht="12" customHeight="1"/>
    <row r="33297" ht="12" customHeight="1"/>
    <row r="33298" ht="12" customHeight="1"/>
    <row r="33299" ht="12" customHeight="1"/>
    <row r="33300" ht="12" customHeight="1"/>
    <row r="33301" ht="12" customHeight="1"/>
    <row r="33302" ht="12" customHeight="1"/>
    <row r="33303" ht="12" customHeight="1"/>
    <row r="33304" ht="12" customHeight="1"/>
    <row r="33305" ht="12" customHeight="1"/>
    <row r="33306" ht="12" customHeight="1"/>
    <row r="33307" ht="12" customHeight="1"/>
    <row r="33308" ht="12" customHeight="1"/>
    <row r="33309" ht="12" customHeight="1"/>
    <row r="33310" ht="12" customHeight="1"/>
    <row r="33311" ht="12" customHeight="1"/>
    <row r="33312" ht="12" customHeight="1"/>
    <row r="33313" ht="12" customHeight="1"/>
    <row r="33314" ht="12" customHeight="1"/>
    <row r="33315" ht="12" customHeight="1"/>
    <row r="33316" ht="12" customHeight="1"/>
    <row r="33317" ht="12" customHeight="1"/>
    <row r="33318" ht="12" customHeight="1"/>
    <row r="33319" ht="12" customHeight="1"/>
    <row r="33320" ht="12" customHeight="1"/>
    <row r="33321" ht="12" customHeight="1"/>
    <row r="33322" ht="12" customHeight="1"/>
    <row r="33323" ht="12" customHeight="1"/>
    <row r="33324" ht="12" customHeight="1"/>
    <row r="33325" ht="12" customHeight="1"/>
    <row r="33326" ht="12" customHeight="1"/>
    <row r="33327" ht="12" customHeight="1"/>
    <row r="33328" ht="12" customHeight="1"/>
    <row r="33329" ht="12" customHeight="1"/>
    <row r="33330" ht="12" customHeight="1"/>
    <row r="33331" ht="12" customHeight="1"/>
    <row r="33332" ht="12" customHeight="1"/>
    <row r="33333" ht="12" customHeight="1"/>
    <row r="33334" ht="12" customHeight="1"/>
    <row r="33335" ht="12" customHeight="1"/>
    <row r="33336" ht="12" customHeight="1"/>
    <row r="33337" ht="12" customHeight="1"/>
    <row r="33338" ht="12" customHeight="1"/>
    <row r="33339" ht="12" customHeight="1"/>
    <row r="33340" ht="12" customHeight="1"/>
    <row r="33341" ht="12" customHeight="1"/>
    <row r="33342" ht="12" customHeight="1"/>
    <row r="33343" ht="12" customHeight="1"/>
    <row r="33344" ht="12" customHeight="1"/>
    <row r="33345" ht="12" customHeight="1"/>
    <row r="33346" ht="12" customHeight="1"/>
    <row r="33347" ht="12" customHeight="1"/>
    <row r="33348" ht="12" customHeight="1"/>
    <row r="33349" ht="12" customHeight="1"/>
    <row r="33350" ht="12" customHeight="1"/>
    <row r="33351" ht="12" customHeight="1"/>
    <row r="33352" ht="12" customHeight="1"/>
    <row r="33353" ht="12" customHeight="1"/>
    <row r="33354" ht="12" customHeight="1"/>
    <row r="33355" ht="12" customHeight="1"/>
    <row r="33356" ht="12" customHeight="1"/>
    <row r="33357" ht="12" customHeight="1"/>
    <row r="33358" ht="12" customHeight="1"/>
    <row r="33359" ht="12" customHeight="1"/>
    <row r="33360" ht="12" customHeight="1"/>
    <row r="33361" ht="12" customHeight="1"/>
    <row r="33362" ht="12" customHeight="1"/>
    <row r="33363" ht="12" customHeight="1"/>
    <row r="33364" ht="12" customHeight="1"/>
    <row r="33365" ht="12" customHeight="1"/>
    <row r="33366" ht="12" customHeight="1"/>
    <row r="33367" ht="12" customHeight="1"/>
    <row r="33368" ht="12" customHeight="1"/>
    <row r="33369" ht="12" customHeight="1"/>
    <row r="33370" ht="12" customHeight="1"/>
    <row r="33371" ht="12" customHeight="1"/>
    <row r="33372" ht="12" customHeight="1"/>
    <row r="33373" ht="12" customHeight="1"/>
    <row r="33374" ht="12" customHeight="1"/>
    <row r="33375" ht="12" customHeight="1"/>
    <row r="33376" ht="12" customHeight="1"/>
    <row r="33377" ht="12" customHeight="1"/>
    <row r="33378" ht="12" customHeight="1"/>
    <row r="33379" ht="12" customHeight="1"/>
    <row r="33380" ht="12" customHeight="1"/>
    <row r="33381" ht="12" customHeight="1"/>
    <row r="33382" ht="12" customHeight="1"/>
    <row r="33383" ht="12" customHeight="1"/>
    <row r="33384" ht="12" customHeight="1"/>
    <row r="33385" ht="12" customHeight="1"/>
    <row r="33386" ht="12" customHeight="1"/>
    <row r="33387" ht="12" customHeight="1"/>
    <row r="33388" ht="12" customHeight="1"/>
    <row r="33389" ht="12" customHeight="1"/>
    <row r="33390" ht="12" customHeight="1"/>
    <row r="33391" ht="12" customHeight="1"/>
    <row r="33392" ht="12" customHeight="1"/>
    <row r="33393" ht="12" customHeight="1"/>
    <row r="33394" ht="12" customHeight="1"/>
    <row r="33395" ht="12" customHeight="1"/>
    <row r="33396" ht="12" customHeight="1"/>
    <row r="33397" ht="12" customHeight="1"/>
    <row r="33398" ht="12" customHeight="1"/>
    <row r="33399" ht="12" customHeight="1"/>
    <row r="33400" ht="12" customHeight="1"/>
    <row r="33401" ht="12" customHeight="1"/>
    <row r="33402" ht="12" customHeight="1"/>
    <row r="33403" ht="12" customHeight="1"/>
    <row r="33404" ht="12" customHeight="1"/>
    <row r="33405" ht="12" customHeight="1"/>
    <row r="33406" ht="12" customHeight="1"/>
    <row r="33407" ht="12" customHeight="1"/>
    <row r="33408" ht="12" customHeight="1"/>
    <row r="33409" ht="12" customHeight="1"/>
    <row r="33410" ht="12" customHeight="1"/>
    <row r="33411" ht="12" customHeight="1"/>
    <row r="33412" ht="12" customHeight="1"/>
    <row r="33413" ht="12" customHeight="1"/>
    <row r="33414" ht="12" customHeight="1"/>
    <row r="33415" ht="12" customHeight="1"/>
    <row r="33416" ht="12" customHeight="1"/>
    <row r="33417" ht="12" customHeight="1"/>
    <row r="33418" ht="12" customHeight="1"/>
    <row r="33419" ht="12" customHeight="1"/>
    <row r="33420" ht="12" customHeight="1"/>
    <row r="33421" ht="12" customHeight="1"/>
    <row r="33422" ht="12" customHeight="1"/>
    <row r="33423" ht="12" customHeight="1"/>
    <row r="33424" ht="12" customHeight="1"/>
    <row r="33425" ht="12" customHeight="1"/>
    <row r="33426" ht="12" customHeight="1"/>
    <row r="33427" ht="12" customHeight="1"/>
    <row r="33428" ht="12" customHeight="1"/>
    <row r="33429" ht="12" customHeight="1"/>
    <row r="33430" ht="12" customHeight="1"/>
    <row r="33431" ht="12" customHeight="1"/>
    <row r="33432" ht="12" customHeight="1"/>
    <row r="33433" ht="12" customHeight="1"/>
    <row r="33434" ht="12" customHeight="1"/>
    <row r="33435" ht="12" customHeight="1"/>
    <row r="33436" ht="12" customHeight="1"/>
    <row r="33437" ht="12" customHeight="1"/>
    <row r="33438" ht="12" customHeight="1"/>
    <row r="33439" ht="12" customHeight="1"/>
    <row r="33440" ht="12" customHeight="1"/>
    <row r="33441" ht="12" customHeight="1"/>
    <row r="33442" ht="12" customHeight="1"/>
    <row r="33443" ht="12" customHeight="1"/>
    <row r="33444" ht="12" customHeight="1"/>
    <row r="33445" ht="12" customHeight="1"/>
    <row r="33446" ht="12" customHeight="1"/>
    <row r="33447" ht="12" customHeight="1"/>
    <row r="33448" ht="12" customHeight="1"/>
    <row r="33449" ht="12" customHeight="1"/>
    <row r="33450" ht="12" customHeight="1"/>
    <row r="33451" ht="12" customHeight="1"/>
    <row r="33452" ht="12" customHeight="1"/>
    <row r="33453" ht="12" customHeight="1"/>
    <row r="33454" ht="12" customHeight="1"/>
    <row r="33455" ht="12" customHeight="1"/>
    <row r="33456" ht="12" customHeight="1"/>
    <row r="33457" ht="12" customHeight="1"/>
    <row r="33458" ht="12" customHeight="1"/>
    <row r="33459" ht="12" customHeight="1"/>
    <row r="33460" ht="12" customHeight="1"/>
    <row r="33461" ht="12" customHeight="1"/>
    <row r="33462" ht="12" customHeight="1"/>
    <row r="33463" ht="12" customHeight="1"/>
    <row r="33464" ht="12" customHeight="1"/>
    <row r="33465" ht="12" customHeight="1"/>
    <row r="33466" ht="12" customHeight="1"/>
    <row r="33467" ht="12" customHeight="1"/>
    <row r="33468" ht="12" customHeight="1"/>
    <row r="33469" ht="12" customHeight="1"/>
    <row r="33470" ht="12" customHeight="1"/>
    <row r="33471" ht="12" customHeight="1"/>
    <row r="33472" ht="12" customHeight="1"/>
    <row r="33473" ht="12" customHeight="1"/>
    <row r="33474" ht="12" customHeight="1"/>
    <row r="33475" ht="12" customHeight="1"/>
    <row r="33476" ht="12" customHeight="1"/>
    <row r="33477" ht="12" customHeight="1"/>
    <row r="33478" ht="12" customHeight="1"/>
    <row r="33479" ht="12" customHeight="1"/>
    <row r="33480" ht="12" customHeight="1"/>
    <row r="33481" ht="12" customHeight="1"/>
    <row r="33482" ht="12" customHeight="1"/>
    <row r="33483" ht="12" customHeight="1"/>
    <row r="33484" ht="12" customHeight="1"/>
    <row r="33485" ht="12" customHeight="1"/>
    <row r="33486" ht="12" customHeight="1"/>
    <row r="33487" ht="12" customHeight="1"/>
    <row r="33488" ht="12" customHeight="1"/>
    <row r="33489" ht="12" customHeight="1"/>
    <row r="33490" ht="12" customHeight="1"/>
    <row r="33491" ht="12" customHeight="1"/>
    <row r="33492" ht="12" customHeight="1"/>
    <row r="33493" ht="12" customHeight="1"/>
    <row r="33494" ht="12" customHeight="1"/>
    <row r="33495" ht="12" customHeight="1"/>
    <row r="33496" ht="12" customHeight="1"/>
    <row r="33497" ht="12" customHeight="1"/>
    <row r="33498" ht="12" customHeight="1"/>
    <row r="33499" ht="12" customHeight="1"/>
    <row r="33500" ht="12" customHeight="1"/>
    <row r="33501" ht="12" customHeight="1"/>
    <row r="33502" ht="12" customHeight="1"/>
    <row r="33503" ht="12" customHeight="1"/>
    <row r="33504" ht="12" customHeight="1"/>
    <row r="33505" ht="12" customHeight="1"/>
    <row r="33506" ht="12" customHeight="1"/>
    <row r="33507" ht="12" customHeight="1"/>
    <row r="33508" ht="12" customHeight="1"/>
    <row r="33509" ht="12" customHeight="1"/>
    <row r="33510" ht="12" customHeight="1"/>
    <row r="33511" ht="12" customHeight="1"/>
    <row r="33512" ht="12" customHeight="1"/>
    <row r="33513" ht="12" customHeight="1"/>
    <row r="33514" ht="12" customHeight="1"/>
    <row r="33515" ht="12" customHeight="1"/>
    <row r="33516" ht="12" customHeight="1"/>
    <row r="33517" ht="12" customHeight="1"/>
    <row r="33518" ht="12" customHeight="1"/>
    <row r="33519" ht="12" customHeight="1"/>
    <row r="33520" ht="12" customHeight="1"/>
    <row r="33521" ht="12" customHeight="1"/>
    <row r="33522" ht="12" customHeight="1"/>
    <row r="33523" ht="12" customHeight="1"/>
    <row r="33524" ht="12" customHeight="1"/>
    <row r="33525" ht="12" customHeight="1"/>
    <row r="33526" ht="12" customHeight="1"/>
    <row r="33527" ht="12" customHeight="1"/>
    <row r="33528" ht="12" customHeight="1"/>
    <row r="33529" ht="12" customHeight="1"/>
    <row r="33530" ht="12" customHeight="1"/>
    <row r="33531" ht="12" customHeight="1"/>
    <row r="33532" ht="12" customHeight="1"/>
    <row r="33533" ht="12" customHeight="1"/>
    <row r="33534" ht="12" customHeight="1"/>
    <row r="33535" ht="12" customHeight="1"/>
    <row r="33536" ht="12" customHeight="1"/>
    <row r="33537" ht="12" customHeight="1"/>
    <row r="33538" ht="12" customHeight="1"/>
    <row r="33539" ht="12" customHeight="1"/>
    <row r="33540" ht="12" customHeight="1"/>
    <row r="33541" ht="12" customHeight="1"/>
    <row r="33542" ht="12" customHeight="1"/>
    <row r="33543" ht="12" customHeight="1"/>
    <row r="33544" ht="12" customHeight="1"/>
    <row r="33545" ht="12" customHeight="1"/>
    <row r="33546" ht="12" customHeight="1"/>
    <row r="33547" ht="12" customHeight="1"/>
    <row r="33548" ht="12" customHeight="1"/>
    <row r="33549" ht="12" customHeight="1"/>
    <row r="33550" ht="12" customHeight="1"/>
    <row r="33551" ht="12" customHeight="1"/>
    <row r="33552" ht="12" customHeight="1"/>
    <row r="33553" ht="12" customHeight="1"/>
    <row r="33554" ht="12" customHeight="1"/>
    <row r="33555" ht="12" customHeight="1"/>
    <row r="33556" ht="12" customHeight="1"/>
    <row r="33557" ht="12" customHeight="1"/>
    <row r="33558" ht="12" customHeight="1"/>
    <row r="33559" ht="12" customHeight="1"/>
    <row r="33560" ht="12" customHeight="1"/>
    <row r="33561" ht="12" customHeight="1"/>
    <row r="33562" ht="12" customHeight="1"/>
    <row r="33563" ht="12" customHeight="1"/>
    <row r="33564" ht="12" customHeight="1"/>
    <row r="33565" ht="12" customHeight="1"/>
    <row r="33566" ht="12" customHeight="1"/>
    <row r="33567" ht="12" customHeight="1"/>
    <row r="33568" ht="12" customHeight="1"/>
    <row r="33569" ht="12" customHeight="1"/>
    <row r="33570" ht="12" customHeight="1"/>
    <row r="33571" ht="12" customHeight="1"/>
    <row r="33572" ht="12" customHeight="1"/>
    <row r="33573" ht="12" customHeight="1"/>
    <row r="33574" ht="12" customHeight="1"/>
    <row r="33575" ht="12" customHeight="1"/>
    <row r="33576" ht="12" customHeight="1"/>
    <row r="33577" ht="12" customHeight="1"/>
    <row r="33578" ht="12" customHeight="1"/>
    <row r="33579" ht="12" customHeight="1"/>
    <row r="33580" ht="12" customHeight="1"/>
    <row r="33581" ht="12" customHeight="1"/>
    <row r="33582" ht="12" customHeight="1"/>
    <row r="33583" ht="12" customHeight="1"/>
    <row r="33584" ht="12" customHeight="1"/>
    <row r="33585" ht="12" customHeight="1"/>
    <row r="33586" ht="12" customHeight="1"/>
    <row r="33587" ht="12" customHeight="1"/>
    <row r="33588" ht="12" customHeight="1"/>
    <row r="33589" ht="12" customHeight="1"/>
    <row r="33590" ht="12" customHeight="1"/>
    <row r="33591" ht="12" customHeight="1"/>
    <row r="33592" ht="12" customHeight="1"/>
    <row r="33593" ht="12" customHeight="1"/>
    <row r="33594" ht="12" customHeight="1"/>
    <row r="33595" ht="12" customHeight="1"/>
    <row r="33596" ht="12" customHeight="1"/>
    <row r="33597" ht="12" customHeight="1"/>
    <row r="33598" ht="12" customHeight="1"/>
    <row r="33599" ht="12" customHeight="1"/>
    <row r="33600" ht="12" customHeight="1"/>
    <row r="33601" ht="12" customHeight="1"/>
    <row r="33602" ht="12" customHeight="1"/>
    <row r="33603" ht="12" customHeight="1"/>
    <row r="33604" ht="12" customHeight="1"/>
    <row r="33605" ht="12" customHeight="1"/>
    <row r="33606" ht="12" customHeight="1"/>
    <row r="33607" ht="12" customHeight="1"/>
    <row r="33608" ht="12" customHeight="1"/>
    <row r="33609" ht="12" customHeight="1"/>
    <row r="33610" ht="12" customHeight="1"/>
    <row r="33611" ht="12" customHeight="1"/>
    <row r="33612" ht="12" customHeight="1"/>
    <row r="33613" ht="12" customHeight="1"/>
    <row r="33614" ht="12" customHeight="1"/>
    <row r="33615" ht="12" customHeight="1"/>
    <row r="33616" ht="12" customHeight="1"/>
    <row r="33617" ht="12" customHeight="1"/>
    <row r="33618" ht="12" customHeight="1"/>
    <row r="33619" ht="12" customHeight="1"/>
    <row r="33620" ht="12" customHeight="1"/>
    <row r="33621" ht="12" customHeight="1"/>
    <row r="33622" ht="12" customHeight="1"/>
    <row r="33623" ht="12" customHeight="1"/>
    <row r="33624" ht="12" customHeight="1"/>
    <row r="33625" ht="12" customHeight="1"/>
    <row r="33626" ht="12" customHeight="1"/>
    <row r="33627" ht="12" customHeight="1"/>
    <row r="33628" ht="12" customHeight="1"/>
    <row r="33629" ht="12" customHeight="1"/>
    <row r="33630" ht="12" customHeight="1"/>
    <row r="33631" ht="12" customHeight="1"/>
    <row r="33632" ht="12" customHeight="1"/>
    <row r="33633" ht="12" customHeight="1"/>
    <row r="33634" ht="12" customHeight="1"/>
    <row r="33635" ht="12" customHeight="1"/>
    <row r="33636" ht="12" customHeight="1"/>
    <row r="33637" ht="12" customHeight="1"/>
    <row r="33638" ht="12" customHeight="1"/>
    <row r="33639" ht="12" customHeight="1"/>
    <row r="33640" ht="12" customHeight="1"/>
    <row r="33641" ht="12" customHeight="1"/>
    <row r="33642" ht="12" customHeight="1"/>
    <row r="33643" ht="12" customHeight="1"/>
    <row r="33644" ht="12" customHeight="1"/>
    <row r="33645" ht="12" customHeight="1"/>
    <row r="33646" ht="12" customHeight="1"/>
    <row r="33647" ht="12" customHeight="1"/>
    <row r="33648" ht="12" customHeight="1"/>
    <row r="33649" ht="12" customHeight="1"/>
    <row r="33650" ht="12" customHeight="1"/>
    <row r="33651" ht="12" customHeight="1"/>
    <row r="33652" ht="12" customHeight="1"/>
    <row r="33653" ht="12" customHeight="1"/>
    <row r="33654" ht="12" customHeight="1"/>
    <row r="33655" ht="12" customHeight="1"/>
    <row r="33656" ht="12" customHeight="1"/>
    <row r="33657" ht="12" customHeight="1"/>
    <row r="33658" ht="12" customHeight="1"/>
    <row r="33659" ht="12" customHeight="1"/>
    <row r="33660" ht="12" customHeight="1"/>
    <row r="33661" ht="12" customHeight="1"/>
    <row r="33662" ht="12" customHeight="1"/>
    <row r="33663" ht="12" customHeight="1"/>
    <row r="33664" ht="12" customHeight="1"/>
    <row r="33665" ht="12" customHeight="1"/>
    <row r="33666" ht="12" customHeight="1"/>
    <row r="33667" ht="12" customHeight="1"/>
    <row r="33668" ht="12" customHeight="1"/>
    <row r="33669" ht="12" customHeight="1"/>
    <row r="33670" ht="12" customHeight="1"/>
    <row r="33671" ht="12" customHeight="1"/>
    <row r="33672" ht="12" customHeight="1"/>
    <row r="33673" ht="12" customHeight="1"/>
    <row r="33674" ht="12" customHeight="1"/>
    <row r="33675" ht="12" customHeight="1"/>
    <row r="33676" ht="12" customHeight="1"/>
    <row r="33677" ht="12" customHeight="1"/>
    <row r="33678" ht="12" customHeight="1"/>
    <row r="33679" ht="12" customHeight="1"/>
    <row r="33680" ht="12" customHeight="1"/>
    <row r="33681" ht="12" customHeight="1"/>
    <row r="33682" ht="12" customHeight="1"/>
    <row r="33683" ht="12" customHeight="1"/>
    <row r="33684" ht="12" customHeight="1"/>
    <row r="33685" ht="12" customHeight="1"/>
    <row r="33686" ht="12" customHeight="1"/>
    <row r="33687" ht="12" customHeight="1"/>
    <row r="33688" ht="12" customHeight="1"/>
    <row r="33689" ht="12" customHeight="1"/>
    <row r="33690" ht="12" customHeight="1"/>
    <row r="33691" ht="12" customHeight="1"/>
    <row r="33692" ht="12" customHeight="1"/>
    <row r="33693" ht="12" customHeight="1"/>
    <row r="33694" ht="12" customHeight="1"/>
    <row r="33695" ht="12" customHeight="1"/>
    <row r="33696" ht="12" customHeight="1"/>
    <row r="33697" ht="12" customHeight="1"/>
    <row r="33698" ht="12" customHeight="1"/>
    <row r="33699" ht="12" customHeight="1"/>
    <row r="33700" ht="12" customHeight="1"/>
    <row r="33701" ht="12" customHeight="1"/>
    <row r="33702" ht="12" customHeight="1"/>
    <row r="33703" ht="12" customHeight="1"/>
    <row r="33704" ht="12" customHeight="1"/>
    <row r="33705" ht="12" customHeight="1"/>
    <row r="33706" ht="12" customHeight="1"/>
    <row r="33707" ht="12" customHeight="1"/>
    <row r="33708" ht="12" customHeight="1"/>
    <row r="33709" ht="12" customHeight="1"/>
    <row r="33710" ht="12" customHeight="1"/>
    <row r="33711" ht="12" customHeight="1"/>
    <row r="33712" ht="12" customHeight="1"/>
    <row r="33713" ht="12" customHeight="1"/>
    <row r="33714" ht="12" customHeight="1"/>
    <row r="33715" ht="12" customHeight="1"/>
    <row r="33716" ht="12" customHeight="1"/>
    <row r="33717" ht="12" customHeight="1"/>
    <row r="33718" ht="12" customHeight="1"/>
    <row r="33719" ht="12" customHeight="1"/>
    <row r="33720" ht="12" customHeight="1"/>
    <row r="33721" ht="12" customHeight="1"/>
    <row r="33722" ht="12" customHeight="1"/>
    <row r="33723" ht="12" customHeight="1"/>
    <row r="33724" ht="12" customHeight="1"/>
    <row r="33725" ht="12" customHeight="1"/>
    <row r="33726" ht="12" customHeight="1"/>
    <row r="33727" ht="12" customHeight="1"/>
    <row r="33728" ht="12" customHeight="1"/>
    <row r="33729" ht="12" customHeight="1"/>
    <row r="33730" ht="12" customHeight="1"/>
    <row r="33731" ht="12" customHeight="1"/>
    <row r="33732" ht="12" customHeight="1"/>
    <row r="33733" ht="12" customHeight="1"/>
    <row r="33734" ht="12" customHeight="1"/>
    <row r="33735" ht="12" customHeight="1"/>
    <row r="33736" ht="12" customHeight="1"/>
    <row r="33737" ht="12" customHeight="1"/>
    <row r="33738" ht="12" customHeight="1"/>
    <row r="33739" ht="12" customHeight="1"/>
    <row r="33740" ht="12" customHeight="1"/>
    <row r="33741" ht="12" customHeight="1"/>
    <row r="33742" ht="12" customHeight="1"/>
    <row r="33743" ht="12" customHeight="1"/>
    <row r="33744" ht="12" customHeight="1"/>
    <row r="33745" ht="12" customHeight="1"/>
    <row r="33746" ht="12" customHeight="1"/>
    <row r="33747" ht="12" customHeight="1"/>
    <row r="33748" ht="12" customHeight="1"/>
    <row r="33749" ht="12" customHeight="1"/>
    <row r="33750" ht="12" customHeight="1"/>
    <row r="33751" ht="12" customHeight="1"/>
    <row r="33752" ht="12" customHeight="1"/>
    <row r="33753" ht="12" customHeight="1"/>
    <row r="33754" ht="12" customHeight="1"/>
    <row r="33755" ht="12" customHeight="1"/>
    <row r="33756" ht="12" customHeight="1"/>
    <row r="33757" ht="12" customHeight="1"/>
    <row r="33758" ht="12" customHeight="1"/>
    <row r="33759" ht="12" customHeight="1"/>
    <row r="33760" ht="12" customHeight="1"/>
    <row r="33761" ht="12" customHeight="1"/>
    <row r="33762" ht="12" customHeight="1"/>
    <row r="33763" ht="12" customHeight="1"/>
    <row r="33764" ht="12" customHeight="1"/>
    <row r="33765" ht="12" customHeight="1"/>
    <row r="33766" ht="12" customHeight="1"/>
    <row r="33767" ht="12" customHeight="1"/>
    <row r="33768" ht="12" customHeight="1"/>
    <row r="33769" ht="12" customHeight="1"/>
    <row r="33770" ht="12" customHeight="1"/>
    <row r="33771" ht="12" customHeight="1"/>
    <row r="33772" ht="12" customHeight="1"/>
    <row r="33773" ht="12" customHeight="1"/>
    <row r="33774" ht="12" customHeight="1"/>
    <row r="33775" ht="12" customHeight="1"/>
    <row r="33776" ht="12" customHeight="1"/>
    <row r="33777" ht="12" customHeight="1"/>
    <row r="33778" ht="12" customHeight="1"/>
    <row r="33779" ht="12" customHeight="1"/>
    <row r="33780" ht="12" customHeight="1"/>
    <row r="33781" ht="12" customHeight="1"/>
    <row r="33782" ht="12" customHeight="1"/>
    <row r="33783" ht="12" customHeight="1"/>
    <row r="33784" ht="12" customHeight="1"/>
    <row r="33785" ht="12" customHeight="1"/>
    <row r="33786" ht="12" customHeight="1"/>
    <row r="33787" ht="12" customHeight="1"/>
    <row r="33788" ht="12" customHeight="1"/>
    <row r="33789" ht="12" customHeight="1"/>
    <row r="33790" ht="12" customHeight="1"/>
    <row r="33791" ht="12" customHeight="1"/>
    <row r="33792" ht="12" customHeight="1"/>
    <row r="33793" ht="12" customHeight="1"/>
    <row r="33794" ht="12" customHeight="1"/>
    <row r="33795" ht="12" customHeight="1"/>
    <row r="33796" ht="12" customHeight="1"/>
    <row r="33797" ht="12" customHeight="1"/>
    <row r="33798" ht="12" customHeight="1"/>
    <row r="33799" ht="12" customHeight="1"/>
    <row r="33800" ht="12" customHeight="1"/>
    <row r="33801" ht="12" customHeight="1"/>
    <row r="33802" ht="12" customHeight="1"/>
    <row r="33803" ht="12" customHeight="1"/>
    <row r="33804" ht="12" customHeight="1"/>
    <row r="33805" ht="12" customHeight="1"/>
    <row r="33806" ht="12" customHeight="1"/>
    <row r="33807" ht="12" customHeight="1"/>
    <row r="33808" ht="12" customHeight="1"/>
    <row r="33809" ht="12" customHeight="1"/>
    <row r="33810" ht="12" customHeight="1"/>
    <row r="33811" ht="12" customHeight="1"/>
    <row r="33812" ht="12" customHeight="1"/>
    <row r="33813" ht="12" customHeight="1"/>
    <row r="33814" ht="12" customHeight="1"/>
    <row r="33815" ht="12" customHeight="1"/>
    <row r="33816" ht="12" customHeight="1"/>
    <row r="33817" ht="12" customHeight="1"/>
    <row r="33818" ht="12" customHeight="1"/>
    <row r="33819" ht="12" customHeight="1"/>
    <row r="33820" ht="12" customHeight="1"/>
    <row r="33821" ht="12" customHeight="1"/>
    <row r="33822" ht="12" customHeight="1"/>
    <row r="33823" ht="12" customHeight="1"/>
    <row r="33824" ht="12" customHeight="1"/>
    <row r="33825" ht="12" customHeight="1"/>
    <row r="33826" ht="12" customHeight="1"/>
    <row r="33827" ht="12" customHeight="1"/>
    <row r="33828" ht="12" customHeight="1"/>
    <row r="33829" ht="12" customHeight="1"/>
    <row r="33830" ht="12" customHeight="1"/>
    <row r="33831" ht="12" customHeight="1"/>
    <row r="33832" ht="12" customHeight="1"/>
    <row r="33833" ht="12" customHeight="1"/>
    <row r="33834" ht="12" customHeight="1"/>
    <row r="33835" ht="12" customHeight="1"/>
    <row r="33836" ht="12" customHeight="1"/>
    <row r="33837" ht="12" customHeight="1"/>
    <row r="33838" ht="12" customHeight="1"/>
    <row r="33839" ht="12" customHeight="1"/>
    <row r="33840" ht="12" customHeight="1"/>
    <row r="33841" ht="12" customHeight="1"/>
    <row r="33842" ht="12" customHeight="1"/>
    <row r="33843" ht="12" customHeight="1"/>
    <row r="33844" ht="12" customHeight="1"/>
    <row r="33845" ht="12" customHeight="1"/>
    <row r="33846" ht="12" customHeight="1"/>
    <row r="33847" ht="12" customHeight="1"/>
    <row r="33848" ht="12" customHeight="1"/>
    <row r="33849" ht="12" customHeight="1"/>
    <row r="33850" ht="12" customHeight="1"/>
    <row r="33851" ht="12" customHeight="1"/>
    <row r="33852" ht="12" customHeight="1"/>
    <row r="33853" ht="12" customHeight="1"/>
    <row r="33854" ht="12" customHeight="1"/>
    <row r="33855" ht="12" customHeight="1"/>
    <row r="33856" ht="12" customHeight="1"/>
    <row r="33857" ht="12" customHeight="1"/>
    <row r="33858" ht="12" customHeight="1"/>
    <row r="33859" ht="12" customHeight="1"/>
    <row r="33860" ht="12" customHeight="1"/>
    <row r="33861" ht="12" customHeight="1"/>
    <row r="33862" ht="12" customHeight="1"/>
    <row r="33863" ht="12" customHeight="1"/>
    <row r="33864" ht="12" customHeight="1"/>
    <row r="33865" ht="12" customHeight="1"/>
    <row r="33866" ht="12" customHeight="1"/>
    <row r="33867" ht="12" customHeight="1"/>
    <row r="33868" ht="12" customHeight="1"/>
    <row r="33869" ht="12" customHeight="1"/>
    <row r="33870" ht="12" customHeight="1"/>
    <row r="33871" ht="12" customHeight="1"/>
    <row r="33872" ht="12" customHeight="1"/>
    <row r="33873" ht="12" customHeight="1"/>
    <row r="33874" ht="12" customHeight="1"/>
    <row r="33875" ht="12" customHeight="1"/>
    <row r="33876" ht="12" customHeight="1"/>
    <row r="33877" ht="12" customHeight="1"/>
    <row r="33878" ht="12" customHeight="1"/>
    <row r="33879" ht="12" customHeight="1"/>
    <row r="33880" ht="12" customHeight="1"/>
    <row r="33881" ht="12" customHeight="1"/>
    <row r="33882" ht="12" customHeight="1"/>
    <row r="33883" ht="12" customHeight="1"/>
    <row r="33884" ht="12" customHeight="1"/>
    <row r="33885" ht="12" customHeight="1"/>
    <row r="33886" ht="12" customHeight="1"/>
    <row r="33887" ht="12" customHeight="1"/>
    <row r="33888" ht="12" customHeight="1"/>
    <row r="33889" ht="12" customHeight="1"/>
    <row r="33890" ht="12" customHeight="1"/>
    <row r="33891" ht="12" customHeight="1"/>
    <row r="33892" ht="12" customHeight="1"/>
    <row r="33893" ht="12" customHeight="1"/>
    <row r="33894" ht="12" customHeight="1"/>
    <row r="33895" ht="12" customHeight="1"/>
    <row r="33896" ht="12" customHeight="1"/>
    <row r="33897" ht="12" customHeight="1"/>
    <row r="33898" ht="12" customHeight="1"/>
    <row r="33899" ht="12" customHeight="1"/>
    <row r="33900" ht="12" customHeight="1"/>
    <row r="33901" ht="12" customHeight="1"/>
    <row r="33902" ht="12" customHeight="1"/>
    <row r="33903" ht="12" customHeight="1"/>
    <row r="33904" ht="12" customHeight="1"/>
    <row r="33905" ht="12" customHeight="1"/>
    <row r="33906" ht="12" customHeight="1"/>
    <row r="33907" ht="12" customHeight="1"/>
    <row r="33908" ht="12" customHeight="1"/>
    <row r="33909" ht="12" customHeight="1"/>
    <row r="33910" ht="12" customHeight="1"/>
    <row r="33911" ht="12" customHeight="1"/>
    <row r="33912" ht="12" customHeight="1"/>
    <row r="33913" ht="12" customHeight="1"/>
    <row r="33914" ht="12" customHeight="1"/>
    <row r="33915" ht="12" customHeight="1"/>
    <row r="33916" ht="12" customHeight="1"/>
    <row r="33917" ht="12" customHeight="1"/>
    <row r="33918" ht="12" customHeight="1"/>
    <row r="33919" ht="12" customHeight="1"/>
    <row r="33920" ht="12" customHeight="1"/>
    <row r="33921" ht="12" customHeight="1"/>
    <row r="33922" ht="12" customHeight="1"/>
    <row r="33923" ht="12" customHeight="1"/>
    <row r="33924" ht="12" customHeight="1"/>
    <row r="33925" ht="12" customHeight="1"/>
    <row r="33926" ht="12" customHeight="1"/>
    <row r="33927" ht="12" customHeight="1"/>
    <row r="33928" ht="12" customHeight="1"/>
    <row r="33929" ht="12" customHeight="1"/>
    <row r="33930" ht="12" customHeight="1"/>
    <row r="33931" ht="12" customHeight="1"/>
    <row r="33932" ht="12" customHeight="1"/>
    <row r="33933" ht="12" customHeight="1"/>
    <row r="33934" ht="12" customHeight="1"/>
    <row r="33935" ht="12" customHeight="1"/>
    <row r="33936" ht="12" customHeight="1"/>
    <row r="33937" ht="12" customHeight="1"/>
    <row r="33938" ht="12" customHeight="1"/>
    <row r="33939" ht="12" customHeight="1"/>
    <row r="33940" ht="12" customHeight="1"/>
    <row r="33941" ht="12" customHeight="1"/>
    <row r="33942" ht="12" customHeight="1"/>
    <row r="33943" ht="12" customHeight="1"/>
    <row r="33944" ht="12" customHeight="1"/>
    <row r="33945" ht="12" customHeight="1"/>
    <row r="33946" ht="12" customHeight="1"/>
    <row r="33947" ht="12" customHeight="1"/>
    <row r="33948" ht="12" customHeight="1"/>
    <row r="33949" ht="12" customHeight="1"/>
    <row r="33950" ht="12" customHeight="1"/>
    <row r="33951" ht="12" customHeight="1"/>
    <row r="33952" ht="12" customHeight="1"/>
    <row r="33953" ht="12" customHeight="1"/>
    <row r="33954" ht="12" customHeight="1"/>
    <row r="33955" ht="12" customHeight="1"/>
    <row r="33956" ht="12" customHeight="1"/>
    <row r="33957" ht="12" customHeight="1"/>
    <row r="33958" ht="12" customHeight="1"/>
    <row r="33959" ht="12" customHeight="1"/>
    <row r="33960" ht="12" customHeight="1"/>
    <row r="33961" ht="12" customHeight="1"/>
    <row r="33962" ht="12" customHeight="1"/>
    <row r="33963" ht="12" customHeight="1"/>
    <row r="33964" ht="12" customHeight="1"/>
    <row r="33965" ht="12" customHeight="1"/>
    <row r="33966" ht="12" customHeight="1"/>
    <row r="33967" ht="12" customHeight="1"/>
    <row r="33968" ht="12" customHeight="1"/>
    <row r="33969" ht="12" customHeight="1"/>
    <row r="33970" ht="12" customHeight="1"/>
    <row r="33971" ht="12" customHeight="1"/>
    <row r="33972" ht="12" customHeight="1"/>
    <row r="33973" ht="12" customHeight="1"/>
    <row r="33974" ht="12" customHeight="1"/>
    <row r="33975" ht="12" customHeight="1"/>
    <row r="33976" ht="12" customHeight="1"/>
    <row r="33977" ht="12" customHeight="1"/>
    <row r="33978" ht="12" customHeight="1"/>
    <row r="33979" ht="12" customHeight="1"/>
    <row r="33980" ht="12" customHeight="1"/>
    <row r="33981" ht="12" customHeight="1"/>
    <row r="33982" ht="12" customHeight="1"/>
    <row r="33983" ht="12" customHeight="1"/>
    <row r="33984" ht="12" customHeight="1"/>
    <row r="33985" ht="12" customHeight="1"/>
    <row r="33986" ht="12" customHeight="1"/>
    <row r="33987" ht="12" customHeight="1"/>
    <row r="33988" ht="12" customHeight="1"/>
    <row r="33989" ht="12" customHeight="1"/>
    <row r="33990" ht="12" customHeight="1"/>
    <row r="33991" ht="12" customHeight="1"/>
    <row r="33992" ht="12" customHeight="1"/>
    <row r="33993" ht="12" customHeight="1"/>
    <row r="33994" ht="12" customHeight="1"/>
    <row r="33995" ht="12" customHeight="1"/>
    <row r="33996" ht="12" customHeight="1"/>
    <row r="33997" ht="12" customHeight="1"/>
    <row r="33998" ht="12" customHeight="1"/>
    <row r="33999" ht="12" customHeight="1"/>
    <row r="34000" ht="12" customHeight="1"/>
    <row r="34001" ht="12" customHeight="1"/>
    <row r="34002" ht="12" customHeight="1"/>
    <row r="34003" ht="12" customHeight="1"/>
    <row r="34004" ht="12" customHeight="1"/>
    <row r="34005" ht="12" customHeight="1"/>
    <row r="34006" ht="12" customHeight="1"/>
    <row r="34007" ht="12" customHeight="1"/>
    <row r="34008" ht="12" customHeight="1"/>
    <row r="34009" ht="12" customHeight="1"/>
    <row r="34010" ht="12" customHeight="1"/>
    <row r="34011" ht="12" customHeight="1"/>
    <row r="34012" ht="12" customHeight="1"/>
    <row r="34013" ht="12" customHeight="1"/>
    <row r="34014" ht="12" customHeight="1"/>
    <row r="34015" ht="12" customHeight="1"/>
    <row r="34016" ht="12" customHeight="1"/>
    <row r="34017" ht="12" customHeight="1"/>
    <row r="34018" ht="12" customHeight="1"/>
    <row r="34019" ht="12" customHeight="1"/>
    <row r="34020" ht="12" customHeight="1"/>
    <row r="34021" ht="12" customHeight="1"/>
    <row r="34022" ht="12" customHeight="1"/>
    <row r="34023" ht="12" customHeight="1"/>
    <row r="34024" ht="12" customHeight="1"/>
    <row r="34025" ht="12" customHeight="1"/>
    <row r="34026" ht="12" customHeight="1"/>
    <row r="34027" ht="12" customHeight="1"/>
    <row r="34028" ht="12" customHeight="1"/>
    <row r="34029" ht="12" customHeight="1"/>
    <row r="34030" ht="12" customHeight="1"/>
    <row r="34031" ht="12" customHeight="1"/>
    <row r="34032" ht="12" customHeight="1"/>
    <row r="34033" ht="12" customHeight="1"/>
    <row r="34034" ht="12" customHeight="1"/>
    <row r="34035" ht="12" customHeight="1"/>
    <row r="34036" ht="12" customHeight="1"/>
    <row r="34037" ht="12" customHeight="1"/>
    <row r="34038" ht="12" customHeight="1"/>
    <row r="34039" ht="12" customHeight="1"/>
    <row r="34040" ht="12" customHeight="1"/>
    <row r="34041" ht="12" customHeight="1"/>
    <row r="34042" ht="12" customHeight="1"/>
    <row r="34043" ht="12" customHeight="1"/>
    <row r="34044" ht="12" customHeight="1"/>
    <row r="34045" ht="12" customHeight="1"/>
    <row r="34046" ht="12" customHeight="1"/>
    <row r="34047" ht="12" customHeight="1"/>
    <row r="34048" ht="12" customHeight="1"/>
    <row r="34049" ht="12" customHeight="1"/>
    <row r="34050" ht="12" customHeight="1"/>
    <row r="34051" ht="12" customHeight="1"/>
    <row r="34052" ht="12" customHeight="1"/>
    <row r="34053" ht="12" customHeight="1"/>
    <row r="34054" ht="12" customHeight="1"/>
    <row r="34055" ht="12" customHeight="1"/>
    <row r="34056" ht="12" customHeight="1"/>
    <row r="34057" ht="12" customHeight="1"/>
    <row r="34058" ht="12" customHeight="1"/>
    <row r="34059" ht="12" customHeight="1"/>
    <row r="34060" ht="12" customHeight="1"/>
    <row r="34061" ht="12" customHeight="1"/>
    <row r="34062" ht="12" customHeight="1"/>
    <row r="34063" ht="12" customHeight="1"/>
    <row r="34064" ht="12" customHeight="1"/>
    <row r="34065" ht="12" customHeight="1"/>
    <row r="34066" ht="12" customHeight="1"/>
    <row r="34067" ht="12" customHeight="1"/>
    <row r="34068" ht="12" customHeight="1"/>
    <row r="34069" ht="12" customHeight="1"/>
    <row r="34070" ht="12" customHeight="1"/>
    <row r="34071" ht="12" customHeight="1"/>
    <row r="34072" ht="12" customHeight="1"/>
    <row r="34073" ht="12" customHeight="1"/>
    <row r="34074" ht="12" customHeight="1"/>
    <row r="34075" ht="12" customHeight="1"/>
    <row r="34076" ht="12" customHeight="1"/>
    <row r="34077" ht="12" customHeight="1"/>
    <row r="34078" ht="12" customHeight="1"/>
    <row r="34079" ht="12" customHeight="1"/>
    <row r="34080" ht="12" customHeight="1"/>
    <row r="34081" ht="12" customHeight="1"/>
    <row r="34082" ht="12" customHeight="1"/>
    <row r="34083" ht="12" customHeight="1"/>
    <row r="34084" ht="12" customHeight="1"/>
    <row r="34085" ht="12" customHeight="1"/>
    <row r="34086" ht="12" customHeight="1"/>
    <row r="34087" ht="12" customHeight="1"/>
    <row r="34088" ht="12" customHeight="1"/>
    <row r="34089" ht="12" customHeight="1"/>
    <row r="34090" ht="12" customHeight="1"/>
    <row r="34091" ht="12" customHeight="1"/>
    <row r="34092" ht="12" customHeight="1"/>
    <row r="34093" ht="12" customHeight="1"/>
    <row r="34094" ht="12" customHeight="1"/>
    <row r="34095" ht="12" customHeight="1"/>
    <row r="34096" ht="12" customHeight="1"/>
    <row r="34097" ht="12" customHeight="1"/>
    <row r="34098" ht="12" customHeight="1"/>
    <row r="34099" ht="12" customHeight="1"/>
    <row r="34100" ht="12" customHeight="1"/>
    <row r="34101" ht="12" customHeight="1"/>
    <row r="34102" ht="12" customHeight="1"/>
    <row r="34103" ht="12" customHeight="1"/>
    <row r="34104" ht="12" customHeight="1"/>
    <row r="34105" ht="12" customHeight="1"/>
    <row r="34106" ht="12" customHeight="1"/>
    <row r="34107" ht="12" customHeight="1"/>
    <row r="34108" ht="12" customHeight="1"/>
    <row r="34109" ht="12" customHeight="1"/>
    <row r="34110" ht="12" customHeight="1"/>
    <row r="34111" ht="12" customHeight="1"/>
    <row r="34112" ht="12" customHeight="1"/>
    <row r="34113" ht="12" customHeight="1"/>
    <row r="34114" ht="12" customHeight="1"/>
    <row r="34115" ht="12" customHeight="1"/>
    <row r="34116" ht="12" customHeight="1"/>
    <row r="34117" ht="12" customHeight="1"/>
    <row r="34118" ht="12" customHeight="1"/>
    <row r="34119" ht="12" customHeight="1"/>
    <row r="34120" ht="12" customHeight="1"/>
    <row r="34121" ht="12" customHeight="1"/>
    <row r="34122" ht="12" customHeight="1"/>
    <row r="34123" ht="12" customHeight="1"/>
    <row r="34124" ht="12" customHeight="1"/>
    <row r="34125" ht="12" customHeight="1"/>
    <row r="34126" ht="12" customHeight="1"/>
    <row r="34127" ht="12" customHeight="1"/>
    <row r="34128" ht="12" customHeight="1"/>
    <row r="34129" ht="12" customHeight="1"/>
    <row r="34130" ht="12" customHeight="1"/>
    <row r="34131" ht="12" customHeight="1"/>
    <row r="34132" ht="12" customHeight="1"/>
    <row r="34133" ht="12" customHeight="1"/>
    <row r="34134" ht="12" customHeight="1"/>
    <row r="34135" ht="12" customHeight="1"/>
    <row r="34136" ht="12" customHeight="1"/>
    <row r="34137" ht="12" customHeight="1"/>
    <row r="34138" ht="12" customHeight="1"/>
    <row r="34139" ht="12" customHeight="1"/>
    <row r="34140" ht="12" customHeight="1"/>
    <row r="34141" ht="12" customHeight="1"/>
    <row r="34142" ht="12" customHeight="1"/>
    <row r="34143" ht="12" customHeight="1"/>
    <row r="34144" ht="12" customHeight="1"/>
    <row r="34145" ht="12" customHeight="1"/>
    <row r="34146" ht="12" customHeight="1"/>
    <row r="34147" ht="12" customHeight="1"/>
    <row r="34148" ht="12" customHeight="1"/>
    <row r="34149" ht="12" customHeight="1"/>
    <row r="34150" ht="12" customHeight="1"/>
    <row r="34151" ht="12" customHeight="1"/>
    <row r="34152" ht="12" customHeight="1"/>
    <row r="34153" ht="12" customHeight="1"/>
    <row r="34154" ht="12" customHeight="1"/>
    <row r="34155" ht="12" customHeight="1"/>
    <row r="34156" ht="12" customHeight="1"/>
    <row r="34157" ht="12" customHeight="1"/>
    <row r="34158" ht="12" customHeight="1"/>
    <row r="34159" ht="12" customHeight="1"/>
    <row r="34160" ht="12" customHeight="1"/>
    <row r="34161" ht="12" customHeight="1"/>
    <row r="34162" ht="12" customHeight="1"/>
    <row r="34163" ht="12" customHeight="1"/>
    <row r="34164" ht="12" customHeight="1"/>
    <row r="34165" ht="12" customHeight="1"/>
    <row r="34166" ht="12" customHeight="1"/>
    <row r="34167" ht="12" customHeight="1"/>
    <row r="34168" ht="12" customHeight="1"/>
    <row r="34169" ht="12" customHeight="1"/>
    <row r="34170" ht="12" customHeight="1"/>
    <row r="34171" ht="12" customHeight="1"/>
    <row r="34172" ht="12" customHeight="1"/>
    <row r="34173" ht="12" customHeight="1"/>
    <row r="34174" ht="12" customHeight="1"/>
    <row r="34175" ht="12" customHeight="1"/>
    <row r="34176" ht="12" customHeight="1"/>
    <row r="34177" ht="12" customHeight="1"/>
    <row r="34178" ht="12" customHeight="1"/>
    <row r="34179" ht="12" customHeight="1"/>
    <row r="34180" ht="12" customHeight="1"/>
    <row r="34181" ht="12" customHeight="1"/>
    <row r="34182" ht="12" customHeight="1"/>
    <row r="34183" ht="12" customHeight="1"/>
    <row r="34184" ht="12" customHeight="1"/>
    <row r="34185" ht="12" customHeight="1"/>
    <row r="34186" ht="12" customHeight="1"/>
    <row r="34187" ht="12" customHeight="1"/>
    <row r="34188" ht="12" customHeight="1"/>
    <row r="34189" ht="12" customHeight="1"/>
    <row r="34190" ht="12" customHeight="1"/>
    <row r="34191" ht="12" customHeight="1"/>
    <row r="34192" ht="12" customHeight="1"/>
    <row r="34193" ht="12" customHeight="1"/>
    <row r="34194" ht="12" customHeight="1"/>
    <row r="34195" ht="12" customHeight="1"/>
    <row r="34196" ht="12" customHeight="1"/>
    <row r="34197" ht="12" customHeight="1"/>
    <row r="34198" ht="12" customHeight="1"/>
    <row r="34199" ht="12" customHeight="1"/>
    <row r="34200" ht="12" customHeight="1"/>
    <row r="34201" ht="12" customHeight="1"/>
    <row r="34202" ht="12" customHeight="1"/>
    <row r="34203" ht="12" customHeight="1"/>
    <row r="34204" ht="12" customHeight="1"/>
    <row r="34205" ht="12" customHeight="1"/>
    <row r="34206" ht="12" customHeight="1"/>
    <row r="34207" ht="12" customHeight="1"/>
    <row r="34208" ht="12" customHeight="1"/>
    <row r="34209" ht="12" customHeight="1"/>
    <row r="34210" ht="12" customHeight="1"/>
    <row r="34211" ht="12" customHeight="1"/>
    <row r="34212" ht="12" customHeight="1"/>
    <row r="34213" ht="12" customHeight="1"/>
    <row r="34214" ht="12" customHeight="1"/>
    <row r="34215" ht="12" customHeight="1"/>
    <row r="34216" ht="12" customHeight="1"/>
    <row r="34217" ht="12" customHeight="1"/>
    <row r="34218" ht="12" customHeight="1"/>
    <row r="34219" ht="12" customHeight="1"/>
    <row r="34220" ht="12" customHeight="1"/>
    <row r="34221" ht="12" customHeight="1"/>
    <row r="34222" ht="12" customHeight="1"/>
    <row r="34223" ht="12" customHeight="1"/>
    <row r="34224" ht="12" customHeight="1"/>
    <row r="34225" ht="12" customHeight="1"/>
    <row r="34226" ht="12" customHeight="1"/>
    <row r="34227" ht="12" customHeight="1"/>
    <row r="34228" ht="12" customHeight="1"/>
    <row r="34229" ht="12" customHeight="1"/>
    <row r="34230" ht="12" customHeight="1"/>
    <row r="34231" ht="12" customHeight="1"/>
    <row r="34232" ht="12" customHeight="1"/>
    <row r="34233" ht="12" customHeight="1"/>
    <row r="34234" ht="12" customHeight="1"/>
    <row r="34235" ht="12" customHeight="1"/>
    <row r="34236" ht="12" customHeight="1"/>
    <row r="34237" ht="12" customHeight="1"/>
    <row r="34238" ht="12" customHeight="1"/>
    <row r="34239" ht="12" customHeight="1"/>
    <row r="34240" ht="12" customHeight="1"/>
    <row r="34241" ht="12" customHeight="1"/>
    <row r="34242" ht="12" customHeight="1"/>
    <row r="34243" ht="12" customHeight="1"/>
    <row r="34244" ht="12" customHeight="1"/>
    <row r="34245" ht="12" customHeight="1"/>
    <row r="34246" ht="12" customHeight="1"/>
    <row r="34247" ht="12" customHeight="1"/>
    <row r="34248" ht="12" customHeight="1"/>
    <row r="34249" ht="12" customHeight="1"/>
    <row r="34250" ht="12" customHeight="1"/>
    <row r="34251" ht="12" customHeight="1"/>
    <row r="34252" ht="12" customHeight="1"/>
    <row r="34253" ht="12" customHeight="1"/>
    <row r="34254" ht="12" customHeight="1"/>
    <row r="34255" ht="12" customHeight="1"/>
    <row r="34256" ht="12" customHeight="1"/>
    <row r="34257" ht="12" customHeight="1"/>
    <row r="34258" ht="12" customHeight="1"/>
    <row r="34259" ht="12" customHeight="1"/>
    <row r="34260" ht="12" customHeight="1"/>
    <row r="34261" ht="12" customHeight="1"/>
    <row r="34262" ht="12" customHeight="1"/>
    <row r="34263" ht="12" customHeight="1"/>
    <row r="34264" ht="12" customHeight="1"/>
    <row r="34265" ht="12" customHeight="1"/>
    <row r="34266" ht="12" customHeight="1"/>
    <row r="34267" ht="12" customHeight="1"/>
    <row r="34268" ht="12" customHeight="1"/>
    <row r="34269" ht="12" customHeight="1"/>
    <row r="34270" ht="12" customHeight="1"/>
    <row r="34271" ht="12" customHeight="1"/>
    <row r="34272" ht="12" customHeight="1"/>
    <row r="34273" ht="12" customHeight="1"/>
    <row r="34274" ht="12" customHeight="1"/>
    <row r="34275" ht="12" customHeight="1"/>
    <row r="34276" ht="12" customHeight="1"/>
    <row r="34277" ht="12" customHeight="1"/>
    <row r="34278" ht="12" customHeight="1"/>
    <row r="34279" ht="12" customHeight="1"/>
    <row r="34280" ht="12" customHeight="1"/>
    <row r="34281" ht="12" customHeight="1"/>
    <row r="34282" ht="12" customHeight="1"/>
    <row r="34283" ht="12" customHeight="1"/>
    <row r="34284" ht="12" customHeight="1"/>
    <row r="34285" ht="12" customHeight="1"/>
    <row r="34286" ht="12" customHeight="1"/>
    <row r="34287" ht="12" customHeight="1"/>
    <row r="34288" ht="12" customHeight="1"/>
    <row r="34289" ht="12" customHeight="1"/>
    <row r="34290" ht="12" customHeight="1"/>
    <row r="34291" ht="12" customHeight="1"/>
    <row r="34292" ht="12" customHeight="1"/>
    <row r="34293" ht="12" customHeight="1"/>
    <row r="34294" ht="12" customHeight="1"/>
    <row r="34295" ht="12" customHeight="1"/>
    <row r="34296" ht="12" customHeight="1"/>
    <row r="34297" ht="12" customHeight="1"/>
    <row r="34298" ht="12" customHeight="1"/>
    <row r="34299" ht="12" customHeight="1"/>
    <row r="34300" ht="12" customHeight="1"/>
    <row r="34301" ht="12" customHeight="1"/>
    <row r="34302" ht="12" customHeight="1"/>
    <row r="34303" ht="12" customHeight="1"/>
    <row r="34304" ht="12" customHeight="1"/>
    <row r="34305" ht="12" customHeight="1"/>
    <row r="34306" ht="12" customHeight="1"/>
    <row r="34307" ht="12" customHeight="1"/>
    <row r="34308" ht="12" customHeight="1"/>
    <row r="34309" ht="12" customHeight="1"/>
    <row r="34310" ht="12" customHeight="1"/>
    <row r="34311" ht="12" customHeight="1"/>
    <row r="34312" ht="12" customHeight="1"/>
    <row r="34313" ht="12" customHeight="1"/>
    <row r="34314" ht="12" customHeight="1"/>
    <row r="34315" ht="12" customHeight="1"/>
    <row r="34316" ht="12" customHeight="1"/>
    <row r="34317" ht="12" customHeight="1"/>
    <row r="34318" ht="12" customHeight="1"/>
    <row r="34319" ht="12" customHeight="1"/>
    <row r="34320" ht="12" customHeight="1"/>
    <row r="34321" ht="12" customHeight="1"/>
    <row r="34322" ht="12" customHeight="1"/>
    <row r="34323" ht="12" customHeight="1"/>
    <row r="34324" ht="12" customHeight="1"/>
    <row r="34325" ht="12" customHeight="1"/>
    <row r="34326" ht="12" customHeight="1"/>
    <row r="34327" ht="12" customHeight="1"/>
    <row r="34328" ht="12" customHeight="1"/>
    <row r="34329" ht="12" customHeight="1"/>
    <row r="34330" ht="12" customHeight="1"/>
    <row r="34331" ht="12" customHeight="1"/>
    <row r="34332" ht="12" customHeight="1"/>
    <row r="34333" ht="12" customHeight="1"/>
    <row r="34334" ht="12" customHeight="1"/>
    <row r="34335" ht="12" customHeight="1"/>
    <row r="34336" ht="12" customHeight="1"/>
    <row r="34337" ht="12" customHeight="1"/>
    <row r="34338" ht="12" customHeight="1"/>
    <row r="34339" ht="12" customHeight="1"/>
    <row r="34340" ht="12" customHeight="1"/>
    <row r="34341" ht="12" customHeight="1"/>
    <row r="34342" ht="12" customHeight="1"/>
    <row r="34343" ht="12" customHeight="1"/>
    <row r="34344" ht="12" customHeight="1"/>
    <row r="34345" ht="12" customHeight="1"/>
    <row r="34346" ht="12" customHeight="1"/>
    <row r="34347" ht="12" customHeight="1"/>
    <row r="34348" ht="12" customHeight="1"/>
    <row r="34349" ht="12" customHeight="1"/>
    <row r="34350" ht="12" customHeight="1"/>
    <row r="34351" ht="12" customHeight="1"/>
    <row r="34352" ht="12" customHeight="1"/>
    <row r="34353" ht="12" customHeight="1"/>
    <row r="34354" ht="12" customHeight="1"/>
    <row r="34355" ht="12" customHeight="1"/>
    <row r="34356" ht="12" customHeight="1"/>
    <row r="34357" ht="12" customHeight="1"/>
    <row r="34358" ht="12" customHeight="1"/>
    <row r="34359" ht="12" customHeight="1"/>
    <row r="34360" ht="12" customHeight="1"/>
    <row r="34361" ht="12" customHeight="1"/>
    <row r="34362" ht="12" customHeight="1"/>
    <row r="34363" ht="12" customHeight="1"/>
    <row r="34364" ht="12" customHeight="1"/>
    <row r="34365" ht="12" customHeight="1"/>
    <row r="34366" ht="12" customHeight="1"/>
    <row r="34367" ht="12" customHeight="1"/>
    <row r="34368" ht="12" customHeight="1"/>
    <row r="34369" ht="12" customHeight="1"/>
    <row r="34370" ht="12" customHeight="1"/>
    <row r="34371" ht="12" customHeight="1"/>
    <row r="34372" ht="12" customHeight="1"/>
    <row r="34373" ht="12" customHeight="1"/>
    <row r="34374" ht="12" customHeight="1"/>
    <row r="34375" ht="12" customHeight="1"/>
    <row r="34376" ht="12" customHeight="1"/>
    <row r="34377" ht="12" customHeight="1"/>
    <row r="34378" ht="12" customHeight="1"/>
    <row r="34379" ht="12" customHeight="1"/>
    <row r="34380" ht="12" customHeight="1"/>
    <row r="34381" ht="12" customHeight="1"/>
    <row r="34382" ht="12" customHeight="1"/>
    <row r="34383" ht="12" customHeight="1"/>
    <row r="34384" ht="12" customHeight="1"/>
    <row r="34385" ht="12" customHeight="1"/>
    <row r="34386" ht="12" customHeight="1"/>
    <row r="34387" ht="12" customHeight="1"/>
    <row r="34388" ht="12" customHeight="1"/>
    <row r="34389" ht="12" customHeight="1"/>
    <row r="34390" ht="12" customHeight="1"/>
    <row r="34391" ht="12" customHeight="1"/>
    <row r="34392" ht="12" customHeight="1"/>
    <row r="34393" ht="12" customHeight="1"/>
    <row r="34394" ht="12" customHeight="1"/>
    <row r="34395" ht="12" customHeight="1"/>
    <row r="34396" ht="12" customHeight="1"/>
    <row r="34397" ht="12" customHeight="1"/>
    <row r="34398" ht="12" customHeight="1"/>
    <row r="34399" ht="12" customHeight="1"/>
    <row r="34400" ht="12" customHeight="1"/>
    <row r="34401" ht="12" customHeight="1"/>
    <row r="34402" ht="12" customHeight="1"/>
    <row r="34403" ht="12" customHeight="1"/>
    <row r="34404" ht="12" customHeight="1"/>
    <row r="34405" ht="12" customHeight="1"/>
    <row r="34406" ht="12" customHeight="1"/>
    <row r="34407" ht="12" customHeight="1"/>
    <row r="34408" ht="12" customHeight="1"/>
    <row r="34409" ht="12" customHeight="1"/>
    <row r="34410" ht="12" customHeight="1"/>
    <row r="34411" ht="12" customHeight="1"/>
    <row r="34412" ht="12" customHeight="1"/>
    <row r="34413" ht="12" customHeight="1"/>
    <row r="34414" ht="12" customHeight="1"/>
    <row r="34415" ht="12" customHeight="1"/>
    <row r="34416" ht="12" customHeight="1"/>
    <row r="34417" ht="12" customHeight="1"/>
    <row r="34418" ht="12" customHeight="1"/>
    <row r="34419" ht="12" customHeight="1"/>
    <row r="34420" ht="12" customHeight="1"/>
    <row r="34421" ht="12" customHeight="1"/>
    <row r="34422" ht="12" customHeight="1"/>
    <row r="34423" ht="12" customHeight="1"/>
    <row r="34424" ht="12" customHeight="1"/>
    <row r="34425" ht="12" customHeight="1"/>
    <row r="34426" ht="12" customHeight="1"/>
    <row r="34427" ht="12" customHeight="1"/>
    <row r="34428" ht="12" customHeight="1"/>
    <row r="34429" ht="12" customHeight="1"/>
    <row r="34430" ht="12" customHeight="1"/>
    <row r="34431" ht="12" customHeight="1"/>
    <row r="34432" ht="12" customHeight="1"/>
    <row r="34433" ht="12" customHeight="1"/>
    <row r="34434" ht="12" customHeight="1"/>
    <row r="34435" ht="12" customHeight="1"/>
    <row r="34436" ht="12" customHeight="1"/>
    <row r="34437" ht="12" customHeight="1"/>
    <row r="34438" ht="12" customHeight="1"/>
    <row r="34439" ht="12" customHeight="1"/>
    <row r="34440" ht="12" customHeight="1"/>
    <row r="34441" ht="12" customHeight="1"/>
    <row r="34442" ht="12" customHeight="1"/>
    <row r="34443" ht="12" customHeight="1"/>
    <row r="34444" ht="12" customHeight="1"/>
    <row r="34445" ht="12" customHeight="1"/>
    <row r="34446" ht="12" customHeight="1"/>
    <row r="34447" ht="12" customHeight="1"/>
    <row r="34448" ht="12" customHeight="1"/>
    <row r="34449" ht="12" customHeight="1"/>
    <row r="34450" ht="12" customHeight="1"/>
    <row r="34451" ht="12" customHeight="1"/>
    <row r="34452" ht="12" customHeight="1"/>
    <row r="34453" ht="12" customHeight="1"/>
    <row r="34454" ht="12" customHeight="1"/>
    <row r="34455" ht="12" customHeight="1"/>
    <row r="34456" ht="12" customHeight="1"/>
    <row r="34457" ht="12" customHeight="1"/>
    <row r="34458" ht="12" customHeight="1"/>
    <row r="34459" ht="12" customHeight="1"/>
    <row r="34460" ht="12" customHeight="1"/>
    <row r="34461" ht="12" customHeight="1"/>
    <row r="34462" ht="12" customHeight="1"/>
    <row r="34463" ht="12" customHeight="1"/>
    <row r="34464" ht="12" customHeight="1"/>
    <row r="34465" ht="12" customHeight="1"/>
    <row r="34466" ht="12" customHeight="1"/>
    <row r="34467" ht="12" customHeight="1"/>
    <row r="34468" ht="12" customHeight="1"/>
    <row r="34469" ht="12" customHeight="1"/>
    <row r="34470" ht="12" customHeight="1"/>
    <row r="34471" ht="12" customHeight="1"/>
    <row r="34472" ht="12" customHeight="1"/>
    <row r="34473" ht="12" customHeight="1"/>
    <row r="34474" ht="12" customHeight="1"/>
    <row r="34475" ht="12" customHeight="1"/>
    <row r="34476" ht="12" customHeight="1"/>
    <row r="34477" ht="12" customHeight="1"/>
    <row r="34478" ht="12" customHeight="1"/>
    <row r="34479" ht="12" customHeight="1"/>
    <row r="34480" ht="12" customHeight="1"/>
    <row r="34481" ht="12" customHeight="1"/>
    <row r="34482" ht="12" customHeight="1"/>
    <row r="34483" ht="12" customHeight="1"/>
    <row r="34484" ht="12" customHeight="1"/>
    <row r="34485" ht="12" customHeight="1"/>
    <row r="34486" ht="12" customHeight="1"/>
    <row r="34487" ht="12" customHeight="1"/>
    <row r="34488" ht="12" customHeight="1"/>
    <row r="34489" ht="12" customHeight="1"/>
    <row r="34490" ht="12" customHeight="1"/>
    <row r="34491" ht="12" customHeight="1"/>
    <row r="34492" ht="12" customHeight="1"/>
    <row r="34493" ht="12" customHeight="1"/>
    <row r="34494" ht="12" customHeight="1"/>
    <row r="34495" ht="12" customHeight="1"/>
    <row r="34496" ht="12" customHeight="1"/>
    <row r="34497" ht="12" customHeight="1"/>
    <row r="34498" ht="12" customHeight="1"/>
    <row r="34499" ht="12" customHeight="1"/>
    <row r="34500" ht="12" customHeight="1"/>
    <row r="34501" ht="12" customHeight="1"/>
    <row r="34502" ht="12" customHeight="1"/>
    <row r="34503" ht="12" customHeight="1"/>
    <row r="34504" ht="12" customHeight="1"/>
    <row r="34505" ht="12" customHeight="1"/>
    <row r="34506" ht="12" customHeight="1"/>
    <row r="34507" ht="12" customHeight="1"/>
    <row r="34508" ht="12" customHeight="1"/>
    <row r="34509" ht="12" customHeight="1"/>
    <row r="34510" ht="12" customHeight="1"/>
    <row r="34511" ht="12" customHeight="1"/>
    <row r="34512" ht="12" customHeight="1"/>
    <row r="34513" ht="12" customHeight="1"/>
    <row r="34514" ht="12" customHeight="1"/>
    <row r="34515" ht="12" customHeight="1"/>
    <row r="34516" ht="12" customHeight="1"/>
    <row r="34517" ht="12" customHeight="1"/>
    <row r="34518" ht="12" customHeight="1"/>
    <row r="34519" ht="12" customHeight="1"/>
    <row r="34520" ht="12" customHeight="1"/>
    <row r="34521" ht="12" customHeight="1"/>
    <row r="34522" ht="12" customHeight="1"/>
    <row r="34523" ht="12" customHeight="1"/>
    <row r="34524" ht="12" customHeight="1"/>
    <row r="34525" ht="12" customHeight="1"/>
    <row r="34526" ht="12" customHeight="1"/>
    <row r="34527" ht="12" customHeight="1"/>
    <row r="34528" ht="12" customHeight="1"/>
    <row r="34529" ht="12" customHeight="1"/>
    <row r="34530" ht="12" customHeight="1"/>
    <row r="34531" ht="12" customHeight="1"/>
    <row r="34532" ht="12" customHeight="1"/>
    <row r="34533" ht="12" customHeight="1"/>
    <row r="34534" ht="12" customHeight="1"/>
    <row r="34535" ht="12" customHeight="1"/>
    <row r="34536" ht="12" customHeight="1"/>
    <row r="34537" ht="12" customHeight="1"/>
    <row r="34538" ht="12" customHeight="1"/>
    <row r="34539" ht="12" customHeight="1"/>
    <row r="34540" ht="12" customHeight="1"/>
    <row r="34541" ht="12" customHeight="1"/>
    <row r="34542" ht="12" customHeight="1"/>
    <row r="34543" ht="12" customHeight="1"/>
    <row r="34544" ht="12" customHeight="1"/>
    <row r="34545" ht="12" customHeight="1"/>
    <row r="34546" ht="12" customHeight="1"/>
    <row r="34547" ht="12" customHeight="1"/>
    <row r="34548" ht="12" customHeight="1"/>
    <row r="34549" ht="12" customHeight="1"/>
    <row r="34550" ht="12" customHeight="1"/>
    <row r="34551" ht="12" customHeight="1"/>
    <row r="34552" ht="12" customHeight="1"/>
    <row r="34553" ht="12" customHeight="1"/>
    <row r="34554" ht="12" customHeight="1"/>
    <row r="34555" ht="12" customHeight="1"/>
    <row r="34556" ht="12" customHeight="1"/>
    <row r="34557" ht="12" customHeight="1"/>
    <row r="34558" ht="12" customHeight="1"/>
    <row r="34559" ht="12" customHeight="1"/>
    <row r="34560" ht="12" customHeight="1"/>
    <row r="34561" ht="12" customHeight="1"/>
    <row r="34562" ht="12" customHeight="1"/>
    <row r="34563" ht="12" customHeight="1"/>
    <row r="34564" ht="12" customHeight="1"/>
    <row r="34565" ht="12" customHeight="1"/>
    <row r="34566" ht="12" customHeight="1"/>
    <row r="34567" ht="12" customHeight="1"/>
    <row r="34568" ht="12" customHeight="1"/>
    <row r="34569" ht="12" customHeight="1"/>
    <row r="34570" ht="12" customHeight="1"/>
    <row r="34571" ht="12" customHeight="1"/>
    <row r="34572" ht="12" customHeight="1"/>
    <row r="34573" ht="12" customHeight="1"/>
    <row r="34574" ht="12" customHeight="1"/>
    <row r="34575" ht="12" customHeight="1"/>
    <row r="34576" ht="12" customHeight="1"/>
    <row r="34577" ht="12" customHeight="1"/>
    <row r="34578" ht="12" customHeight="1"/>
    <row r="34579" ht="12" customHeight="1"/>
    <row r="34580" ht="12" customHeight="1"/>
    <row r="34581" ht="12" customHeight="1"/>
    <row r="34582" ht="12" customHeight="1"/>
    <row r="34583" ht="12" customHeight="1"/>
    <row r="34584" ht="12" customHeight="1"/>
    <row r="34585" ht="12" customHeight="1"/>
    <row r="34586" ht="12" customHeight="1"/>
    <row r="34587" ht="12" customHeight="1"/>
    <row r="34588" ht="12" customHeight="1"/>
    <row r="34589" ht="12" customHeight="1"/>
    <row r="34590" ht="12" customHeight="1"/>
    <row r="34591" ht="12" customHeight="1"/>
    <row r="34592" ht="12" customHeight="1"/>
    <row r="34593" ht="12" customHeight="1"/>
    <row r="34594" ht="12" customHeight="1"/>
    <row r="34595" ht="12" customHeight="1"/>
    <row r="34596" ht="12" customHeight="1"/>
    <row r="34597" ht="12" customHeight="1"/>
    <row r="34598" ht="12" customHeight="1"/>
    <row r="34599" ht="12" customHeight="1"/>
    <row r="34600" ht="12" customHeight="1"/>
    <row r="34601" ht="12" customHeight="1"/>
    <row r="34602" ht="12" customHeight="1"/>
    <row r="34603" ht="12" customHeight="1"/>
    <row r="34604" ht="12" customHeight="1"/>
    <row r="34605" ht="12" customHeight="1"/>
    <row r="34606" ht="12" customHeight="1"/>
    <row r="34607" ht="12" customHeight="1"/>
    <row r="34608" ht="12" customHeight="1"/>
    <row r="34609" ht="12" customHeight="1"/>
    <row r="34610" ht="12" customHeight="1"/>
    <row r="34611" ht="12" customHeight="1"/>
    <row r="34612" ht="12" customHeight="1"/>
    <row r="34613" ht="12" customHeight="1"/>
    <row r="34614" ht="12" customHeight="1"/>
    <row r="34615" ht="12" customHeight="1"/>
    <row r="34616" ht="12" customHeight="1"/>
    <row r="34617" ht="12" customHeight="1"/>
    <row r="34618" ht="12" customHeight="1"/>
    <row r="34619" ht="12" customHeight="1"/>
    <row r="34620" ht="12" customHeight="1"/>
    <row r="34621" ht="12" customHeight="1"/>
    <row r="34622" ht="12" customHeight="1"/>
    <row r="34623" ht="12" customHeight="1"/>
    <row r="34624" ht="12" customHeight="1"/>
    <row r="34625" ht="12" customHeight="1"/>
    <row r="34626" ht="12" customHeight="1"/>
    <row r="34627" ht="12" customHeight="1"/>
    <row r="34628" ht="12" customHeight="1"/>
    <row r="34629" ht="12" customHeight="1"/>
    <row r="34630" ht="12" customHeight="1"/>
    <row r="34631" ht="12" customHeight="1"/>
    <row r="34632" ht="12" customHeight="1"/>
    <row r="34633" ht="12" customHeight="1"/>
    <row r="34634" ht="12" customHeight="1"/>
    <row r="34635" ht="12" customHeight="1"/>
    <row r="34636" ht="12" customHeight="1"/>
    <row r="34637" ht="12" customHeight="1"/>
    <row r="34638" ht="12" customHeight="1"/>
    <row r="34639" ht="12" customHeight="1"/>
    <row r="34640" ht="12" customHeight="1"/>
    <row r="34641" ht="12" customHeight="1"/>
    <row r="34642" ht="12" customHeight="1"/>
    <row r="34643" ht="12" customHeight="1"/>
    <row r="34644" ht="12" customHeight="1"/>
    <row r="34645" ht="12" customHeight="1"/>
    <row r="34646" ht="12" customHeight="1"/>
    <row r="34647" ht="12" customHeight="1"/>
    <row r="34648" ht="12" customHeight="1"/>
    <row r="34649" ht="12" customHeight="1"/>
    <row r="34650" ht="12" customHeight="1"/>
    <row r="34651" ht="12" customHeight="1"/>
    <row r="34652" ht="12" customHeight="1"/>
    <row r="34653" ht="12" customHeight="1"/>
    <row r="34654" ht="12" customHeight="1"/>
    <row r="34655" ht="12" customHeight="1"/>
    <row r="34656" ht="12" customHeight="1"/>
    <row r="34657" ht="12" customHeight="1"/>
    <row r="34658" ht="12" customHeight="1"/>
    <row r="34659" ht="12" customHeight="1"/>
    <row r="34660" ht="12" customHeight="1"/>
    <row r="34661" ht="12" customHeight="1"/>
    <row r="34662" ht="12" customHeight="1"/>
    <row r="34663" ht="12" customHeight="1"/>
    <row r="34664" ht="12" customHeight="1"/>
    <row r="34665" ht="12" customHeight="1"/>
    <row r="34666" ht="12" customHeight="1"/>
    <row r="34667" ht="12" customHeight="1"/>
    <row r="34668" ht="12" customHeight="1"/>
    <row r="34669" ht="12" customHeight="1"/>
    <row r="34670" ht="12" customHeight="1"/>
    <row r="34671" ht="12" customHeight="1"/>
    <row r="34672" ht="12" customHeight="1"/>
    <row r="34673" ht="12" customHeight="1"/>
    <row r="34674" ht="12" customHeight="1"/>
    <row r="34675" ht="12" customHeight="1"/>
    <row r="34676" ht="12" customHeight="1"/>
    <row r="34677" ht="12" customHeight="1"/>
    <row r="34678" ht="12" customHeight="1"/>
    <row r="34679" ht="12" customHeight="1"/>
    <row r="34680" ht="12" customHeight="1"/>
    <row r="34681" ht="12" customHeight="1"/>
    <row r="34682" ht="12" customHeight="1"/>
    <row r="34683" ht="12" customHeight="1"/>
    <row r="34684" ht="12" customHeight="1"/>
    <row r="34685" ht="12" customHeight="1"/>
    <row r="34686" ht="12" customHeight="1"/>
    <row r="34687" ht="12" customHeight="1"/>
    <row r="34688" ht="12" customHeight="1"/>
    <row r="34689" ht="12" customHeight="1"/>
    <row r="34690" ht="12" customHeight="1"/>
    <row r="34691" ht="12" customHeight="1"/>
    <row r="34692" ht="12" customHeight="1"/>
    <row r="34693" ht="12" customHeight="1"/>
    <row r="34694" ht="12" customHeight="1"/>
    <row r="34695" ht="12" customHeight="1"/>
    <row r="34696" ht="12" customHeight="1"/>
    <row r="34697" ht="12" customHeight="1"/>
    <row r="34698" ht="12" customHeight="1"/>
    <row r="34699" ht="12" customHeight="1"/>
    <row r="34700" ht="12" customHeight="1"/>
    <row r="34701" ht="12" customHeight="1"/>
    <row r="34702" ht="12" customHeight="1"/>
    <row r="34703" ht="12" customHeight="1"/>
    <row r="34704" ht="12" customHeight="1"/>
    <row r="34705" ht="12" customHeight="1"/>
    <row r="34706" ht="12" customHeight="1"/>
    <row r="34707" ht="12" customHeight="1"/>
    <row r="34708" ht="12" customHeight="1"/>
    <row r="34709" ht="12" customHeight="1"/>
    <row r="34710" ht="12" customHeight="1"/>
    <row r="34711" ht="12" customHeight="1"/>
    <row r="34712" ht="12" customHeight="1"/>
    <row r="34713" ht="12" customHeight="1"/>
    <row r="34714" ht="12" customHeight="1"/>
    <row r="34715" ht="12" customHeight="1"/>
    <row r="34716" ht="12" customHeight="1"/>
    <row r="34717" ht="12" customHeight="1"/>
    <row r="34718" ht="12" customHeight="1"/>
    <row r="34719" ht="12" customHeight="1"/>
    <row r="34720" ht="12" customHeight="1"/>
    <row r="34721" ht="12" customHeight="1"/>
    <row r="34722" ht="12" customHeight="1"/>
    <row r="34723" ht="12" customHeight="1"/>
    <row r="34724" ht="12" customHeight="1"/>
    <row r="34725" ht="12" customHeight="1"/>
    <row r="34726" ht="12" customHeight="1"/>
    <row r="34727" ht="12" customHeight="1"/>
    <row r="34728" ht="12" customHeight="1"/>
    <row r="34729" ht="12" customHeight="1"/>
    <row r="34730" ht="12" customHeight="1"/>
    <row r="34731" ht="12" customHeight="1"/>
    <row r="34732" ht="12" customHeight="1"/>
    <row r="34733" ht="12" customHeight="1"/>
    <row r="34734" ht="12" customHeight="1"/>
    <row r="34735" ht="12" customHeight="1"/>
    <row r="34736" ht="12" customHeight="1"/>
    <row r="34737" ht="12" customHeight="1"/>
    <row r="34738" ht="12" customHeight="1"/>
    <row r="34739" ht="12" customHeight="1"/>
    <row r="34740" ht="12" customHeight="1"/>
    <row r="34741" ht="12" customHeight="1"/>
    <row r="34742" ht="12" customHeight="1"/>
    <row r="34743" ht="12" customHeight="1"/>
    <row r="34744" ht="12" customHeight="1"/>
    <row r="34745" ht="12" customHeight="1"/>
    <row r="34746" ht="12" customHeight="1"/>
    <row r="34747" ht="12" customHeight="1"/>
    <row r="34748" ht="12" customHeight="1"/>
    <row r="34749" ht="12" customHeight="1"/>
    <row r="34750" ht="12" customHeight="1"/>
    <row r="34751" ht="12" customHeight="1"/>
    <row r="34752" ht="12" customHeight="1"/>
    <row r="34753" ht="12" customHeight="1"/>
    <row r="34754" ht="12" customHeight="1"/>
    <row r="34755" ht="12" customHeight="1"/>
    <row r="34756" ht="12" customHeight="1"/>
    <row r="34757" ht="12" customHeight="1"/>
    <row r="34758" ht="12" customHeight="1"/>
    <row r="34759" ht="12" customHeight="1"/>
    <row r="34760" ht="12" customHeight="1"/>
    <row r="34761" ht="12" customHeight="1"/>
    <row r="34762" ht="12" customHeight="1"/>
    <row r="34763" ht="12" customHeight="1"/>
    <row r="34764" ht="12" customHeight="1"/>
    <row r="34765" ht="12" customHeight="1"/>
    <row r="34766" ht="12" customHeight="1"/>
    <row r="34767" ht="12" customHeight="1"/>
    <row r="34768" ht="12" customHeight="1"/>
    <row r="34769" ht="12" customHeight="1"/>
    <row r="34770" ht="12" customHeight="1"/>
    <row r="34771" ht="12" customHeight="1"/>
    <row r="34772" ht="12" customHeight="1"/>
    <row r="34773" ht="12" customHeight="1"/>
    <row r="34774" ht="12" customHeight="1"/>
    <row r="34775" ht="12" customHeight="1"/>
    <row r="34776" ht="12" customHeight="1"/>
    <row r="34777" ht="12" customHeight="1"/>
    <row r="34778" ht="12" customHeight="1"/>
    <row r="34779" ht="12" customHeight="1"/>
    <row r="34780" ht="12" customHeight="1"/>
    <row r="34781" ht="12" customHeight="1"/>
    <row r="34782" ht="12" customHeight="1"/>
    <row r="34783" ht="12" customHeight="1"/>
    <row r="34784" ht="12" customHeight="1"/>
    <row r="34785" ht="12" customHeight="1"/>
    <row r="34786" ht="12" customHeight="1"/>
    <row r="34787" ht="12" customHeight="1"/>
    <row r="34788" ht="12" customHeight="1"/>
    <row r="34789" ht="12" customHeight="1"/>
    <row r="34790" ht="12" customHeight="1"/>
    <row r="34791" ht="12" customHeight="1"/>
    <row r="34792" ht="12" customHeight="1"/>
    <row r="34793" ht="12" customHeight="1"/>
    <row r="34794" ht="12" customHeight="1"/>
    <row r="34795" ht="12" customHeight="1"/>
    <row r="34796" ht="12" customHeight="1"/>
    <row r="34797" ht="12" customHeight="1"/>
    <row r="34798" ht="12" customHeight="1"/>
    <row r="34799" ht="12" customHeight="1"/>
    <row r="34800" ht="12" customHeight="1"/>
    <row r="34801" ht="12" customHeight="1"/>
    <row r="34802" ht="12" customHeight="1"/>
    <row r="34803" ht="12" customHeight="1"/>
    <row r="34804" ht="12" customHeight="1"/>
    <row r="34805" ht="12" customHeight="1"/>
    <row r="34806" ht="12" customHeight="1"/>
    <row r="34807" ht="12" customHeight="1"/>
    <row r="34808" ht="12" customHeight="1"/>
    <row r="34809" ht="12" customHeight="1"/>
    <row r="34810" ht="12" customHeight="1"/>
    <row r="34811" ht="12" customHeight="1"/>
    <row r="34812" ht="12" customHeight="1"/>
    <row r="34813" ht="12" customHeight="1"/>
    <row r="34814" ht="12" customHeight="1"/>
    <row r="34815" ht="12" customHeight="1"/>
    <row r="34816" ht="12" customHeight="1"/>
    <row r="34817" ht="12" customHeight="1"/>
    <row r="34818" ht="12" customHeight="1"/>
    <row r="34819" ht="12" customHeight="1"/>
    <row r="34820" ht="12" customHeight="1"/>
    <row r="34821" ht="12" customHeight="1"/>
    <row r="34822" ht="12" customHeight="1"/>
    <row r="34823" ht="12" customHeight="1"/>
    <row r="34824" ht="12" customHeight="1"/>
    <row r="34825" ht="12" customHeight="1"/>
    <row r="34826" ht="12" customHeight="1"/>
    <row r="34827" ht="12" customHeight="1"/>
    <row r="34828" ht="12" customHeight="1"/>
    <row r="34829" ht="12" customHeight="1"/>
    <row r="34830" ht="12" customHeight="1"/>
    <row r="34831" ht="12" customHeight="1"/>
    <row r="34832" ht="12" customHeight="1"/>
    <row r="34833" ht="12" customHeight="1"/>
    <row r="34834" ht="12" customHeight="1"/>
    <row r="34835" ht="12" customHeight="1"/>
    <row r="34836" ht="12" customHeight="1"/>
    <row r="34837" ht="12" customHeight="1"/>
    <row r="34838" ht="12" customHeight="1"/>
    <row r="34839" ht="12" customHeight="1"/>
    <row r="34840" ht="12" customHeight="1"/>
    <row r="34841" ht="12" customHeight="1"/>
    <row r="34842" ht="12" customHeight="1"/>
    <row r="34843" ht="12" customHeight="1"/>
    <row r="34844" ht="12" customHeight="1"/>
    <row r="34845" ht="12" customHeight="1"/>
    <row r="34846" ht="12" customHeight="1"/>
    <row r="34847" ht="12" customHeight="1"/>
    <row r="34848" ht="12" customHeight="1"/>
    <row r="34849" ht="12" customHeight="1"/>
    <row r="34850" ht="12" customHeight="1"/>
    <row r="34851" ht="12" customHeight="1"/>
    <row r="34852" ht="12" customHeight="1"/>
    <row r="34853" ht="12" customHeight="1"/>
    <row r="34854" ht="12" customHeight="1"/>
    <row r="34855" ht="12" customHeight="1"/>
    <row r="34856" ht="12" customHeight="1"/>
    <row r="34857" ht="12" customHeight="1"/>
    <row r="34858" ht="12" customHeight="1"/>
    <row r="34859" ht="12" customHeight="1"/>
    <row r="34860" ht="12" customHeight="1"/>
    <row r="34861" ht="12" customHeight="1"/>
    <row r="34862" ht="12" customHeight="1"/>
    <row r="34863" ht="12" customHeight="1"/>
    <row r="34864" ht="12" customHeight="1"/>
    <row r="34865" ht="12" customHeight="1"/>
    <row r="34866" ht="12" customHeight="1"/>
    <row r="34867" ht="12" customHeight="1"/>
    <row r="34868" ht="12" customHeight="1"/>
    <row r="34869" ht="12" customHeight="1"/>
    <row r="34870" ht="12" customHeight="1"/>
    <row r="34871" ht="12" customHeight="1"/>
    <row r="34872" ht="12" customHeight="1"/>
    <row r="34873" ht="12" customHeight="1"/>
    <row r="34874" ht="12" customHeight="1"/>
    <row r="34875" ht="12" customHeight="1"/>
    <row r="34876" ht="12" customHeight="1"/>
    <row r="34877" ht="12" customHeight="1"/>
    <row r="34878" ht="12" customHeight="1"/>
    <row r="34879" ht="12" customHeight="1"/>
    <row r="34880" ht="12" customHeight="1"/>
    <row r="34881" ht="12" customHeight="1"/>
    <row r="34882" ht="12" customHeight="1"/>
    <row r="34883" ht="12" customHeight="1"/>
    <row r="34884" ht="12" customHeight="1"/>
    <row r="34885" ht="12" customHeight="1"/>
    <row r="34886" ht="12" customHeight="1"/>
    <row r="34887" ht="12" customHeight="1"/>
    <row r="34888" ht="12" customHeight="1"/>
    <row r="34889" ht="12" customHeight="1"/>
    <row r="34890" ht="12" customHeight="1"/>
    <row r="34891" ht="12" customHeight="1"/>
    <row r="34892" ht="12" customHeight="1"/>
    <row r="34893" ht="12" customHeight="1"/>
    <row r="34894" ht="12" customHeight="1"/>
    <row r="34895" ht="12" customHeight="1"/>
    <row r="34896" ht="12" customHeight="1"/>
    <row r="34897" ht="12" customHeight="1"/>
    <row r="34898" ht="12" customHeight="1"/>
    <row r="34899" ht="12" customHeight="1"/>
    <row r="34900" ht="12" customHeight="1"/>
    <row r="34901" ht="12" customHeight="1"/>
    <row r="34902" ht="12" customHeight="1"/>
    <row r="34903" ht="12" customHeight="1"/>
    <row r="34904" ht="12" customHeight="1"/>
    <row r="34905" ht="12" customHeight="1"/>
    <row r="34906" ht="12" customHeight="1"/>
    <row r="34907" ht="12" customHeight="1"/>
    <row r="34908" ht="12" customHeight="1"/>
    <row r="34909" ht="12" customHeight="1"/>
    <row r="34910" ht="12" customHeight="1"/>
    <row r="34911" ht="12" customHeight="1"/>
    <row r="34912" ht="12" customHeight="1"/>
    <row r="34913" ht="12" customHeight="1"/>
    <row r="34914" ht="12" customHeight="1"/>
    <row r="34915" ht="12" customHeight="1"/>
    <row r="34916" ht="12" customHeight="1"/>
    <row r="34917" ht="12" customHeight="1"/>
    <row r="34918" ht="12" customHeight="1"/>
    <row r="34919" ht="12" customHeight="1"/>
    <row r="34920" ht="12" customHeight="1"/>
    <row r="34921" ht="12" customHeight="1"/>
    <row r="34922" ht="12" customHeight="1"/>
    <row r="34923" ht="12" customHeight="1"/>
    <row r="34924" ht="12" customHeight="1"/>
    <row r="34925" ht="12" customHeight="1"/>
    <row r="34926" ht="12" customHeight="1"/>
    <row r="34927" ht="12" customHeight="1"/>
    <row r="34928" ht="12" customHeight="1"/>
    <row r="34929" ht="12" customHeight="1"/>
    <row r="34930" ht="12" customHeight="1"/>
    <row r="34931" ht="12" customHeight="1"/>
    <row r="34932" ht="12" customHeight="1"/>
    <row r="34933" ht="12" customHeight="1"/>
    <row r="34934" ht="12" customHeight="1"/>
    <row r="34935" ht="12" customHeight="1"/>
    <row r="34936" ht="12" customHeight="1"/>
    <row r="34937" ht="12" customHeight="1"/>
    <row r="34938" ht="12" customHeight="1"/>
    <row r="34939" ht="12" customHeight="1"/>
    <row r="34940" ht="12" customHeight="1"/>
    <row r="34941" ht="12" customHeight="1"/>
    <row r="34942" ht="12" customHeight="1"/>
    <row r="34943" ht="12" customHeight="1"/>
    <row r="34944" ht="12" customHeight="1"/>
    <row r="34945" ht="12" customHeight="1"/>
    <row r="34946" ht="12" customHeight="1"/>
    <row r="34947" ht="12" customHeight="1"/>
    <row r="34948" ht="12" customHeight="1"/>
    <row r="34949" ht="12" customHeight="1"/>
    <row r="34950" ht="12" customHeight="1"/>
    <row r="34951" ht="12" customHeight="1"/>
    <row r="34952" ht="12" customHeight="1"/>
    <row r="34953" ht="12" customHeight="1"/>
    <row r="34954" ht="12" customHeight="1"/>
    <row r="34955" ht="12" customHeight="1"/>
    <row r="34956" ht="12" customHeight="1"/>
    <row r="34957" ht="12" customHeight="1"/>
    <row r="34958" ht="12" customHeight="1"/>
    <row r="34959" ht="12" customHeight="1"/>
    <row r="34960" ht="12" customHeight="1"/>
    <row r="34961" ht="12" customHeight="1"/>
    <row r="34962" ht="12" customHeight="1"/>
    <row r="34963" ht="12" customHeight="1"/>
    <row r="34964" ht="12" customHeight="1"/>
    <row r="34965" ht="12" customHeight="1"/>
    <row r="34966" ht="12" customHeight="1"/>
    <row r="34967" ht="12" customHeight="1"/>
    <row r="34968" ht="12" customHeight="1"/>
    <row r="34969" ht="12" customHeight="1"/>
    <row r="34970" ht="12" customHeight="1"/>
    <row r="34971" ht="12" customHeight="1"/>
    <row r="34972" ht="12" customHeight="1"/>
    <row r="34973" ht="12" customHeight="1"/>
    <row r="34974" ht="12" customHeight="1"/>
    <row r="34975" ht="12" customHeight="1"/>
    <row r="34976" ht="12" customHeight="1"/>
    <row r="34977" ht="12" customHeight="1"/>
    <row r="34978" ht="12" customHeight="1"/>
    <row r="34979" ht="12" customHeight="1"/>
    <row r="34980" ht="12" customHeight="1"/>
    <row r="34981" ht="12" customHeight="1"/>
    <row r="34982" ht="12" customHeight="1"/>
    <row r="34983" ht="12" customHeight="1"/>
    <row r="34984" ht="12" customHeight="1"/>
    <row r="34985" ht="12" customHeight="1"/>
    <row r="34986" ht="12" customHeight="1"/>
    <row r="34987" ht="12" customHeight="1"/>
    <row r="34988" ht="12" customHeight="1"/>
    <row r="34989" ht="12" customHeight="1"/>
    <row r="34990" ht="12" customHeight="1"/>
    <row r="34991" ht="12" customHeight="1"/>
    <row r="34992" ht="12" customHeight="1"/>
    <row r="34993" ht="12" customHeight="1"/>
    <row r="34994" ht="12" customHeight="1"/>
    <row r="34995" ht="12" customHeight="1"/>
    <row r="34996" ht="12" customHeight="1"/>
    <row r="34997" ht="12" customHeight="1"/>
    <row r="34998" ht="12" customHeight="1"/>
    <row r="34999" ht="12" customHeight="1"/>
    <row r="35000" ht="12" customHeight="1"/>
    <row r="35001" ht="12" customHeight="1"/>
    <row r="35002" ht="12" customHeight="1"/>
    <row r="35003" ht="12" customHeight="1"/>
    <row r="35004" ht="12" customHeight="1"/>
    <row r="35005" ht="12" customHeight="1"/>
    <row r="35006" ht="12" customHeight="1"/>
    <row r="35007" ht="12" customHeight="1"/>
    <row r="35008" ht="12" customHeight="1"/>
    <row r="35009" ht="12" customHeight="1"/>
    <row r="35010" ht="12" customHeight="1"/>
    <row r="35011" ht="12" customHeight="1"/>
    <row r="35012" ht="12" customHeight="1"/>
    <row r="35013" ht="12" customHeight="1"/>
    <row r="35014" ht="12" customHeight="1"/>
    <row r="35015" ht="12" customHeight="1"/>
    <row r="35016" ht="12" customHeight="1"/>
    <row r="35017" ht="12" customHeight="1"/>
    <row r="35018" ht="12" customHeight="1"/>
    <row r="35019" ht="12" customHeight="1"/>
    <row r="35020" ht="12" customHeight="1"/>
    <row r="35021" ht="12" customHeight="1"/>
    <row r="35022" ht="12" customHeight="1"/>
    <row r="35023" ht="12" customHeight="1"/>
    <row r="35024" ht="12" customHeight="1"/>
    <row r="35025" ht="12" customHeight="1"/>
    <row r="35026" ht="12" customHeight="1"/>
    <row r="35027" ht="12" customHeight="1"/>
    <row r="35028" ht="12" customHeight="1"/>
    <row r="35029" ht="12" customHeight="1"/>
    <row r="35030" ht="12" customHeight="1"/>
    <row r="35031" ht="12" customHeight="1"/>
    <row r="35032" ht="12" customHeight="1"/>
    <row r="35033" ht="12" customHeight="1"/>
    <row r="35034" ht="12" customHeight="1"/>
    <row r="35035" ht="12" customHeight="1"/>
    <row r="35036" ht="12" customHeight="1"/>
    <row r="35037" ht="12" customHeight="1"/>
    <row r="35038" ht="12" customHeight="1"/>
    <row r="35039" ht="12" customHeight="1"/>
    <row r="35040" ht="12" customHeight="1"/>
    <row r="35041" ht="12" customHeight="1"/>
    <row r="35042" ht="12" customHeight="1"/>
    <row r="35043" ht="12" customHeight="1"/>
    <row r="35044" ht="12" customHeight="1"/>
    <row r="35045" ht="12" customHeight="1"/>
    <row r="35046" ht="12" customHeight="1"/>
    <row r="35047" ht="12" customHeight="1"/>
    <row r="35048" ht="12" customHeight="1"/>
    <row r="35049" ht="12" customHeight="1"/>
    <row r="35050" ht="12" customHeight="1"/>
    <row r="35051" ht="12" customHeight="1"/>
    <row r="35052" ht="12" customHeight="1"/>
    <row r="35053" ht="12" customHeight="1"/>
    <row r="35054" ht="12" customHeight="1"/>
    <row r="35055" ht="12" customHeight="1"/>
    <row r="35056" ht="12" customHeight="1"/>
    <row r="35057" ht="12" customHeight="1"/>
    <row r="35058" ht="12" customHeight="1"/>
    <row r="35059" ht="12" customHeight="1"/>
    <row r="35060" ht="12" customHeight="1"/>
    <row r="35061" ht="12" customHeight="1"/>
    <row r="35062" ht="12" customHeight="1"/>
    <row r="35063" ht="12" customHeight="1"/>
    <row r="35064" ht="12" customHeight="1"/>
    <row r="35065" ht="12" customHeight="1"/>
    <row r="35066" ht="12" customHeight="1"/>
    <row r="35067" ht="12" customHeight="1"/>
    <row r="35068" ht="12" customHeight="1"/>
    <row r="35069" ht="12" customHeight="1"/>
    <row r="35070" ht="12" customHeight="1"/>
    <row r="35071" ht="12" customHeight="1"/>
    <row r="35072" ht="12" customHeight="1"/>
    <row r="35073" ht="12" customHeight="1"/>
    <row r="35074" ht="12" customHeight="1"/>
    <row r="35075" ht="12" customHeight="1"/>
    <row r="35076" ht="12" customHeight="1"/>
    <row r="35077" ht="12" customHeight="1"/>
    <row r="35078" ht="12" customHeight="1"/>
    <row r="35079" ht="12" customHeight="1"/>
    <row r="35080" ht="12" customHeight="1"/>
    <row r="35081" ht="12" customHeight="1"/>
    <row r="35082" ht="12" customHeight="1"/>
    <row r="35083" ht="12" customHeight="1"/>
    <row r="35084" ht="12" customHeight="1"/>
    <row r="35085" ht="12" customHeight="1"/>
    <row r="35086" ht="12" customHeight="1"/>
    <row r="35087" ht="12" customHeight="1"/>
    <row r="35088" ht="12" customHeight="1"/>
    <row r="35089" ht="12" customHeight="1"/>
    <row r="35090" ht="12" customHeight="1"/>
    <row r="35091" ht="12" customHeight="1"/>
    <row r="35092" ht="12" customHeight="1"/>
    <row r="35093" ht="12" customHeight="1"/>
    <row r="35094" ht="12" customHeight="1"/>
    <row r="35095" ht="12" customHeight="1"/>
    <row r="35096" ht="12" customHeight="1"/>
    <row r="35097" ht="12" customHeight="1"/>
    <row r="35098" ht="12" customHeight="1"/>
    <row r="35099" ht="12" customHeight="1"/>
    <row r="35100" ht="12" customHeight="1"/>
    <row r="35101" ht="12" customHeight="1"/>
    <row r="35102" ht="12" customHeight="1"/>
    <row r="35103" ht="12" customHeight="1"/>
    <row r="35104" ht="12" customHeight="1"/>
    <row r="35105" ht="12" customHeight="1"/>
    <row r="35106" ht="12" customHeight="1"/>
    <row r="35107" ht="12" customHeight="1"/>
    <row r="35108" ht="12" customHeight="1"/>
    <row r="35109" ht="12" customHeight="1"/>
    <row r="35110" ht="12" customHeight="1"/>
    <row r="35111" ht="12" customHeight="1"/>
    <row r="35112" ht="12" customHeight="1"/>
    <row r="35113" ht="12" customHeight="1"/>
    <row r="35114" ht="12" customHeight="1"/>
    <row r="35115" ht="12" customHeight="1"/>
    <row r="35116" ht="12" customHeight="1"/>
    <row r="35117" ht="12" customHeight="1"/>
    <row r="35118" ht="12" customHeight="1"/>
    <row r="35119" ht="12" customHeight="1"/>
    <row r="35120" ht="12" customHeight="1"/>
    <row r="35121" ht="12" customHeight="1"/>
    <row r="35122" ht="12" customHeight="1"/>
    <row r="35123" ht="12" customHeight="1"/>
    <row r="35124" ht="12" customHeight="1"/>
    <row r="35125" ht="12" customHeight="1"/>
    <row r="35126" ht="12" customHeight="1"/>
    <row r="35127" ht="12" customHeight="1"/>
    <row r="35128" ht="12" customHeight="1"/>
    <row r="35129" ht="12" customHeight="1"/>
    <row r="35130" ht="12" customHeight="1"/>
    <row r="35131" ht="12" customHeight="1"/>
    <row r="35132" ht="12" customHeight="1"/>
    <row r="35133" ht="12" customHeight="1"/>
    <row r="35134" ht="12" customHeight="1"/>
    <row r="35135" ht="12" customHeight="1"/>
    <row r="35136" ht="12" customHeight="1"/>
    <row r="35137" ht="12" customHeight="1"/>
    <row r="35138" ht="12" customHeight="1"/>
    <row r="35139" ht="12" customHeight="1"/>
    <row r="35140" ht="12" customHeight="1"/>
    <row r="35141" ht="12" customHeight="1"/>
    <row r="35142" ht="12" customHeight="1"/>
    <row r="35143" ht="12" customHeight="1"/>
    <row r="35144" ht="12" customHeight="1"/>
    <row r="35145" ht="12" customHeight="1"/>
    <row r="35146" ht="12" customHeight="1"/>
    <row r="35147" ht="12" customHeight="1"/>
    <row r="35148" ht="12" customHeight="1"/>
    <row r="35149" ht="12" customHeight="1"/>
    <row r="35150" ht="12" customHeight="1"/>
    <row r="35151" ht="12" customHeight="1"/>
    <row r="35152" ht="12" customHeight="1"/>
    <row r="35153" ht="12" customHeight="1"/>
    <row r="35154" ht="12" customHeight="1"/>
    <row r="35155" ht="12" customHeight="1"/>
    <row r="35156" ht="12" customHeight="1"/>
    <row r="35157" ht="12" customHeight="1"/>
    <row r="35158" ht="12" customHeight="1"/>
    <row r="35159" ht="12" customHeight="1"/>
    <row r="35160" ht="12" customHeight="1"/>
    <row r="35161" ht="12" customHeight="1"/>
    <row r="35162" ht="12" customHeight="1"/>
    <row r="35163" ht="12" customHeight="1"/>
    <row r="35164" ht="12" customHeight="1"/>
    <row r="35165" ht="12" customHeight="1"/>
    <row r="35166" ht="12" customHeight="1"/>
    <row r="35167" ht="12" customHeight="1"/>
    <row r="35168" ht="12" customHeight="1"/>
    <row r="35169" ht="12" customHeight="1"/>
    <row r="35170" ht="12" customHeight="1"/>
    <row r="35171" ht="12" customHeight="1"/>
    <row r="35172" ht="12" customHeight="1"/>
    <row r="35173" ht="12" customHeight="1"/>
    <row r="35174" ht="12" customHeight="1"/>
    <row r="35175" ht="12" customHeight="1"/>
    <row r="35176" ht="12" customHeight="1"/>
    <row r="35177" ht="12" customHeight="1"/>
    <row r="35178" ht="12" customHeight="1"/>
    <row r="35179" ht="12" customHeight="1"/>
    <row r="35180" ht="12" customHeight="1"/>
    <row r="35181" ht="12" customHeight="1"/>
    <row r="35182" ht="12" customHeight="1"/>
    <row r="35183" ht="12" customHeight="1"/>
    <row r="35184" ht="12" customHeight="1"/>
    <row r="35185" ht="12" customHeight="1"/>
    <row r="35186" ht="12" customHeight="1"/>
    <row r="35187" ht="12" customHeight="1"/>
    <row r="35188" ht="12" customHeight="1"/>
    <row r="35189" ht="12" customHeight="1"/>
    <row r="35190" ht="12" customHeight="1"/>
    <row r="35191" ht="12" customHeight="1"/>
    <row r="35192" ht="12" customHeight="1"/>
    <row r="35193" ht="12" customHeight="1"/>
    <row r="35194" ht="12" customHeight="1"/>
    <row r="35195" ht="12" customHeight="1"/>
    <row r="35196" ht="12" customHeight="1"/>
    <row r="35197" ht="12" customHeight="1"/>
    <row r="35198" ht="12" customHeight="1"/>
    <row r="35199" ht="12" customHeight="1"/>
    <row r="35200" ht="12" customHeight="1"/>
    <row r="35201" ht="12" customHeight="1"/>
    <row r="35202" ht="12" customHeight="1"/>
    <row r="35203" ht="12" customHeight="1"/>
    <row r="35204" ht="12" customHeight="1"/>
    <row r="35205" ht="12" customHeight="1"/>
    <row r="35206" ht="12" customHeight="1"/>
    <row r="35207" ht="12" customHeight="1"/>
    <row r="35208" ht="12" customHeight="1"/>
    <row r="35209" ht="12" customHeight="1"/>
    <row r="35210" ht="12" customHeight="1"/>
    <row r="35211" ht="12" customHeight="1"/>
    <row r="35212" ht="12" customHeight="1"/>
    <row r="35213" ht="12" customHeight="1"/>
    <row r="35214" ht="12" customHeight="1"/>
    <row r="35215" ht="12" customHeight="1"/>
    <row r="35216" ht="12" customHeight="1"/>
    <row r="35217" ht="12" customHeight="1"/>
    <row r="35218" ht="12" customHeight="1"/>
    <row r="35219" ht="12" customHeight="1"/>
    <row r="35220" ht="12" customHeight="1"/>
    <row r="35221" ht="12" customHeight="1"/>
    <row r="35222" ht="12" customHeight="1"/>
    <row r="35223" ht="12" customHeight="1"/>
    <row r="35224" ht="12" customHeight="1"/>
    <row r="35225" ht="12" customHeight="1"/>
    <row r="35226" ht="12" customHeight="1"/>
    <row r="35227" ht="12" customHeight="1"/>
    <row r="35228" ht="12" customHeight="1"/>
    <row r="35229" ht="12" customHeight="1"/>
    <row r="35230" ht="12" customHeight="1"/>
    <row r="35231" ht="12" customHeight="1"/>
    <row r="35232" ht="12" customHeight="1"/>
    <row r="35233" ht="12" customHeight="1"/>
    <row r="35234" ht="12" customHeight="1"/>
    <row r="35235" ht="12" customHeight="1"/>
    <row r="35236" ht="12" customHeight="1"/>
    <row r="35237" ht="12" customHeight="1"/>
    <row r="35238" ht="12" customHeight="1"/>
    <row r="35239" ht="12" customHeight="1"/>
    <row r="35240" ht="12" customHeight="1"/>
    <row r="35241" ht="12" customHeight="1"/>
    <row r="35242" ht="12" customHeight="1"/>
    <row r="35243" ht="12" customHeight="1"/>
    <row r="35244" ht="12" customHeight="1"/>
    <row r="35245" ht="12" customHeight="1"/>
    <row r="35246" ht="12" customHeight="1"/>
    <row r="35247" ht="12" customHeight="1"/>
    <row r="35248" ht="12" customHeight="1"/>
    <row r="35249" ht="12" customHeight="1"/>
    <row r="35250" ht="12" customHeight="1"/>
    <row r="35251" ht="12" customHeight="1"/>
    <row r="35252" ht="12" customHeight="1"/>
    <row r="35253" ht="12" customHeight="1"/>
    <row r="35254" ht="12" customHeight="1"/>
    <row r="35255" ht="12" customHeight="1"/>
    <row r="35256" ht="12" customHeight="1"/>
    <row r="35257" ht="12" customHeight="1"/>
    <row r="35258" ht="12" customHeight="1"/>
    <row r="35259" ht="12" customHeight="1"/>
    <row r="35260" ht="12" customHeight="1"/>
    <row r="35261" ht="12" customHeight="1"/>
    <row r="35262" ht="12" customHeight="1"/>
    <row r="35263" ht="12" customHeight="1"/>
    <row r="35264" ht="12" customHeight="1"/>
    <row r="35265" ht="12" customHeight="1"/>
    <row r="35266" ht="12" customHeight="1"/>
    <row r="35267" ht="12" customHeight="1"/>
    <row r="35268" ht="12" customHeight="1"/>
    <row r="35269" ht="12" customHeight="1"/>
    <row r="35270" ht="12" customHeight="1"/>
    <row r="35271" ht="12" customHeight="1"/>
    <row r="35272" ht="12" customHeight="1"/>
    <row r="35273" ht="12" customHeight="1"/>
    <row r="35274" ht="12" customHeight="1"/>
    <row r="35275" ht="12" customHeight="1"/>
    <row r="35276" ht="12" customHeight="1"/>
    <row r="35277" ht="12" customHeight="1"/>
    <row r="35278" ht="12" customHeight="1"/>
    <row r="35279" ht="12" customHeight="1"/>
    <row r="35280" ht="12" customHeight="1"/>
    <row r="35281" ht="12" customHeight="1"/>
    <row r="35282" ht="12" customHeight="1"/>
    <row r="35283" ht="12" customHeight="1"/>
    <row r="35284" ht="12" customHeight="1"/>
    <row r="35285" ht="12" customHeight="1"/>
    <row r="35286" ht="12" customHeight="1"/>
    <row r="35287" ht="12" customHeight="1"/>
    <row r="35288" ht="12" customHeight="1"/>
    <row r="35289" ht="12" customHeight="1"/>
    <row r="35290" ht="12" customHeight="1"/>
    <row r="35291" ht="12" customHeight="1"/>
    <row r="35292" ht="12" customHeight="1"/>
    <row r="35293" ht="12" customHeight="1"/>
    <row r="35294" ht="12" customHeight="1"/>
    <row r="35295" ht="12" customHeight="1"/>
    <row r="35296" ht="12" customHeight="1"/>
    <row r="35297" ht="12" customHeight="1"/>
    <row r="35298" ht="12" customHeight="1"/>
    <row r="35299" ht="12" customHeight="1"/>
    <row r="35300" ht="12" customHeight="1"/>
    <row r="35301" ht="12" customHeight="1"/>
    <row r="35302" ht="12" customHeight="1"/>
    <row r="35303" ht="12" customHeight="1"/>
    <row r="35304" ht="12" customHeight="1"/>
    <row r="35305" ht="12" customHeight="1"/>
    <row r="35306" ht="12" customHeight="1"/>
    <row r="35307" ht="12" customHeight="1"/>
    <row r="35308" ht="12" customHeight="1"/>
    <row r="35309" ht="12" customHeight="1"/>
    <row r="35310" ht="12" customHeight="1"/>
    <row r="35311" ht="12" customHeight="1"/>
    <row r="35312" ht="12" customHeight="1"/>
    <row r="35313" ht="12" customHeight="1"/>
    <row r="35314" ht="12" customHeight="1"/>
    <row r="35315" ht="12" customHeight="1"/>
    <row r="35316" ht="12" customHeight="1"/>
    <row r="35317" ht="12" customHeight="1"/>
    <row r="35318" ht="12" customHeight="1"/>
    <row r="35319" ht="12" customHeight="1"/>
    <row r="35320" ht="12" customHeight="1"/>
    <row r="35321" ht="12" customHeight="1"/>
    <row r="35322" ht="12" customHeight="1"/>
    <row r="35323" ht="12" customHeight="1"/>
    <row r="35324" ht="12" customHeight="1"/>
    <row r="35325" ht="12" customHeight="1"/>
    <row r="35326" ht="12" customHeight="1"/>
    <row r="35327" ht="12" customHeight="1"/>
    <row r="35328" ht="12" customHeight="1"/>
    <row r="35329" ht="12" customHeight="1"/>
    <row r="35330" ht="12" customHeight="1"/>
    <row r="35331" ht="12" customHeight="1"/>
    <row r="35332" ht="12" customHeight="1"/>
    <row r="35333" ht="12" customHeight="1"/>
    <row r="35334" ht="12" customHeight="1"/>
    <row r="35335" ht="12" customHeight="1"/>
    <row r="35336" ht="12" customHeight="1"/>
    <row r="35337" ht="12" customHeight="1"/>
    <row r="35338" ht="12" customHeight="1"/>
    <row r="35339" ht="12" customHeight="1"/>
    <row r="35340" ht="12" customHeight="1"/>
    <row r="35341" ht="12" customHeight="1"/>
    <row r="35342" ht="12" customHeight="1"/>
    <row r="35343" ht="12" customHeight="1"/>
    <row r="35344" ht="12" customHeight="1"/>
    <row r="35345" ht="12" customHeight="1"/>
    <row r="35346" ht="12" customHeight="1"/>
    <row r="35347" ht="12" customHeight="1"/>
    <row r="35348" ht="12" customHeight="1"/>
    <row r="35349" ht="12" customHeight="1"/>
    <row r="35350" ht="12" customHeight="1"/>
    <row r="35351" ht="12" customHeight="1"/>
    <row r="35352" ht="12" customHeight="1"/>
    <row r="35353" ht="12" customHeight="1"/>
    <row r="35354" ht="12" customHeight="1"/>
    <row r="35355" ht="12" customHeight="1"/>
    <row r="35356" ht="12" customHeight="1"/>
    <row r="35357" ht="12" customHeight="1"/>
    <row r="35358" ht="12" customHeight="1"/>
    <row r="35359" ht="12" customHeight="1"/>
    <row r="35360" ht="12" customHeight="1"/>
    <row r="35361" ht="12" customHeight="1"/>
    <row r="35362" ht="12" customHeight="1"/>
    <row r="35363" ht="12" customHeight="1"/>
    <row r="35364" ht="12" customHeight="1"/>
    <row r="35365" ht="12" customHeight="1"/>
    <row r="35366" ht="12" customHeight="1"/>
    <row r="35367" ht="12" customHeight="1"/>
    <row r="35368" ht="12" customHeight="1"/>
    <row r="35369" ht="12" customHeight="1"/>
    <row r="35370" ht="12" customHeight="1"/>
    <row r="35371" ht="12" customHeight="1"/>
    <row r="35372" ht="12" customHeight="1"/>
    <row r="35373" ht="12" customHeight="1"/>
    <row r="35374" ht="12" customHeight="1"/>
    <row r="35375" ht="12" customHeight="1"/>
    <row r="35376" ht="12" customHeight="1"/>
    <row r="35377" ht="12" customHeight="1"/>
    <row r="35378" ht="12" customHeight="1"/>
    <row r="35379" ht="12" customHeight="1"/>
    <row r="35380" ht="12" customHeight="1"/>
    <row r="35381" ht="12" customHeight="1"/>
    <row r="35382" ht="12" customHeight="1"/>
    <row r="35383" ht="12" customHeight="1"/>
    <row r="35384" ht="12" customHeight="1"/>
    <row r="35385" ht="12" customHeight="1"/>
    <row r="35386" ht="12" customHeight="1"/>
    <row r="35387" ht="12" customHeight="1"/>
    <row r="35388" ht="12" customHeight="1"/>
    <row r="35389" ht="12" customHeight="1"/>
    <row r="35390" ht="12" customHeight="1"/>
    <row r="35391" ht="12" customHeight="1"/>
    <row r="35392" ht="12" customHeight="1"/>
    <row r="35393" ht="12" customHeight="1"/>
    <row r="35394" ht="12" customHeight="1"/>
    <row r="35395" ht="12" customHeight="1"/>
    <row r="35396" ht="12" customHeight="1"/>
    <row r="35397" ht="12" customHeight="1"/>
    <row r="35398" ht="12" customHeight="1"/>
    <row r="35399" ht="12" customHeight="1"/>
    <row r="35400" ht="12" customHeight="1"/>
    <row r="35401" ht="12" customHeight="1"/>
    <row r="35402" ht="12" customHeight="1"/>
    <row r="35403" ht="12" customHeight="1"/>
    <row r="35404" ht="12" customHeight="1"/>
    <row r="35405" ht="12" customHeight="1"/>
    <row r="35406" ht="12" customHeight="1"/>
    <row r="35407" ht="12" customHeight="1"/>
    <row r="35408" ht="12" customHeight="1"/>
    <row r="35409" ht="12" customHeight="1"/>
    <row r="35410" ht="12" customHeight="1"/>
    <row r="35411" ht="12" customHeight="1"/>
    <row r="35412" ht="12" customHeight="1"/>
    <row r="35413" ht="12" customHeight="1"/>
    <row r="35414" ht="12" customHeight="1"/>
    <row r="35415" ht="12" customHeight="1"/>
    <row r="35416" ht="12" customHeight="1"/>
    <row r="35417" ht="12" customHeight="1"/>
    <row r="35418" ht="12" customHeight="1"/>
    <row r="35419" ht="12" customHeight="1"/>
    <row r="35420" ht="12" customHeight="1"/>
    <row r="35421" ht="12" customHeight="1"/>
    <row r="35422" ht="12" customHeight="1"/>
    <row r="35423" ht="12" customHeight="1"/>
    <row r="35424" ht="12" customHeight="1"/>
    <row r="35425" ht="12" customHeight="1"/>
    <row r="35426" ht="12" customHeight="1"/>
    <row r="35427" ht="12" customHeight="1"/>
    <row r="35428" ht="12" customHeight="1"/>
    <row r="35429" ht="12" customHeight="1"/>
    <row r="35430" ht="12" customHeight="1"/>
    <row r="35431" ht="12" customHeight="1"/>
    <row r="35432" ht="12" customHeight="1"/>
    <row r="35433" ht="12" customHeight="1"/>
    <row r="35434" ht="12" customHeight="1"/>
    <row r="35435" ht="12" customHeight="1"/>
    <row r="35436" ht="12" customHeight="1"/>
    <row r="35437" ht="12" customHeight="1"/>
    <row r="35438" ht="12" customHeight="1"/>
    <row r="35439" ht="12" customHeight="1"/>
    <row r="35440" ht="12" customHeight="1"/>
    <row r="35441" ht="12" customHeight="1"/>
    <row r="35442" ht="12" customHeight="1"/>
    <row r="35443" ht="12" customHeight="1"/>
    <row r="35444" ht="12" customHeight="1"/>
    <row r="35445" ht="12" customHeight="1"/>
    <row r="35446" ht="12" customHeight="1"/>
    <row r="35447" ht="12" customHeight="1"/>
    <row r="35448" ht="12" customHeight="1"/>
    <row r="35449" ht="12" customHeight="1"/>
    <row r="35450" ht="12" customHeight="1"/>
    <row r="35451" ht="12" customHeight="1"/>
    <row r="35452" ht="12" customHeight="1"/>
    <row r="35453" ht="12" customHeight="1"/>
    <row r="35454" ht="12" customHeight="1"/>
    <row r="35455" ht="12" customHeight="1"/>
    <row r="35456" ht="12" customHeight="1"/>
    <row r="35457" ht="12" customHeight="1"/>
    <row r="35458" ht="12" customHeight="1"/>
    <row r="35459" ht="12" customHeight="1"/>
    <row r="35460" ht="12" customHeight="1"/>
    <row r="35461" ht="12" customHeight="1"/>
    <row r="35462" ht="12" customHeight="1"/>
    <row r="35463" ht="12" customHeight="1"/>
    <row r="35464" ht="12" customHeight="1"/>
    <row r="35465" ht="12" customHeight="1"/>
    <row r="35466" ht="12" customHeight="1"/>
    <row r="35467" ht="12" customHeight="1"/>
    <row r="35468" ht="12" customHeight="1"/>
    <row r="35469" ht="12" customHeight="1"/>
    <row r="35470" ht="12" customHeight="1"/>
    <row r="35471" ht="12" customHeight="1"/>
    <row r="35472" ht="12" customHeight="1"/>
    <row r="35473" ht="12" customHeight="1"/>
    <row r="35474" ht="12" customHeight="1"/>
    <row r="35475" ht="12" customHeight="1"/>
    <row r="35476" ht="12" customHeight="1"/>
    <row r="35477" ht="12" customHeight="1"/>
    <row r="35478" ht="12" customHeight="1"/>
    <row r="35479" ht="12" customHeight="1"/>
    <row r="35480" ht="12" customHeight="1"/>
    <row r="35481" ht="12" customHeight="1"/>
    <row r="35482" ht="12" customHeight="1"/>
    <row r="35483" ht="12" customHeight="1"/>
    <row r="35484" ht="12" customHeight="1"/>
    <row r="35485" ht="12" customHeight="1"/>
    <row r="35486" ht="12" customHeight="1"/>
    <row r="35487" ht="12" customHeight="1"/>
    <row r="35488" ht="12" customHeight="1"/>
    <row r="35489" ht="12" customHeight="1"/>
    <row r="35490" ht="12" customHeight="1"/>
    <row r="35491" ht="12" customHeight="1"/>
    <row r="35492" ht="12" customHeight="1"/>
    <row r="35493" ht="12" customHeight="1"/>
    <row r="35494" ht="12" customHeight="1"/>
    <row r="35495" ht="12" customHeight="1"/>
    <row r="35496" ht="12" customHeight="1"/>
    <row r="35497" ht="12" customHeight="1"/>
    <row r="35498" ht="12" customHeight="1"/>
    <row r="35499" ht="12" customHeight="1"/>
    <row r="35500" ht="12" customHeight="1"/>
    <row r="35501" ht="12" customHeight="1"/>
    <row r="35502" ht="12" customHeight="1"/>
    <row r="35503" ht="12" customHeight="1"/>
    <row r="35504" ht="12" customHeight="1"/>
    <row r="35505" ht="12" customHeight="1"/>
    <row r="35506" ht="12" customHeight="1"/>
    <row r="35507" ht="12" customHeight="1"/>
    <row r="35508" ht="12" customHeight="1"/>
    <row r="35509" ht="12" customHeight="1"/>
    <row r="35510" ht="12" customHeight="1"/>
    <row r="35511" ht="12" customHeight="1"/>
    <row r="35512" ht="12" customHeight="1"/>
    <row r="35513" ht="12" customHeight="1"/>
    <row r="35514" ht="12" customHeight="1"/>
    <row r="35515" ht="12" customHeight="1"/>
    <row r="35516" ht="12" customHeight="1"/>
    <row r="35517" ht="12" customHeight="1"/>
    <row r="35518" ht="12" customHeight="1"/>
    <row r="35519" ht="12" customHeight="1"/>
    <row r="35520" ht="12" customHeight="1"/>
    <row r="35521" ht="12" customHeight="1"/>
    <row r="35522" ht="12" customHeight="1"/>
    <row r="35523" ht="12" customHeight="1"/>
    <row r="35524" ht="12" customHeight="1"/>
    <row r="35525" ht="12" customHeight="1"/>
    <row r="35526" ht="12" customHeight="1"/>
    <row r="35527" ht="12" customHeight="1"/>
    <row r="35528" ht="12" customHeight="1"/>
    <row r="35529" ht="12" customHeight="1"/>
    <row r="35530" ht="12" customHeight="1"/>
    <row r="35531" ht="12" customHeight="1"/>
    <row r="35532" ht="12" customHeight="1"/>
    <row r="35533" ht="12" customHeight="1"/>
    <row r="35534" ht="12" customHeight="1"/>
    <row r="35535" ht="12" customHeight="1"/>
    <row r="35536" ht="12" customHeight="1"/>
    <row r="35537" ht="12" customHeight="1"/>
    <row r="35538" ht="12" customHeight="1"/>
    <row r="35539" ht="12" customHeight="1"/>
    <row r="35540" ht="12" customHeight="1"/>
    <row r="35541" ht="12" customHeight="1"/>
    <row r="35542" ht="12" customHeight="1"/>
    <row r="35543" ht="12" customHeight="1"/>
    <row r="35544" ht="12" customHeight="1"/>
    <row r="35545" ht="12" customHeight="1"/>
    <row r="35546" ht="12" customHeight="1"/>
    <row r="35547" ht="12" customHeight="1"/>
    <row r="35548" ht="12" customHeight="1"/>
    <row r="35549" ht="12" customHeight="1"/>
    <row r="35550" ht="12" customHeight="1"/>
    <row r="35551" ht="12" customHeight="1"/>
    <row r="35552" ht="12" customHeight="1"/>
    <row r="35553" ht="12" customHeight="1"/>
    <row r="35554" ht="12" customHeight="1"/>
    <row r="35555" ht="12" customHeight="1"/>
    <row r="35556" ht="12" customHeight="1"/>
    <row r="35557" ht="12" customHeight="1"/>
    <row r="35558" ht="12" customHeight="1"/>
    <row r="35559" ht="12" customHeight="1"/>
    <row r="35560" ht="12" customHeight="1"/>
    <row r="35561" ht="12" customHeight="1"/>
    <row r="35562" ht="12" customHeight="1"/>
    <row r="35563" ht="12" customHeight="1"/>
    <row r="35564" ht="12" customHeight="1"/>
    <row r="35565" ht="12" customHeight="1"/>
    <row r="35566" ht="12" customHeight="1"/>
    <row r="35567" ht="12" customHeight="1"/>
    <row r="35568" ht="12" customHeight="1"/>
    <row r="35569" ht="12" customHeight="1"/>
    <row r="35570" ht="12" customHeight="1"/>
    <row r="35571" ht="12" customHeight="1"/>
    <row r="35572" ht="12" customHeight="1"/>
    <row r="35573" ht="12" customHeight="1"/>
    <row r="35574" ht="12" customHeight="1"/>
    <row r="35575" ht="12" customHeight="1"/>
    <row r="35576" ht="12" customHeight="1"/>
    <row r="35577" ht="12" customHeight="1"/>
    <row r="35578" ht="12" customHeight="1"/>
    <row r="35579" ht="12" customHeight="1"/>
    <row r="35580" ht="12" customHeight="1"/>
    <row r="35581" ht="12" customHeight="1"/>
    <row r="35582" ht="12" customHeight="1"/>
    <row r="35583" ht="12" customHeight="1"/>
    <row r="35584" ht="12" customHeight="1"/>
    <row r="35585" ht="12" customHeight="1"/>
    <row r="35586" ht="12" customHeight="1"/>
    <row r="35587" ht="12" customHeight="1"/>
    <row r="35588" ht="12" customHeight="1"/>
    <row r="35589" ht="12" customHeight="1"/>
    <row r="35590" ht="12" customHeight="1"/>
    <row r="35591" ht="12" customHeight="1"/>
    <row r="35592" ht="12" customHeight="1"/>
    <row r="35593" ht="12" customHeight="1"/>
    <row r="35594" ht="12" customHeight="1"/>
    <row r="35595" ht="12" customHeight="1"/>
    <row r="35596" ht="12" customHeight="1"/>
    <row r="35597" ht="12" customHeight="1"/>
    <row r="35598" ht="12" customHeight="1"/>
    <row r="35599" ht="12" customHeight="1"/>
    <row r="35600" ht="12" customHeight="1"/>
    <row r="35601" ht="12" customHeight="1"/>
    <row r="35602" ht="12" customHeight="1"/>
    <row r="35603" ht="12" customHeight="1"/>
    <row r="35604" ht="12" customHeight="1"/>
    <row r="35605" ht="12" customHeight="1"/>
    <row r="35606" ht="12" customHeight="1"/>
    <row r="35607" ht="12" customHeight="1"/>
    <row r="35608" ht="12" customHeight="1"/>
    <row r="35609" ht="12" customHeight="1"/>
    <row r="35610" ht="12" customHeight="1"/>
    <row r="35611" ht="12" customHeight="1"/>
    <row r="35612" ht="12" customHeight="1"/>
    <row r="35613" ht="12" customHeight="1"/>
    <row r="35614" ht="12" customHeight="1"/>
    <row r="35615" ht="12" customHeight="1"/>
    <row r="35616" ht="12" customHeight="1"/>
    <row r="35617" ht="12" customHeight="1"/>
    <row r="35618" ht="12" customHeight="1"/>
    <row r="35619" ht="12" customHeight="1"/>
    <row r="35620" ht="12" customHeight="1"/>
    <row r="35621" ht="12" customHeight="1"/>
    <row r="35622" ht="12" customHeight="1"/>
    <row r="35623" ht="12" customHeight="1"/>
    <row r="35624" ht="12" customHeight="1"/>
    <row r="35625" ht="12" customHeight="1"/>
    <row r="35626" ht="12" customHeight="1"/>
    <row r="35627" ht="12" customHeight="1"/>
    <row r="35628" ht="12" customHeight="1"/>
    <row r="35629" ht="12" customHeight="1"/>
    <row r="35630" ht="12" customHeight="1"/>
    <row r="35631" ht="12" customHeight="1"/>
    <row r="35632" ht="12" customHeight="1"/>
    <row r="35633" ht="12" customHeight="1"/>
    <row r="35634" ht="12" customHeight="1"/>
    <row r="35635" ht="12" customHeight="1"/>
    <row r="35636" ht="12" customHeight="1"/>
    <row r="35637" ht="12" customHeight="1"/>
    <row r="35638" ht="12" customHeight="1"/>
    <row r="35639" ht="12" customHeight="1"/>
    <row r="35640" ht="12" customHeight="1"/>
    <row r="35641" ht="12" customHeight="1"/>
    <row r="35642" ht="12" customHeight="1"/>
    <row r="35643" ht="12" customHeight="1"/>
    <row r="35644" ht="12" customHeight="1"/>
    <row r="35645" ht="12" customHeight="1"/>
    <row r="35646" ht="12" customHeight="1"/>
    <row r="35647" ht="12" customHeight="1"/>
    <row r="35648" ht="12" customHeight="1"/>
    <row r="35649" ht="12" customHeight="1"/>
    <row r="35650" ht="12" customHeight="1"/>
    <row r="35651" ht="12" customHeight="1"/>
    <row r="35652" ht="12" customHeight="1"/>
    <row r="35653" ht="12" customHeight="1"/>
    <row r="35654" ht="12" customHeight="1"/>
    <row r="35655" ht="12" customHeight="1"/>
    <row r="35656" ht="12" customHeight="1"/>
    <row r="35657" ht="12" customHeight="1"/>
    <row r="35658" ht="12" customHeight="1"/>
    <row r="35659" ht="12" customHeight="1"/>
    <row r="35660" ht="12" customHeight="1"/>
    <row r="35661" ht="12" customHeight="1"/>
    <row r="35662" ht="12" customHeight="1"/>
    <row r="35663" ht="12" customHeight="1"/>
    <row r="35664" ht="12" customHeight="1"/>
    <row r="35665" ht="12" customHeight="1"/>
    <row r="35666" ht="12" customHeight="1"/>
    <row r="35667" ht="12" customHeight="1"/>
    <row r="35668" ht="12" customHeight="1"/>
    <row r="35669" ht="12" customHeight="1"/>
    <row r="35670" ht="12" customHeight="1"/>
    <row r="35671" ht="12" customHeight="1"/>
    <row r="35672" ht="12" customHeight="1"/>
    <row r="35673" ht="12" customHeight="1"/>
    <row r="35674" ht="12" customHeight="1"/>
    <row r="35675" ht="12" customHeight="1"/>
    <row r="35676" ht="12" customHeight="1"/>
    <row r="35677" ht="12" customHeight="1"/>
    <row r="35678" ht="12" customHeight="1"/>
    <row r="35679" ht="12" customHeight="1"/>
    <row r="35680" ht="12" customHeight="1"/>
    <row r="35681" ht="12" customHeight="1"/>
    <row r="35682" ht="12" customHeight="1"/>
    <row r="35683" ht="12" customHeight="1"/>
    <row r="35684" ht="12" customHeight="1"/>
    <row r="35685" ht="12" customHeight="1"/>
    <row r="35686" ht="12" customHeight="1"/>
    <row r="35687" ht="12" customHeight="1"/>
    <row r="35688" ht="12" customHeight="1"/>
    <row r="35689" ht="12" customHeight="1"/>
    <row r="35690" ht="12" customHeight="1"/>
    <row r="35691" ht="12" customHeight="1"/>
    <row r="35692" ht="12" customHeight="1"/>
    <row r="35693" ht="12" customHeight="1"/>
    <row r="35694" ht="12" customHeight="1"/>
    <row r="35695" ht="12" customHeight="1"/>
    <row r="35696" ht="12" customHeight="1"/>
    <row r="35697" ht="12" customHeight="1"/>
    <row r="35698" ht="12" customHeight="1"/>
    <row r="35699" ht="12" customHeight="1"/>
    <row r="35700" ht="12" customHeight="1"/>
    <row r="35701" ht="12" customHeight="1"/>
    <row r="35702" ht="12" customHeight="1"/>
    <row r="35703" ht="12" customHeight="1"/>
    <row r="35704" ht="12" customHeight="1"/>
    <row r="35705" ht="12" customHeight="1"/>
    <row r="35706" ht="12" customHeight="1"/>
    <row r="35707" ht="12" customHeight="1"/>
    <row r="35708" ht="12" customHeight="1"/>
    <row r="35709" ht="12" customHeight="1"/>
    <row r="35710" ht="12" customHeight="1"/>
    <row r="35711" ht="12" customHeight="1"/>
    <row r="35712" ht="12" customHeight="1"/>
    <row r="35713" ht="12" customHeight="1"/>
    <row r="35714" ht="12" customHeight="1"/>
    <row r="35715" ht="12" customHeight="1"/>
    <row r="35716" ht="12" customHeight="1"/>
    <row r="35717" ht="12" customHeight="1"/>
    <row r="35718" ht="12" customHeight="1"/>
    <row r="35719" ht="12" customHeight="1"/>
    <row r="35720" ht="12" customHeight="1"/>
    <row r="35721" ht="12" customHeight="1"/>
    <row r="35722" ht="12" customHeight="1"/>
    <row r="35723" ht="12" customHeight="1"/>
    <row r="35724" ht="12" customHeight="1"/>
    <row r="35725" ht="12" customHeight="1"/>
    <row r="35726" ht="12" customHeight="1"/>
    <row r="35727" ht="12" customHeight="1"/>
    <row r="35728" ht="12" customHeight="1"/>
    <row r="35729" ht="12" customHeight="1"/>
    <row r="35730" ht="12" customHeight="1"/>
    <row r="35731" ht="12" customHeight="1"/>
    <row r="35732" ht="12" customHeight="1"/>
    <row r="35733" ht="12" customHeight="1"/>
    <row r="35734" ht="12" customHeight="1"/>
    <row r="35735" ht="12" customHeight="1"/>
    <row r="35736" ht="12" customHeight="1"/>
    <row r="35737" ht="12" customHeight="1"/>
    <row r="35738" ht="12" customHeight="1"/>
    <row r="35739" ht="12" customHeight="1"/>
    <row r="35740" ht="12" customHeight="1"/>
    <row r="35741" ht="12" customHeight="1"/>
    <row r="35742" ht="12" customHeight="1"/>
    <row r="35743" ht="12" customHeight="1"/>
    <row r="35744" ht="12" customHeight="1"/>
    <row r="35745" ht="12" customHeight="1"/>
    <row r="35746" ht="12" customHeight="1"/>
    <row r="35747" ht="12" customHeight="1"/>
    <row r="35748" ht="12" customHeight="1"/>
    <row r="35749" ht="12" customHeight="1"/>
    <row r="35750" ht="12" customHeight="1"/>
    <row r="35751" ht="12" customHeight="1"/>
    <row r="35752" ht="12" customHeight="1"/>
    <row r="35753" ht="12" customHeight="1"/>
    <row r="35754" ht="12" customHeight="1"/>
    <row r="35755" ht="12" customHeight="1"/>
    <row r="35756" ht="12" customHeight="1"/>
    <row r="35757" ht="12" customHeight="1"/>
    <row r="35758" ht="12" customHeight="1"/>
    <row r="35759" ht="12" customHeight="1"/>
    <row r="35760" ht="12" customHeight="1"/>
    <row r="35761" ht="12" customHeight="1"/>
    <row r="35762" ht="12" customHeight="1"/>
    <row r="35763" ht="12" customHeight="1"/>
    <row r="35764" ht="12" customHeight="1"/>
    <row r="35765" ht="12" customHeight="1"/>
    <row r="35766" ht="12" customHeight="1"/>
    <row r="35767" ht="12" customHeight="1"/>
    <row r="35768" ht="12" customHeight="1"/>
    <row r="35769" ht="12" customHeight="1"/>
    <row r="35770" ht="12" customHeight="1"/>
    <row r="35771" ht="12" customHeight="1"/>
    <row r="35772" ht="12" customHeight="1"/>
    <row r="35773" ht="12" customHeight="1"/>
    <row r="35774" ht="12" customHeight="1"/>
    <row r="35775" ht="12" customHeight="1"/>
    <row r="35776" ht="12" customHeight="1"/>
    <row r="35777" ht="12" customHeight="1"/>
    <row r="35778" ht="12" customHeight="1"/>
    <row r="35779" ht="12" customHeight="1"/>
    <row r="35780" ht="12" customHeight="1"/>
    <row r="35781" ht="12" customHeight="1"/>
    <row r="35782" ht="12" customHeight="1"/>
    <row r="35783" ht="12" customHeight="1"/>
    <row r="35784" ht="12" customHeight="1"/>
    <row r="35785" ht="12" customHeight="1"/>
    <row r="35786" ht="12" customHeight="1"/>
    <row r="35787" ht="12" customHeight="1"/>
    <row r="35788" ht="12" customHeight="1"/>
    <row r="35789" ht="12" customHeight="1"/>
    <row r="35790" ht="12" customHeight="1"/>
    <row r="35791" ht="12" customHeight="1"/>
    <row r="35792" ht="12" customHeight="1"/>
    <row r="35793" ht="12" customHeight="1"/>
    <row r="35794" ht="12" customHeight="1"/>
    <row r="35795" ht="12" customHeight="1"/>
    <row r="35796" ht="12" customHeight="1"/>
    <row r="35797" ht="12" customHeight="1"/>
    <row r="35798" ht="12" customHeight="1"/>
    <row r="35799" ht="12" customHeight="1"/>
    <row r="35800" ht="12" customHeight="1"/>
    <row r="35801" ht="12" customHeight="1"/>
    <row r="35802" ht="12" customHeight="1"/>
    <row r="35803" ht="12" customHeight="1"/>
    <row r="35804" ht="12" customHeight="1"/>
    <row r="35805" ht="12" customHeight="1"/>
    <row r="35806" ht="12" customHeight="1"/>
    <row r="35807" ht="12" customHeight="1"/>
    <row r="35808" ht="12" customHeight="1"/>
    <row r="35809" ht="12" customHeight="1"/>
    <row r="35810" ht="12" customHeight="1"/>
    <row r="35811" ht="12" customHeight="1"/>
    <row r="35812" ht="12" customHeight="1"/>
    <row r="35813" ht="12" customHeight="1"/>
    <row r="35814" ht="12" customHeight="1"/>
    <row r="35815" ht="12" customHeight="1"/>
    <row r="35816" ht="12" customHeight="1"/>
    <row r="35817" ht="12" customHeight="1"/>
    <row r="35818" ht="12" customHeight="1"/>
    <row r="35819" ht="12" customHeight="1"/>
    <row r="35820" ht="12" customHeight="1"/>
    <row r="35821" ht="12" customHeight="1"/>
    <row r="35822" ht="12" customHeight="1"/>
    <row r="35823" ht="12" customHeight="1"/>
    <row r="35824" ht="12" customHeight="1"/>
    <row r="35825" ht="12" customHeight="1"/>
    <row r="35826" ht="12" customHeight="1"/>
    <row r="35827" ht="12" customHeight="1"/>
    <row r="35828" ht="12" customHeight="1"/>
    <row r="35829" ht="12" customHeight="1"/>
    <row r="35830" ht="12" customHeight="1"/>
    <row r="35831" ht="12" customHeight="1"/>
    <row r="35832" ht="12" customHeight="1"/>
    <row r="35833" ht="12" customHeight="1"/>
    <row r="35834" ht="12" customHeight="1"/>
    <row r="35835" ht="12" customHeight="1"/>
    <row r="35836" ht="12" customHeight="1"/>
    <row r="35837" ht="12" customHeight="1"/>
    <row r="35838" ht="12" customHeight="1"/>
    <row r="35839" ht="12" customHeight="1"/>
    <row r="35840" ht="12" customHeight="1"/>
    <row r="35841" ht="12" customHeight="1"/>
    <row r="35842" ht="12" customHeight="1"/>
    <row r="35843" ht="12" customHeight="1"/>
    <row r="35844" ht="12" customHeight="1"/>
    <row r="35845" ht="12" customHeight="1"/>
    <row r="35846" ht="12" customHeight="1"/>
    <row r="35847" ht="12" customHeight="1"/>
    <row r="35848" ht="12" customHeight="1"/>
    <row r="35849" ht="12" customHeight="1"/>
    <row r="35850" ht="12" customHeight="1"/>
    <row r="35851" ht="12" customHeight="1"/>
    <row r="35852" ht="12" customHeight="1"/>
    <row r="35853" ht="12" customHeight="1"/>
    <row r="35854" ht="12" customHeight="1"/>
    <row r="35855" ht="12" customHeight="1"/>
    <row r="35856" ht="12" customHeight="1"/>
    <row r="35857" ht="12" customHeight="1"/>
    <row r="35858" ht="12" customHeight="1"/>
    <row r="35859" ht="12" customHeight="1"/>
    <row r="35860" ht="12" customHeight="1"/>
    <row r="35861" ht="12" customHeight="1"/>
    <row r="35862" ht="12" customHeight="1"/>
    <row r="35863" ht="12" customHeight="1"/>
    <row r="35864" ht="12" customHeight="1"/>
    <row r="35865" ht="12" customHeight="1"/>
    <row r="35866" ht="12" customHeight="1"/>
    <row r="35867" ht="12" customHeight="1"/>
    <row r="35868" ht="12" customHeight="1"/>
    <row r="35869" ht="12" customHeight="1"/>
    <row r="35870" ht="12" customHeight="1"/>
    <row r="35871" ht="12" customHeight="1"/>
    <row r="35872" ht="12" customHeight="1"/>
    <row r="35873" ht="12" customHeight="1"/>
    <row r="35874" ht="12" customHeight="1"/>
    <row r="35875" ht="12" customHeight="1"/>
    <row r="35876" ht="12" customHeight="1"/>
    <row r="35877" ht="12" customHeight="1"/>
    <row r="35878" ht="12" customHeight="1"/>
    <row r="35879" ht="12" customHeight="1"/>
    <row r="35880" ht="12" customHeight="1"/>
    <row r="35881" ht="12" customHeight="1"/>
    <row r="35882" ht="12" customHeight="1"/>
    <row r="35883" ht="12" customHeight="1"/>
    <row r="35884" ht="12" customHeight="1"/>
    <row r="35885" ht="12" customHeight="1"/>
    <row r="35886" ht="12" customHeight="1"/>
    <row r="35887" ht="12" customHeight="1"/>
    <row r="35888" ht="12" customHeight="1"/>
    <row r="35889" ht="12" customHeight="1"/>
    <row r="35890" ht="12" customHeight="1"/>
    <row r="35891" ht="12" customHeight="1"/>
    <row r="35892" ht="12" customHeight="1"/>
    <row r="35893" ht="12" customHeight="1"/>
    <row r="35894" ht="12" customHeight="1"/>
    <row r="35895" ht="12" customHeight="1"/>
    <row r="35896" ht="12" customHeight="1"/>
    <row r="35897" ht="12" customHeight="1"/>
    <row r="35898" ht="12" customHeight="1"/>
    <row r="35899" ht="12" customHeight="1"/>
    <row r="35900" ht="12" customHeight="1"/>
    <row r="35901" ht="12" customHeight="1"/>
    <row r="35902" ht="12" customHeight="1"/>
    <row r="35903" ht="12" customHeight="1"/>
    <row r="35904" ht="12" customHeight="1"/>
    <row r="35905" ht="12" customHeight="1"/>
    <row r="35906" ht="12" customHeight="1"/>
    <row r="35907" ht="12" customHeight="1"/>
    <row r="35908" ht="12" customHeight="1"/>
    <row r="35909" ht="12" customHeight="1"/>
    <row r="35910" ht="12" customHeight="1"/>
    <row r="35911" ht="12" customHeight="1"/>
    <row r="35912" ht="12" customHeight="1"/>
    <row r="35913" ht="12" customHeight="1"/>
    <row r="35914" ht="12" customHeight="1"/>
    <row r="35915" ht="12" customHeight="1"/>
    <row r="35916" ht="12" customHeight="1"/>
    <row r="35917" ht="12" customHeight="1"/>
    <row r="35918" ht="12" customHeight="1"/>
    <row r="35919" ht="12" customHeight="1"/>
    <row r="35920" ht="12" customHeight="1"/>
    <row r="35921" ht="12" customHeight="1"/>
    <row r="35922" ht="12" customHeight="1"/>
    <row r="35923" ht="12" customHeight="1"/>
    <row r="35924" ht="12" customHeight="1"/>
    <row r="35925" ht="12" customHeight="1"/>
    <row r="35926" ht="12" customHeight="1"/>
    <row r="35927" ht="12" customHeight="1"/>
    <row r="35928" ht="12" customHeight="1"/>
    <row r="35929" ht="12" customHeight="1"/>
    <row r="35930" ht="12" customHeight="1"/>
    <row r="35931" ht="12" customHeight="1"/>
    <row r="35932" ht="12" customHeight="1"/>
    <row r="35933" ht="12" customHeight="1"/>
    <row r="35934" ht="12" customHeight="1"/>
    <row r="35935" ht="12" customHeight="1"/>
    <row r="35936" ht="12" customHeight="1"/>
    <row r="35937" ht="12" customHeight="1"/>
    <row r="35938" ht="12" customHeight="1"/>
    <row r="35939" ht="12" customHeight="1"/>
    <row r="35940" ht="12" customHeight="1"/>
    <row r="35941" ht="12" customHeight="1"/>
    <row r="35942" ht="12" customHeight="1"/>
    <row r="35943" ht="12" customHeight="1"/>
    <row r="35944" ht="12" customHeight="1"/>
    <row r="35945" ht="12" customHeight="1"/>
    <row r="35946" ht="12" customHeight="1"/>
    <row r="35947" ht="12" customHeight="1"/>
    <row r="35948" ht="12" customHeight="1"/>
    <row r="35949" ht="12" customHeight="1"/>
    <row r="35950" ht="12" customHeight="1"/>
    <row r="35951" ht="12" customHeight="1"/>
    <row r="35952" ht="12" customHeight="1"/>
    <row r="35953" ht="12" customHeight="1"/>
    <row r="35954" ht="12" customHeight="1"/>
    <row r="35955" ht="12" customHeight="1"/>
    <row r="35956" ht="12" customHeight="1"/>
    <row r="35957" ht="12" customHeight="1"/>
    <row r="35958" ht="12" customHeight="1"/>
    <row r="35959" ht="12" customHeight="1"/>
    <row r="35960" ht="12" customHeight="1"/>
    <row r="35961" ht="12" customHeight="1"/>
    <row r="35962" ht="12" customHeight="1"/>
    <row r="35963" ht="12" customHeight="1"/>
    <row r="35964" ht="12" customHeight="1"/>
    <row r="35965" ht="12" customHeight="1"/>
    <row r="35966" ht="12" customHeight="1"/>
    <row r="35967" ht="12" customHeight="1"/>
    <row r="35968" ht="12" customHeight="1"/>
    <row r="35969" ht="12" customHeight="1"/>
    <row r="35970" ht="12" customHeight="1"/>
    <row r="35971" ht="12" customHeight="1"/>
    <row r="35972" ht="12" customHeight="1"/>
    <row r="35973" ht="12" customHeight="1"/>
    <row r="35974" ht="12" customHeight="1"/>
    <row r="35975" ht="12" customHeight="1"/>
    <row r="35976" ht="12" customHeight="1"/>
    <row r="35977" ht="12" customHeight="1"/>
    <row r="35978" ht="12" customHeight="1"/>
    <row r="35979" ht="12" customHeight="1"/>
    <row r="35980" ht="12" customHeight="1"/>
    <row r="35981" ht="12" customHeight="1"/>
    <row r="35982" ht="12" customHeight="1"/>
    <row r="35983" ht="12" customHeight="1"/>
    <row r="35984" ht="12" customHeight="1"/>
    <row r="35985" ht="12" customHeight="1"/>
    <row r="35986" ht="12" customHeight="1"/>
    <row r="35987" ht="12" customHeight="1"/>
    <row r="35988" ht="12" customHeight="1"/>
    <row r="35989" ht="12" customHeight="1"/>
    <row r="35990" ht="12" customHeight="1"/>
    <row r="35991" ht="12" customHeight="1"/>
    <row r="35992" ht="12" customHeight="1"/>
    <row r="35993" ht="12" customHeight="1"/>
    <row r="35994" ht="12" customHeight="1"/>
    <row r="35995" ht="12" customHeight="1"/>
    <row r="35996" ht="12" customHeight="1"/>
    <row r="35997" ht="12" customHeight="1"/>
    <row r="35998" ht="12" customHeight="1"/>
    <row r="35999" ht="12" customHeight="1"/>
    <row r="36000" ht="12" customHeight="1"/>
    <row r="36001" ht="12" customHeight="1"/>
    <row r="36002" ht="12" customHeight="1"/>
    <row r="36003" ht="12" customHeight="1"/>
    <row r="36004" ht="12" customHeight="1"/>
    <row r="36005" ht="12" customHeight="1"/>
    <row r="36006" ht="12" customHeight="1"/>
    <row r="36007" ht="12" customHeight="1"/>
    <row r="36008" ht="12" customHeight="1"/>
    <row r="36009" ht="12" customHeight="1"/>
    <row r="36010" ht="12" customHeight="1"/>
    <row r="36011" ht="12" customHeight="1"/>
    <row r="36012" ht="12" customHeight="1"/>
    <row r="36013" ht="12" customHeight="1"/>
    <row r="36014" ht="12" customHeight="1"/>
    <row r="36015" ht="12" customHeight="1"/>
    <row r="36016" ht="12" customHeight="1"/>
    <row r="36017" ht="12" customHeight="1"/>
    <row r="36018" ht="12" customHeight="1"/>
    <row r="36019" ht="12" customHeight="1"/>
    <row r="36020" ht="12" customHeight="1"/>
    <row r="36021" ht="12" customHeight="1"/>
    <row r="36022" ht="12" customHeight="1"/>
    <row r="36023" ht="12" customHeight="1"/>
    <row r="36024" ht="12" customHeight="1"/>
    <row r="36025" ht="12" customHeight="1"/>
    <row r="36026" ht="12" customHeight="1"/>
    <row r="36027" ht="12" customHeight="1"/>
    <row r="36028" ht="12" customHeight="1"/>
    <row r="36029" ht="12" customHeight="1"/>
    <row r="36030" ht="12" customHeight="1"/>
    <row r="36031" ht="12" customHeight="1"/>
    <row r="36032" ht="12" customHeight="1"/>
    <row r="36033" ht="12" customHeight="1"/>
    <row r="36034" ht="12" customHeight="1"/>
    <row r="36035" ht="12" customHeight="1"/>
    <row r="36036" ht="12" customHeight="1"/>
    <row r="36037" ht="12" customHeight="1"/>
    <row r="36038" ht="12" customHeight="1"/>
    <row r="36039" ht="12" customHeight="1"/>
    <row r="36040" ht="12" customHeight="1"/>
    <row r="36041" ht="12" customHeight="1"/>
    <row r="36042" ht="12" customHeight="1"/>
    <row r="36043" ht="12" customHeight="1"/>
    <row r="36044" ht="12" customHeight="1"/>
    <row r="36045" ht="12" customHeight="1"/>
    <row r="36046" ht="12" customHeight="1"/>
    <row r="36047" ht="12" customHeight="1"/>
    <row r="36048" ht="12" customHeight="1"/>
    <row r="36049" ht="12" customHeight="1"/>
    <row r="36050" ht="12" customHeight="1"/>
    <row r="36051" ht="12" customHeight="1"/>
    <row r="36052" ht="12" customHeight="1"/>
    <row r="36053" ht="12" customHeight="1"/>
    <row r="36054" ht="12" customHeight="1"/>
    <row r="36055" ht="12" customHeight="1"/>
    <row r="36056" ht="12" customHeight="1"/>
    <row r="36057" ht="12" customHeight="1"/>
    <row r="36058" ht="12" customHeight="1"/>
    <row r="36059" ht="12" customHeight="1"/>
    <row r="36060" ht="12" customHeight="1"/>
    <row r="36061" ht="12" customHeight="1"/>
    <row r="36062" ht="12" customHeight="1"/>
    <row r="36063" ht="12" customHeight="1"/>
    <row r="36064" ht="12" customHeight="1"/>
    <row r="36065" ht="12" customHeight="1"/>
    <row r="36066" ht="12" customHeight="1"/>
    <row r="36067" ht="12" customHeight="1"/>
    <row r="36068" ht="12" customHeight="1"/>
    <row r="36069" ht="12" customHeight="1"/>
    <row r="36070" ht="12" customHeight="1"/>
    <row r="36071" ht="12" customHeight="1"/>
    <row r="36072" ht="12" customHeight="1"/>
    <row r="36073" ht="12" customHeight="1"/>
    <row r="36074" ht="12" customHeight="1"/>
    <row r="36075" ht="12" customHeight="1"/>
    <row r="36076" ht="12" customHeight="1"/>
    <row r="36077" ht="12" customHeight="1"/>
    <row r="36078" ht="12" customHeight="1"/>
    <row r="36079" ht="12" customHeight="1"/>
    <row r="36080" ht="12" customHeight="1"/>
    <row r="36081" ht="12" customHeight="1"/>
    <row r="36082" ht="12" customHeight="1"/>
    <row r="36083" ht="12" customHeight="1"/>
    <row r="36084" ht="12" customHeight="1"/>
    <row r="36085" ht="12" customHeight="1"/>
    <row r="36086" ht="12" customHeight="1"/>
    <row r="36087" ht="12" customHeight="1"/>
    <row r="36088" ht="12" customHeight="1"/>
    <row r="36089" ht="12" customHeight="1"/>
    <row r="36090" ht="12" customHeight="1"/>
    <row r="36091" ht="12" customHeight="1"/>
    <row r="36092" ht="12" customHeight="1"/>
    <row r="36093" ht="12" customHeight="1"/>
    <row r="36094" ht="12" customHeight="1"/>
    <row r="36095" ht="12" customHeight="1"/>
    <row r="36096" ht="12" customHeight="1"/>
    <row r="36097" ht="12" customHeight="1"/>
    <row r="36098" ht="12" customHeight="1"/>
    <row r="36099" ht="12" customHeight="1"/>
    <row r="36100" ht="12" customHeight="1"/>
    <row r="36101" ht="12" customHeight="1"/>
    <row r="36102" ht="12" customHeight="1"/>
    <row r="36103" ht="12" customHeight="1"/>
    <row r="36104" ht="12" customHeight="1"/>
    <row r="36105" ht="12" customHeight="1"/>
    <row r="36106" ht="12" customHeight="1"/>
    <row r="36107" ht="12" customHeight="1"/>
    <row r="36108" ht="12" customHeight="1"/>
    <row r="36109" ht="12" customHeight="1"/>
    <row r="36110" ht="12" customHeight="1"/>
    <row r="36111" ht="12" customHeight="1"/>
    <row r="36112" ht="12" customHeight="1"/>
    <row r="36113" ht="12" customHeight="1"/>
    <row r="36114" ht="12" customHeight="1"/>
    <row r="36115" ht="12" customHeight="1"/>
    <row r="36116" ht="12" customHeight="1"/>
    <row r="36117" ht="12" customHeight="1"/>
    <row r="36118" ht="12" customHeight="1"/>
    <row r="36119" ht="12" customHeight="1"/>
    <row r="36120" ht="12" customHeight="1"/>
    <row r="36121" ht="12" customHeight="1"/>
    <row r="36122" ht="12" customHeight="1"/>
    <row r="36123" ht="12" customHeight="1"/>
    <row r="36124" ht="12" customHeight="1"/>
    <row r="36125" ht="12" customHeight="1"/>
    <row r="36126" ht="12" customHeight="1"/>
    <row r="36127" ht="12" customHeight="1"/>
    <row r="36128" ht="12" customHeight="1"/>
    <row r="36129" ht="12" customHeight="1"/>
    <row r="36130" ht="12" customHeight="1"/>
    <row r="36131" ht="12" customHeight="1"/>
    <row r="36132" ht="12" customHeight="1"/>
    <row r="36133" ht="12" customHeight="1"/>
    <row r="36134" ht="12" customHeight="1"/>
    <row r="36135" ht="12" customHeight="1"/>
    <row r="36136" ht="12" customHeight="1"/>
    <row r="36137" ht="12" customHeight="1"/>
    <row r="36138" ht="12" customHeight="1"/>
    <row r="36139" ht="12" customHeight="1"/>
    <row r="36140" ht="12" customHeight="1"/>
    <row r="36141" ht="12" customHeight="1"/>
    <row r="36142" ht="12" customHeight="1"/>
    <row r="36143" ht="12" customHeight="1"/>
    <row r="36144" ht="12" customHeight="1"/>
    <row r="36145" ht="12" customHeight="1"/>
    <row r="36146" ht="12" customHeight="1"/>
    <row r="36147" ht="12" customHeight="1"/>
    <row r="36148" ht="12" customHeight="1"/>
    <row r="36149" ht="12" customHeight="1"/>
    <row r="36150" ht="12" customHeight="1"/>
    <row r="36151" ht="12" customHeight="1"/>
    <row r="36152" ht="12" customHeight="1"/>
    <row r="36153" ht="12" customHeight="1"/>
    <row r="36154" ht="12" customHeight="1"/>
    <row r="36155" ht="12" customHeight="1"/>
    <row r="36156" ht="12" customHeight="1"/>
    <row r="36157" ht="12" customHeight="1"/>
    <row r="36158" ht="12" customHeight="1"/>
    <row r="36159" ht="12" customHeight="1"/>
    <row r="36160" ht="12" customHeight="1"/>
    <row r="36161" ht="12" customHeight="1"/>
    <row r="36162" ht="12" customHeight="1"/>
    <row r="36163" ht="12" customHeight="1"/>
    <row r="36164" ht="12" customHeight="1"/>
    <row r="36165" ht="12" customHeight="1"/>
    <row r="36166" ht="12" customHeight="1"/>
    <row r="36167" ht="12" customHeight="1"/>
    <row r="36168" ht="12" customHeight="1"/>
    <row r="36169" ht="12" customHeight="1"/>
    <row r="36170" ht="12" customHeight="1"/>
    <row r="36171" ht="12" customHeight="1"/>
    <row r="36172" ht="12" customHeight="1"/>
    <row r="36173" ht="12" customHeight="1"/>
    <row r="36174" ht="12" customHeight="1"/>
    <row r="36175" ht="12" customHeight="1"/>
    <row r="36176" ht="12" customHeight="1"/>
    <row r="36177" ht="12" customHeight="1"/>
    <row r="36178" ht="12" customHeight="1"/>
    <row r="36179" ht="12" customHeight="1"/>
    <row r="36180" ht="12" customHeight="1"/>
    <row r="36181" ht="12" customHeight="1"/>
    <row r="36182" ht="12" customHeight="1"/>
    <row r="36183" ht="12" customHeight="1"/>
    <row r="36184" ht="12" customHeight="1"/>
    <row r="36185" ht="12" customHeight="1"/>
    <row r="36186" ht="12" customHeight="1"/>
    <row r="36187" ht="12" customHeight="1"/>
    <row r="36188" ht="12" customHeight="1"/>
    <row r="36189" ht="12" customHeight="1"/>
    <row r="36190" ht="12" customHeight="1"/>
    <row r="36191" ht="12" customHeight="1"/>
    <row r="36192" ht="12" customHeight="1"/>
    <row r="36193" ht="12" customHeight="1"/>
    <row r="36194" ht="12" customHeight="1"/>
    <row r="36195" ht="12" customHeight="1"/>
    <row r="36196" ht="12" customHeight="1"/>
    <row r="36197" ht="12" customHeight="1"/>
    <row r="36198" ht="12" customHeight="1"/>
    <row r="36199" ht="12" customHeight="1"/>
    <row r="36200" ht="12" customHeight="1"/>
    <row r="36201" ht="12" customHeight="1"/>
    <row r="36202" ht="12" customHeight="1"/>
    <row r="36203" ht="12" customHeight="1"/>
    <row r="36204" ht="12" customHeight="1"/>
    <row r="36205" ht="12" customHeight="1"/>
    <row r="36206" ht="12" customHeight="1"/>
    <row r="36207" ht="12" customHeight="1"/>
    <row r="36208" ht="12" customHeight="1"/>
    <row r="36209" ht="12" customHeight="1"/>
    <row r="36210" ht="12" customHeight="1"/>
    <row r="36211" ht="12" customHeight="1"/>
    <row r="36212" ht="12" customHeight="1"/>
    <row r="36213" ht="12" customHeight="1"/>
    <row r="36214" ht="12" customHeight="1"/>
    <row r="36215" ht="12" customHeight="1"/>
    <row r="36216" ht="12" customHeight="1"/>
    <row r="36217" ht="12" customHeight="1"/>
    <row r="36218" ht="12" customHeight="1"/>
    <row r="36219" ht="12" customHeight="1"/>
    <row r="36220" ht="12" customHeight="1"/>
    <row r="36221" ht="12" customHeight="1"/>
    <row r="36222" ht="12" customHeight="1"/>
    <row r="36223" ht="12" customHeight="1"/>
    <row r="36224" ht="12" customHeight="1"/>
    <row r="36225" ht="12" customHeight="1"/>
    <row r="36226" ht="12" customHeight="1"/>
    <row r="36227" ht="12" customHeight="1"/>
    <row r="36228" ht="12" customHeight="1"/>
    <row r="36229" ht="12" customHeight="1"/>
    <row r="36230" ht="12" customHeight="1"/>
    <row r="36231" ht="12" customHeight="1"/>
    <row r="36232" ht="12" customHeight="1"/>
    <row r="36233" ht="12" customHeight="1"/>
    <row r="36234" ht="12" customHeight="1"/>
    <row r="36235" ht="12" customHeight="1"/>
    <row r="36236" ht="12" customHeight="1"/>
    <row r="36237" ht="12" customHeight="1"/>
    <row r="36238" ht="12" customHeight="1"/>
    <row r="36239" ht="12" customHeight="1"/>
    <row r="36240" ht="12" customHeight="1"/>
    <row r="36241" ht="12" customHeight="1"/>
    <row r="36242" ht="12" customHeight="1"/>
    <row r="36243" ht="12" customHeight="1"/>
    <row r="36244" ht="12" customHeight="1"/>
    <row r="36245" ht="12" customHeight="1"/>
    <row r="36246" ht="12" customHeight="1"/>
    <row r="36247" ht="12" customHeight="1"/>
    <row r="36248" ht="12" customHeight="1"/>
    <row r="36249" ht="12" customHeight="1"/>
    <row r="36250" ht="12" customHeight="1"/>
    <row r="36251" ht="12" customHeight="1"/>
    <row r="36252" ht="12" customHeight="1"/>
    <row r="36253" ht="12" customHeight="1"/>
    <row r="36254" ht="12" customHeight="1"/>
    <row r="36255" ht="12" customHeight="1"/>
    <row r="36256" ht="12" customHeight="1"/>
    <row r="36257" ht="12" customHeight="1"/>
    <row r="36258" ht="12" customHeight="1"/>
    <row r="36259" ht="12" customHeight="1"/>
    <row r="36260" ht="12" customHeight="1"/>
    <row r="36261" ht="12" customHeight="1"/>
    <row r="36262" ht="12" customHeight="1"/>
    <row r="36263" ht="12" customHeight="1"/>
    <row r="36264" ht="12" customHeight="1"/>
    <row r="36265" ht="12" customHeight="1"/>
    <row r="36266" ht="12" customHeight="1"/>
    <row r="36267" ht="12" customHeight="1"/>
    <row r="36268" ht="12" customHeight="1"/>
    <row r="36269" ht="12" customHeight="1"/>
    <row r="36270" ht="12" customHeight="1"/>
    <row r="36271" ht="12" customHeight="1"/>
    <row r="36272" ht="12" customHeight="1"/>
    <row r="36273" ht="12" customHeight="1"/>
    <row r="36274" ht="12" customHeight="1"/>
    <row r="36275" ht="12" customHeight="1"/>
    <row r="36276" ht="12" customHeight="1"/>
    <row r="36277" ht="12" customHeight="1"/>
    <row r="36278" ht="12" customHeight="1"/>
    <row r="36279" ht="12" customHeight="1"/>
    <row r="36280" ht="12" customHeight="1"/>
    <row r="36281" ht="12" customHeight="1"/>
    <row r="36282" ht="12" customHeight="1"/>
    <row r="36283" ht="12" customHeight="1"/>
    <row r="36284" ht="12" customHeight="1"/>
    <row r="36285" ht="12" customHeight="1"/>
    <row r="36286" ht="12" customHeight="1"/>
    <row r="36287" ht="12" customHeight="1"/>
    <row r="36288" ht="12" customHeight="1"/>
    <row r="36289" ht="12" customHeight="1"/>
    <row r="36290" ht="12" customHeight="1"/>
    <row r="36291" ht="12" customHeight="1"/>
    <row r="36292" ht="12" customHeight="1"/>
    <row r="36293" ht="12" customHeight="1"/>
    <row r="36294" ht="12" customHeight="1"/>
    <row r="36295" ht="12" customHeight="1"/>
    <row r="36296" ht="12" customHeight="1"/>
    <row r="36297" ht="12" customHeight="1"/>
    <row r="36298" ht="12" customHeight="1"/>
    <row r="36299" ht="12" customHeight="1"/>
    <row r="36300" ht="12" customHeight="1"/>
    <row r="36301" ht="12" customHeight="1"/>
    <row r="36302" ht="12" customHeight="1"/>
    <row r="36303" ht="12" customHeight="1"/>
    <row r="36304" ht="12" customHeight="1"/>
    <row r="36305" ht="12" customHeight="1"/>
    <row r="36306" ht="12" customHeight="1"/>
    <row r="36307" ht="12" customHeight="1"/>
    <row r="36308" ht="12" customHeight="1"/>
    <row r="36309" ht="12" customHeight="1"/>
    <row r="36310" ht="12" customHeight="1"/>
    <row r="36311" ht="12" customHeight="1"/>
    <row r="36312" ht="12" customHeight="1"/>
    <row r="36313" ht="12" customHeight="1"/>
    <row r="36314" ht="12" customHeight="1"/>
    <row r="36315" ht="12" customHeight="1"/>
    <row r="36316" ht="12" customHeight="1"/>
    <row r="36317" ht="12" customHeight="1"/>
    <row r="36318" ht="12" customHeight="1"/>
    <row r="36319" ht="12" customHeight="1"/>
    <row r="36320" ht="12" customHeight="1"/>
    <row r="36321" ht="12" customHeight="1"/>
    <row r="36322" ht="12" customHeight="1"/>
    <row r="36323" ht="12" customHeight="1"/>
    <row r="36324" ht="12" customHeight="1"/>
    <row r="36325" ht="12" customHeight="1"/>
    <row r="36326" ht="12" customHeight="1"/>
    <row r="36327" ht="12" customHeight="1"/>
    <row r="36328" ht="12" customHeight="1"/>
    <row r="36329" ht="12" customHeight="1"/>
    <row r="36330" ht="12" customHeight="1"/>
    <row r="36331" ht="12" customHeight="1"/>
    <row r="36332" ht="12" customHeight="1"/>
    <row r="36333" ht="12" customHeight="1"/>
    <row r="36334" ht="12" customHeight="1"/>
    <row r="36335" ht="12" customHeight="1"/>
    <row r="36336" ht="12" customHeight="1"/>
    <row r="36337" ht="12" customHeight="1"/>
    <row r="36338" ht="12" customHeight="1"/>
    <row r="36339" ht="12" customHeight="1"/>
    <row r="36340" ht="12" customHeight="1"/>
    <row r="36341" ht="12" customHeight="1"/>
    <row r="36342" ht="12" customHeight="1"/>
    <row r="36343" ht="12" customHeight="1"/>
    <row r="36344" ht="12" customHeight="1"/>
    <row r="36345" ht="12" customHeight="1"/>
    <row r="36346" ht="12" customHeight="1"/>
    <row r="36347" ht="12" customHeight="1"/>
    <row r="36348" ht="12" customHeight="1"/>
    <row r="36349" ht="12" customHeight="1"/>
    <row r="36350" ht="12" customHeight="1"/>
    <row r="36351" ht="12" customHeight="1"/>
    <row r="36352" ht="12" customHeight="1"/>
    <row r="36353" ht="12" customHeight="1"/>
    <row r="36354" ht="12" customHeight="1"/>
    <row r="36355" ht="12" customHeight="1"/>
    <row r="36356" ht="12" customHeight="1"/>
    <row r="36357" ht="12" customHeight="1"/>
    <row r="36358" ht="12" customHeight="1"/>
    <row r="36359" ht="12" customHeight="1"/>
    <row r="36360" ht="12" customHeight="1"/>
    <row r="36361" ht="12" customHeight="1"/>
    <row r="36362" ht="12" customHeight="1"/>
    <row r="36363" ht="12" customHeight="1"/>
    <row r="36364" ht="12" customHeight="1"/>
    <row r="36365" ht="12" customHeight="1"/>
    <row r="36366" ht="12" customHeight="1"/>
    <row r="36367" ht="12" customHeight="1"/>
    <row r="36368" ht="12" customHeight="1"/>
    <row r="36369" ht="12" customHeight="1"/>
    <row r="36370" ht="12" customHeight="1"/>
    <row r="36371" ht="12" customHeight="1"/>
    <row r="36372" ht="12" customHeight="1"/>
    <row r="36373" ht="12" customHeight="1"/>
    <row r="36374" ht="12" customHeight="1"/>
    <row r="36375" ht="12" customHeight="1"/>
    <row r="36376" ht="12" customHeight="1"/>
    <row r="36377" ht="12" customHeight="1"/>
    <row r="36378" ht="12" customHeight="1"/>
    <row r="36379" ht="12" customHeight="1"/>
    <row r="36380" ht="12" customHeight="1"/>
    <row r="36381" ht="12" customHeight="1"/>
    <row r="36382" ht="12" customHeight="1"/>
    <row r="36383" ht="12" customHeight="1"/>
    <row r="36384" ht="12" customHeight="1"/>
    <row r="36385" ht="12" customHeight="1"/>
    <row r="36386" ht="12" customHeight="1"/>
    <row r="36387" ht="12" customHeight="1"/>
    <row r="36388" ht="12" customHeight="1"/>
    <row r="36389" ht="12" customHeight="1"/>
    <row r="36390" ht="12" customHeight="1"/>
    <row r="36391" ht="12" customHeight="1"/>
    <row r="36392" ht="12" customHeight="1"/>
    <row r="36393" ht="12" customHeight="1"/>
    <row r="36394" ht="12" customHeight="1"/>
    <row r="36395" ht="12" customHeight="1"/>
    <row r="36396" ht="12" customHeight="1"/>
    <row r="36397" ht="12" customHeight="1"/>
    <row r="36398" ht="12" customHeight="1"/>
    <row r="36399" ht="12" customHeight="1"/>
    <row r="36400" ht="12" customHeight="1"/>
    <row r="36401" ht="12" customHeight="1"/>
    <row r="36402" ht="12" customHeight="1"/>
    <row r="36403" ht="12" customHeight="1"/>
    <row r="36404" ht="12" customHeight="1"/>
    <row r="36405" ht="12" customHeight="1"/>
    <row r="36406" ht="12" customHeight="1"/>
    <row r="36407" ht="12" customHeight="1"/>
    <row r="36408" ht="12" customHeight="1"/>
    <row r="36409" ht="12" customHeight="1"/>
    <row r="36410" ht="12" customHeight="1"/>
    <row r="36411" ht="12" customHeight="1"/>
    <row r="36412" ht="12" customHeight="1"/>
    <row r="36413" ht="12" customHeight="1"/>
    <row r="36414" ht="12" customHeight="1"/>
    <row r="36415" ht="12" customHeight="1"/>
    <row r="36416" ht="12" customHeight="1"/>
    <row r="36417" ht="12" customHeight="1"/>
    <row r="36418" ht="12" customHeight="1"/>
    <row r="36419" ht="12" customHeight="1"/>
    <row r="36420" ht="12" customHeight="1"/>
    <row r="36421" ht="12" customHeight="1"/>
    <row r="36422" ht="12" customHeight="1"/>
    <row r="36423" ht="12" customHeight="1"/>
    <row r="36424" ht="12" customHeight="1"/>
    <row r="36425" ht="12" customHeight="1"/>
    <row r="36426" ht="12" customHeight="1"/>
    <row r="36427" ht="12" customHeight="1"/>
    <row r="36428" ht="12" customHeight="1"/>
    <row r="36429" ht="12" customHeight="1"/>
    <row r="36430" ht="12" customHeight="1"/>
    <row r="36431" ht="12" customHeight="1"/>
    <row r="36432" ht="12" customHeight="1"/>
    <row r="36433" ht="12" customHeight="1"/>
    <row r="36434" ht="12" customHeight="1"/>
    <row r="36435" ht="12" customHeight="1"/>
    <row r="36436" ht="12" customHeight="1"/>
    <row r="36437" ht="12" customHeight="1"/>
    <row r="36438" ht="12" customHeight="1"/>
    <row r="36439" ht="12" customHeight="1"/>
    <row r="36440" ht="12" customHeight="1"/>
    <row r="36441" ht="12" customHeight="1"/>
    <row r="36442" ht="12" customHeight="1"/>
    <row r="36443" ht="12" customHeight="1"/>
    <row r="36444" ht="12" customHeight="1"/>
    <row r="36445" ht="12" customHeight="1"/>
    <row r="36446" ht="12" customHeight="1"/>
    <row r="36447" ht="12" customHeight="1"/>
    <row r="36448" ht="12" customHeight="1"/>
    <row r="36449" ht="12" customHeight="1"/>
    <row r="36450" ht="12" customHeight="1"/>
    <row r="36451" ht="12" customHeight="1"/>
    <row r="36452" ht="12" customHeight="1"/>
    <row r="36453" ht="12" customHeight="1"/>
    <row r="36454" ht="12" customHeight="1"/>
    <row r="36455" ht="12" customHeight="1"/>
    <row r="36456" ht="12" customHeight="1"/>
    <row r="36457" ht="12" customHeight="1"/>
    <row r="36458" ht="12" customHeight="1"/>
    <row r="36459" ht="12" customHeight="1"/>
    <row r="36460" ht="12" customHeight="1"/>
    <row r="36461" ht="12" customHeight="1"/>
    <row r="36462" ht="12" customHeight="1"/>
    <row r="36463" ht="12" customHeight="1"/>
    <row r="36464" ht="12" customHeight="1"/>
    <row r="36465" ht="12" customHeight="1"/>
    <row r="36466" ht="12" customHeight="1"/>
    <row r="36467" ht="12" customHeight="1"/>
    <row r="36468" ht="12" customHeight="1"/>
    <row r="36469" ht="12" customHeight="1"/>
    <row r="36470" ht="12" customHeight="1"/>
    <row r="36471" ht="12" customHeight="1"/>
    <row r="36472" ht="12" customHeight="1"/>
    <row r="36473" ht="12" customHeight="1"/>
    <row r="36474" ht="12" customHeight="1"/>
    <row r="36475" ht="12" customHeight="1"/>
    <row r="36476" ht="12" customHeight="1"/>
    <row r="36477" ht="12" customHeight="1"/>
    <row r="36478" ht="12" customHeight="1"/>
    <row r="36479" ht="12" customHeight="1"/>
    <row r="36480" ht="12" customHeight="1"/>
    <row r="36481" ht="12" customHeight="1"/>
    <row r="36482" ht="12" customHeight="1"/>
    <row r="36483" ht="12" customHeight="1"/>
    <row r="36484" ht="12" customHeight="1"/>
    <row r="36485" ht="12" customHeight="1"/>
    <row r="36486" ht="12" customHeight="1"/>
    <row r="36487" ht="12" customHeight="1"/>
    <row r="36488" ht="12" customHeight="1"/>
    <row r="36489" ht="12" customHeight="1"/>
    <row r="36490" ht="12" customHeight="1"/>
    <row r="36491" ht="12" customHeight="1"/>
    <row r="36492" ht="12" customHeight="1"/>
    <row r="36493" ht="12" customHeight="1"/>
    <row r="36494" ht="12" customHeight="1"/>
    <row r="36495" ht="12" customHeight="1"/>
    <row r="36496" ht="12" customHeight="1"/>
    <row r="36497" ht="12" customHeight="1"/>
    <row r="36498" ht="12" customHeight="1"/>
    <row r="36499" ht="12" customHeight="1"/>
    <row r="36500" ht="12" customHeight="1"/>
    <row r="36501" ht="12" customHeight="1"/>
    <row r="36502" ht="12" customHeight="1"/>
    <row r="36503" ht="12" customHeight="1"/>
    <row r="36504" ht="12" customHeight="1"/>
    <row r="36505" ht="12" customHeight="1"/>
    <row r="36506" ht="12" customHeight="1"/>
    <row r="36507" ht="12" customHeight="1"/>
    <row r="36508" ht="12" customHeight="1"/>
    <row r="36509" ht="12" customHeight="1"/>
    <row r="36510" ht="12" customHeight="1"/>
    <row r="36511" ht="12" customHeight="1"/>
    <row r="36512" ht="12" customHeight="1"/>
    <row r="36513" ht="12" customHeight="1"/>
    <row r="36514" ht="12" customHeight="1"/>
    <row r="36515" ht="12" customHeight="1"/>
    <row r="36516" ht="12" customHeight="1"/>
    <row r="36517" ht="12" customHeight="1"/>
    <row r="36518" ht="12" customHeight="1"/>
    <row r="36519" ht="12" customHeight="1"/>
    <row r="36520" ht="12" customHeight="1"/>
    <row r="36521" ht="12" customHeight="1"/>
    <row r="36522" ht="12" customHeight="1"/>
    <row r="36523" ht="12" customHeight="1"/>
    <row r="36524" ht="12" customHeight="1"/>
    <row r="36525" ht="12" customHeight="1"/>
    <row r="36526" ht="12" customHeight="1"/>
    <row r="36527" ht="12" customHeight="1"/>
    <row r="36528" ht="12" customHeight="1"/>
    <row r="36529" ht="12" customHeight="1"/>
    <row r="36530" ht="12" customHeight="1"/>
    <row r="36531" ht="12" customHeight="1"/>
    <row r="36532" ht="12" customHeight="1"/>
    <row r="36533" ht="12" customHeight="1"/>
    <row r="36534" ht="12" customHeight="1"/>
    <row r="36535" ht="12" customHeight="1"/>
    <row r="36536" ht="12" customHeight="1"/>
    <row r="36537" ht="12" customHeight="1"/>
    <row r="36538" ht="12" customHeight="1"/>
    <row r="36539" ht="12" customHeight="1"/>
    <row r="36540" ht="12" customHeight="1"/>
    <row r="36541" ht="12" customHeight="1"/>
    <row r="36542" ht="12" customHeight="1"/>
    <row r="36543" ht="12" customHeight="1"/>
    <row r="36544" ht="12" customHeight="1"/>
    <row r="36545" ht="12" customHeight="1"/>
    <row r="36546" ht="12" customHeight="1"/>
    <row r="36547" ht="12" customHeight="1"/>
    <row r="36548" ht="12" customHeight="1"/>
    <row r="36549" ht="12" customHeight="1"/>
    <row r="36550" ht="12" customHeight="1"/>
    <row r="36551" ht="12" customHeight="1"/>
    <row r="36552" ht="12" customHeight="1"/>
    <row r="36553" ht="12" customHeight="1"/>
    <row r="36554" ht="12" customHeight="1"/>
    <row r="36555" ht="12" customHeight="1"/>
    <row r="36556" ht="12" customHeight="1"/>
    <row r="36557" ht="12" customHeight="1"/>
    <row r="36558" ht="12" customHeight="1"/>
    <row r="36559" ht="12" customHeight="1"/>
    <row r="36560" ht="12" customHeight="1"/>
    <row r="36561" ht="12" customHeight="1"/>
    <row r="36562" ht="12" customHeight="1"/>
    <row r="36563" ht="12" customHeight="1"/>
    <row r="36564" ht="12" customHeight="1"/>
    <row r="36565" ht="12" customHeight="1"/>
    <row r="36566" ht="12" customHeight="1"/>
    <row r="36567" ht="12" customHeight="1"/>
    <row r="36568" ht="12" customHeight="1"/>
    <row r="36569" ht="12" customHeight="1"/>
    <row r="36570" ht="12" customHeight="1"/>
    <row r="36571" ht="12" customHeight="1"/>
    <row r="36572" ht="12" customHeight="1"/>
    <row r="36573" ht="12" customHeight="1"/>
    <row r="36574" ht="12" customHeight="1"/>
    <row r="36575" ht="12" customHeight="1"/>
    <row r="36576" ht="12" customHeight="1"/>
    <row r="36577" ht="12" customHeight="1"/>
    <row r="36578" ht="12" customHeight="1"/>
    <row r="36579" ht="12" customHeight="1"/>
    <row r="36580" ht="12" customHeight="1"/>
    <row r="36581" ht="12" customHeight="1"/>
    <row r="36582" ht="12" customHeight="1"/>
    <row r="36583" ht="12" customHeight="1"/>
    <row r="36584" ht="12" customHeight="1"/>
    <row r="36585" ht="12" customHeight="1"/>
    <row r="36586" ht="12" customHeight="1"/>
    <row r="36587" ht="12" customHeight="1"/>
    <row r="36588" ht="12" customHeight="1"/>
    <row r="36589" ht="12" customHeight="1"/>
    <row r="36590" ht="12" customHeight="1"/>
    <row r="36591" ht="12" customHeight="1"/>
    <row r="36592" ht="12" customHeight="1"/>
    <row r="36593" ht="12" customHeight="1"/>
    <row r="36594" ht="12" customHeight="1"/>
    <row r="36595" ht="12" customHeight="1"/>
    <row r="36596" ht="12" customHeight="1"/>
    <row r="36597" ht="12" customHeight="1"/>
    <row r="36598" ht="12" customHeight="1"/>
    <row r="36599" ht="12" customHeight="1"/>
    <row r="36600" ht="12" customHeight="1"/>
    <row r="36601" ht="12" customHeight="1"/>
    <row r="36602" ht="12" customHeight="1"/>
    <row r="36603" ht="12" customHeight="1"/>
    <row r="36604" ht="12" customHeight="1"/>
    <row r="36605" ht="12" customHeight="1"/>
    <row r="36606" ht="12" customHeight="1"/>
    <row r="36607" ht="12" customHeight="1"/>
    <row r="36608" ht="12" customHeight="1"/>
    <row r="36609" ht="12" customHeight="1"/>
    <row r="36610" ht="12" customHeight="1"/>
    <row r="36611" ht="12" customHeight="1"/>
    <row r="36612" ht="12" customHeight="1"/>
    <row r="36613" ht="12" customHeight="1"/>
    <row r="36614" ht="12" customHeight="1"/>
    <row r="36615" ht="12" customHeight="1"/>
    <row r="36616" ht="12" customHeight="1"/>
    <row r="36617" ht="12" customHeight="1"/>
    <row r="36618" ht="12" customHeight="1"/>
    <row r="36619" ht="12" customHeight="1"/>
    <row r="36620" ht="12" customHeight="1"/>
    <row r="36621" ht="12" customHeight="1"/>
    <row r="36622" ht="12" customHeight="1"/>
    <row r="36623" ht="12" customHeight="1"/>
    <row r="36624" ht="12" customHeight="1"/>
    <row r="36625" ht="12" customHeight="1"/>
    <row r="36626" ht="12" customHeight="1"/>
    <row r="36627" ht="12" customHeight="1"/>
    <row r="36628" ht="12" customHeight="1"/>
    <row r="36629" ht="12" customHeight="1"/>
    <row r="36630" ht="12" customHeight="1"/>
    <row r="36631" ht="12" customHeight="1"/>
    <row r="36632" ht="12" customHeight="1"/>
    <row r="36633" ht="12" customHeight="1"/>
    <row r="36634" ht="12" customHeight="1"/>
    <row r="36635" ht="12" customHeight="1"/>
    <row r="36636" ht="12" customHeight="1"/>
    <row r="36637" ht="12" customHeight="1"/>
    <row r="36638" ht="12" customHeight="1"/>
    <row r="36639" ht="12" customHeight="1"/>
    <row r="36640" ht="12" customHeight="1"/>
    <row r="36641" ht="12" customHeight="1"/>
    <row r="36642" ht="12" customHeight="1"/>
    <row r="36643" ht="12" customHeight="1"/>
    <row r="36644" ht="12" customHeight="1"/>
    <row r="36645" ht="12" customHeight="1"/>
    <row r="36646" ht="12" customHeight="1"/>
    <row r="36647" ht="12" customHeight="1"/>
    <row r="36648" ht="12" customHeight="1"/>
    <row r="36649" ht="12" customHeight="1"/>
    <row r="36650" ht="12" customHeight="1"/>
    <row r="36651" ht="12" customHeight="1"/>
    <row r="36652" ht="12" customHeight="1"/>
    <row r="36653" ht="12" customHeight="1"/>
    <row r="36654" ht="12" customHeight="1"/>
    <row r="36655" ht="12" customHeight="1"/>
    <row r="36656" ht="12" customHeight="1"/>
    <row r="36657" ht="12" customHeight="1"/>
    <row r="36658" ht="12" customHeight="1"/>
    <row r="36659" ht="12" customHeight="1"/>
    <row r="36660" ht="12" customHeight="1"/>
    <row r="36661" ht="12" customHeight="1"/>
    <row r="36662" ht="12" customHeight="1"/>
    <row r="36663" ht="12" customHeight="1"/>
    <row r="36664" ht="12" customHeight="1"/>
    <row r="36665" ht="12" customHeight="1"/>
    <row r="36666" ht="12" customHeight="1"/>
    <row r="36667" ht="12" customHeight="1"/>
    <row r="36668" ht="12" customHeight="1"/>
    <row r="36669" ht="12" customHeight="1"/>
    <row r="36670" ht="12" customHeight="1"/>
    <row r="36671" ht="12" customHeight="1"/>
    <row r="36672" ht="12" customHeight="1"/>
    <row r="36673" ht="12" customHeight="1"/>
    <row r="36674" ht="12" customHeight="1"/>
    <row r="36675" ht="12" customHeight="1"/>
    <row r="36676" ht="12" customHeight="1"/>
    <row r="36677" ht="12" customHeight="1"/>
    <row r="36678" ht="12" customHeight="1"/>
    <row r="36679" ht="12" customHeight="1"/>
    <row r="36680" ht="12" customHeight="1"/>
    <row r="36681" ht="12" customHeight="1"/>
    <row r="36682" ht="12" customHeight="1"/>
    <row r="36683" ht="12" customHeight="1"/>
    <row r="36684" ht="12" customHeight="1"/>
    <row r="36685" ht="12" customHeight="1"/>
    <row r="36686" ht="12" customHeight="1"/>
    <row r="36687" ht="12" customHeight="1"/>
    <row r="36688" ht="12" customHeight="1"/>
    <row r="36689" ht="12" customHeight="1"/>
    <row r="36690" ht="12" customHeight="1"/>
    <row r="36691" ht="12" customHeight="1"/>
    <row r="36692" ht="12" customHeight="1"/>
    <row r="36693" ht="12" customHeight="1"/>
    <row r="36694" ht="12" customHeight="1"/>
    <row r="36695" ht="12" customHeight="1"/>
    <row r="36696" ht="12" customHeight="1"/>
    <row r="36697" ht="12" customHeight="1"/>
    <row r="36698" ht="12" customHeight="1"/>
    <row r="36699" ht="12" customHeight="1"/>
    <row r="36700" ht="12" customHeight="1"/>
    <row r="36701" ht="12" customHeight="1"/>
    <row r="36702" ht="12" customHeight="1"/>
    <row r="36703" ht="12" customHeight="1"/>
    <row r="36704" ht="12" customHeight="1"/>
    <row r="36705" ht="12" customHeight="1"/>
    <row r="36706" ht="12" customHeight="1"/>
    <row r="36707" ht="12" customHeight="1"/>
    <row r="36708" ht="12" customHeight="1"/>
    <row r="36709" ht="12" customHeight="1"/>
    <row r="36710" ht="12" customHeight="1"/>
    <row r="36711" ht="12" customHeight="1"/>
    <row r="36712" ht="12" customHeight="1"/>
    <row r="36713" ht="12" customHeight="1"/>
    <row r="36714" ht="12" customHeight="1"/>
    <row r="36715" ht="12" customHeight="1"/>
    <row r="36716" ht="12" customHeight="1"/>
    <row r="36717" ht="12" customHeight="1"/>
    <row r="36718" ht="12" customHeight="1"/>
    <row r="36719" ht="12" customHeight="1"/>
    <row r="36720" ht="12" customHeight="1"/>
    <row r="36721" ht="12" customHeight="1"/>
    <row r="36722" ht="12" customHeight="1"/>
    <row r="36723" ht="12" customHeight="1"/>
    <row r="36724" ht="12" customHeight="1"/>
    <row r="36725" ht="12" customHeight="1"/>
    <row r="36726" ht="12" customHeight="1"/>
    <row r="36727" ht="12" customHeight="1"/>
    <row r="36728" ht="12" customHeight="1"/>
    <row r="36729" ht="12" customHeight="1"/>
    <row r="36730" ht="12" customHeight="1"/>
    <row r="36731" ht="12" customHeight="1"/>
    <row r="36732" ht="12" customHeight="1"/>
    <row r="36733" ht="12" customHeight="1"/>
    <row r="36734" ht="12" customHeight="1"/>
    <row r="36735" ht="12" customHeight="1"/>
    <row r="36736" ht="12" customHeight="1"/>
    <row r="36737" ht="12" customHeight="1"/>
    <row r="36738" ht="12" customHeight="1"/>
    <row r="36739" ht="12" customHeight="1"/>
    <row r="36740" ht="12" customHeight="1"/>
    <row r="36741" ht="12" customHeight="1"/>
    <row r="36742" ht="12" customHeight="1"/>
    <row r="36743" ht="12" customHeight="1"/>
    <row r="36744" ht="12" customHeight="1"/>
    <row r="36745" ht="12" customHeight="1"/>
    <row r="36746" ht="12" customHeight="1"/>
    <row r="36747" ht="12" customHeight="1"/>
    <row r="36748" ht="12" customHeight="1"/>
    <row r="36749" ht="12" customHeight="1"/>
    <row r="36750" ht="12" customHeight="1"/>
    <row r="36751" ht="12" customHeight="1"/>
    <row r="36752" ht="12" customHeight="1"/>
    <row r="36753" ht="12" customHeight="1"/>
    <row r="36754" ht="12" customHeight="1"/>
    <row r="36755" ht="12" customHeight="1"/>
    <row r="36756" ht="12" customHeight="1"/>
    <row r="36757" ht="12" customHeight="1"/>
    <row r="36758" ht="12" customHeight="1"/>
    <row r="36759" ht="12" customHeight="1"/>
    <row r="36760" ht="12" customHeight="1"/>
    <row r="36761" ht="12" customHeight="1"/>
    <row r="36762" ht="12" customHeight="1"/>
    <row r="36763" ht="12" customHeight="1"/>
    <row r="36764" ht="12" customHeight="1"/>
    <row r="36765" ht="12" customHeight="1"/>
    <row r="36766" ht="12" customHeight="1"/>
    <row r="36767" ht="12" customHeight="1"/>
    <row r="36768" ht="12" customHeight="1"/>
    <row r="36769" ht="12" customHeight="1"/>
    <row r="36770" ht="12" customHeight="1"/>
    <row r="36771" ht="12" customHeight="1"/>
    <row r="36772" ht="12" customHeight="1"/>
    <row r="36773" ht="12" customHeight="1"/>
    <row r="36774" ht="12" customHeight="1"/>
    <row r="36775" ht="12" customHeight="1"/>
    <row r="36776" ht="12" customHeight="1"/>
    <row r="36777" ht="12" customHeight="1"/>
    <row r="36778" ht="12" customHeight="1"/>
    <row r="36779" ht="12" customHeight="1"/>
    <row r="36780" ht="12" customHeight="1"/>
    <row r="36781" ht="12" customHeight="1"/>
    <row r="36782" ht="12" customHeight="1"/>
    <row r="36783" ht="12" customHeight="1"/>
    <row r="36784" ht="12" customHeight="1"/>
    <row r="36785" ht="12" customHeight="1"/>
    <row r="36786" ht="12" customHeight="1"/>
    <row r="36787" ht="12" customHeight="1"/>
    <row r="36788" ht="12" customHeight="1"/>
    <row r="36789" ht="12" customHeight="1"/>
    <row r="36790" ht="12" customHeight="1"/>
    <row r="36791" ht="12" customHeight="1"/>
    <row r="36792" ht="12" customHeight="1"/>
    <row r="36793" ht="12" customHeight="1"/>
    <row r="36794" ht="12" customHeight="1"/>
    <row r="36795" ht="12" customHeight="1"/>
    <row r="36796" ht="12" customHeight="1"/>
    <row r="36797" ht="12" customHeight="1"/>
    <row r="36798" ht="12" customHeight="1"/>
    <row r="36799" ht="12" customHeight="1"/>
    <row r="36800" ht="12" customHeight="1"/>
    <row r="36801" ht="12" customHeight="1"/>
    <row r="36802" ht="12" customHeight="1"/>
    <row r="36803" ht="12" customHeight="1"/>
    <row r="36804" ht="12" customHeight="1"/>
    <row r="36805" ht="12" customHeight="1"/>
    <row r="36806" ht="12" customHeight="1"/>
    <row r="36807" ht="12" customHeight="1"/>
    <row r="36808" ht="12" customHeight="1"/>
    <row r="36809" ht="12" customHeight="1"/>
    <row r="36810" ht="12" customHeight="1"/>
    <row r="36811" ht="12" customHeight="1"/>
    <row r="36812" ht="12" customHeight="1"/>
    <row r="36813" ht="12" customHeight="1"/>
    <row r="36814" ht="12" customHeight="1"/>
    <row r="36815" ht="12" customHeight="1"/>
    <row r="36816" ht="12" customHeight="1"/>
    <row r="36817" ht="12" customHeight="1"/>
    <row r="36818" ht="12" customHeight="1"/>
    <row r="36819" ht="12" customHeight="1"/>
    <row r="36820" ht="12" customHeight="1"/>
    <row r="36821" ht="12" customHeight="1"/>
    <row r="36822" ht="12" customHeight="1"/>
    <row r="36823" ht="12" customHeight="1"/>
    <row r="36824" ht="12" customHeight="1"/>
    <row r="36825" ht="12" customHeight="1"/>
    <row r="36826" ht="12" customHeight="1"/>
    <row r="36827" ht="12" customHeight="1"/>
    <row r="36828" ht="12" customHeight="1"/>
    <row r="36829" ht="12" customHeight="1"/>
    <row r="36830" ht="12" customHeight="1"/>
    <row r="36831" ht="12" customHeight="1"/>
    <row r="36832" ht="12" customHeight="1"/>
    <row r="36833" ht="12" customHeight="1"/>
    <row r="36834" ht="12" customHeight="1"/>
    <row r="36835" ht="12" customHeight="1"/>
    <row r="36836" ht="12" customHeight="1"/>
    <row r="36837" ht="12" customHeight="1"/>
    <row r="36838" ht="12" customHeight="1"/>
    <row r="36839" ht="12" customHeight="1"/>
    <row r="36840" ht="12" customHeight="1"/>
    <row r="36841" ht="12" customHeight="1"/>
    <row r="36842" ht="12" customHeight="1"/>
    <row r="36843" ht="12" customHeight="1"/>
    <row r="36844" ht="12" customHeight="1"/>
    <row r="36845" ht="12" customHeight="1"/>
    <row r="36846" ht="12" customHeight="1"/>
    <row r="36847" ht="12" customHeight="1"/>
    <row r="36848" ht="12" customHeight="1"/>
    <row r="36849" ht="12" customHeight="1"/>
    <row r="36850" ht="12" customHeight="1"/>
    <row r="36851" ht="12" customHeight="1"/>
    <row r="36852" ht="12" customHeight="1"/>
    <row r="36853" ht="12" customHeight="1"/>
    <row r="36854" ht="12" customHeight="1"/>
    <row r="36855" ht="12" customHeight="1"/>
    <row r="36856" ht="12" customHeight="1"/>
    <row r="36857" ht="12" customHeight="1"/>
    <row r="36858" ht="12" customHeight="1"/>
    <row r="36859" ht="12" customHeight="1"/>
    <row r="36860" ht="12" customHeight="1"/>
    <row r="36861" ht="12" customHeight="1"/>
    <row r="36862" ht="12" customHeight="1"/>
    <row r="36863" ht="12" customHeight="1"/>
    <row r="36864" ht="12" customHeight="1"/>
    <row r="36865" ht="12" customHeight="1"/>
    <row r="36866" ht="12" customHeight="1"/>
    <row r="36867" ht="12" customHeight="1"/>
    <row r="36868" ht="12" customHeight="1"/>
    <row r="36869" ht="12" customHeight="1"/>
    <row r="36870" ht="12" customHeight="1"/>
    <row r="36871" ht="12" customHeight="1"/>
    <row r="36872" ht="12" customHeight="1"/>
    <row r="36873" ht="12" customHeight="1"/>
    <row r="36874" ht="12" customHeight="1"/>
    <row r="36875" ht="12" customHeight="1"/>
    <row r="36876" ht="12" customHeight="1"/>
    <row r="36877" ht="12" customHeight="1"/>
    <row r="36878" ht="12" customHeight="1"/>
    <row r="36879" ht="12" customHeight="1"/>
    <row r="36880" ht="12" customHeight="1"/>
    <row r="36881" ht="12" customHeight="1"/>
    <row r="36882" ht="12" customHeight="1"/>
    <row r="36883" ht="12" customHeight="1"/>
    <row r="36884" ht="12" customHeight="1"/>
    <row r="36885" ht="12" customHeight="1"/>
    <row r="36886" ht="12" customHeight="1"/>
    <row r="36887" ht="12" customHeight="1"/>
    <row r="36888" ht="12" customHeight="1"/>
    <row r="36889" ht="12" customHeight="1"/>
    <row r="36890" ht="12" customHeight="1"/>
    <row r="36891" ht="12" customHeight="1"/>
    <row r="36892" ht="12" customHeight="1"/>
    <row r="36893" ht="12" customHeight="1"/>
    <row r="36894" ht="12" customHeight="1"/>
    <row r="36895" ht="12" customHeight="1"/>
    <row r="36896" ht="12" customHeight="1"/>
    <row r="36897" ht="12" customHeight="1"/>
    <row r="36898" ht="12" customHeight="1"/>
    <row r="36899" ht="12" customHeight="1"/>
    <row r="36900" ht="12" customHeight="1"/>
    <row r="36901" ht="12" customHeight="1"/>
    <row r="36902" ht="12" customHeight="1"/>
    <row r="36903" ht="12" customHeight="1"/>
    <row r="36904" ht="12" customHeight="1"/>
    <row r="36905" ht="12" customHeight="1"/>
    <row r="36906" ht="12" customHeight="1"/>
    <row r="36907" ht="12" customHeight="1"/>
    <row r="36908" ht="12" customHeight="1"/>
    <row r="36909" ht="12" customHeight="1"/>
    <row r="36910" ht="12" customHeight="1"/>
    <row r="36911" ht="12" customHeight="1"/>
    <row r="36912" ht="12" customHeight="1"/>
    <row r="36913" ht="12" customHeight="1"/>
    <row r="36914" ht="12" customHeight="1"/>
    <row r="36915" ht="12" customHeight="1"/>
    <row r="36916" ht="12" customHeight="1"/>
    <row r="36917" ht="12" customHeight="1"/>
    <row r="36918" ht="12" customHeight="1"/>
    <row r="36919" ht="12" customHeight="1"/>
    <row r="36920" ht="12" customHeight="1"/>
    <row r="36921" ht="12" customHeight="1"/>
    <row r="36922" ht="12" customHeight="1"/>
    <row r="36923" ht="12" customHeight="1"/>
    <row r="36924" ht="12" customHeight="1"/>
    <row r="36925" ht="12" customHeight="1"/>
    <row r="36926" ht="12" customHeight="1"/>
    <row r="36927" ht="12" customHeight="1"/>
    <row r="36928" ht="12" customHeight="1"/>
    <row r="36929" ht="12" customHeight="1"/>
    <row r="36930" ht="12" customHeight="1"/>
    <row r="36931" ht="12" customHeight="1"/>
    <row r="36932" ht="12" customHeight="1"/>
    <row r="36933" ht="12" customHeight="1"/>
    <row r="36934" ht="12" customHeight="1"/>
    <row r="36935" ht="12" customHeight="1"/>
    <row r="36936" ht="12" customHeight="1"/>
    <row r="36937" ht="12" customHeight="1"/>
    <row r="36938" ht="12" customHeight="1"/>
    <row r="36939" ht="12" customHeight="1"/>
    <row r="36940" ht="12" customHeight="1"/>
    <row r="36941" ht="12" customHeight="1"/>
    <row r="36942" ht="12" customHeight="1"/>
    <row r="36943" ht="12" customHeight="1"/>
    <row r="36944" ht="12" customHeight="1"/>
    <row r="36945" ht="12" customHeight="1"/>
    <row r="36946" ht="12" customHeight="1"/>
    <row r="36947" ht="12" customHeight="1"/>
    <row r="36948" ht="12" customHeight="1"/>
    <row r="36949" ht="12" customHeight="1"/>
    <row r="36950" ht="12" customHeight="1"/>
    <row r="36951" ht="12" customHeight="1"/>
    <row r="36952" ht="12" customHeight="1"/>
    <row r="36953" ht="12" customHeight="1"/>
    <row r="36954" ht="12" customHeight="1"/>
    <row r="36955" ht="12" customHeight="1"/>
    <row r="36956" ht="12" customHeight="1"/>
    <row r="36957" ht="12" customHeight="1"/>
    <row r="36958" ht="12" customHeight="1"/>
    <row r="36959" ht="12" customHeight="1"/>
    <row r="36960" ht="12" customHeight="1"/>
    <row r="36961" ht="12" customHeight="1"/>
    <row r="36962" ht="12" customHeight="1"/>
    <row r="36963" ht="12" customHeight="1"/>
    <row r="36964" ht="12" customHeight="1"/>
    <row r="36965" ht="12" customHeight="1"/>
    <row r="36966" ht="12" customHeight="1"/>
    <row r="36967" ht="12" customHeight="1"/>
    <row r="36968" ht="12" customHeight="1"/>
    <row r="36969" ht="12" customHeight="1"/>
    <row r="36970" ht="12" customHeight="1"/>
    <row r="36971" ht="12" customHeight="1"/>
    <row r="36972" ht="12" customHeight="1"/>
    <row r="36973" ht="12" customHeight="1"/>
    <row r="36974" ht="12" customHeight="1"/>
    <row r="36975" ht="12" customHeight="1"/>
    <row r="36976" ht="12" customHeight="1"/>
    <row r="36977" ht="12" customHeight="1"/>
    <row r="36978" ht="12" customHeight="1"/>
    <row r="36979" ht="12" customHeight="1"/>
    <row r="36980" ht="12" customHeight="1"/>
    <row r="36981" ht="12" customHeight="1"/>
    <row r="36982" ht="12" customHeight="1"/>
    <row r="36983" ht="12" customHeight="1"/>
    <row r="36984" ht="12" customHeight="1"/>
    <row r="36985" ht="12" customHeight="1"/>
    <row r="36986" ht="12" customHeight="1"/>
    <row r="36987" ht="12" customHeight="1"/>
    <row r="36988" ht="12" customHeight="1"/>
    <row r="36989" ht="12" customHeight="1"/>
    <row r="36990" ht="12" customHeight="1"/>
    <row r="36991" ht="12" customHeight="1"/>
    <row r="36992" ht="12" customHeight="1"/>
    <row r="36993" ht="12" customHeight="1"/>
    <row r="36994" ht="12" customHeight="1"/>
    <row r="36995" ht="12" customHeight="1"/>
    <row r="36996" ht="12" customHeight="1"/>
    <row r="36997" ht="12" customHeight="1"/>
    <row r="36998" ht="12" customHeight="1"/>
    <row r="36999" ht="12" customHeight="1"/>
    <row r="37000" ht="12" customHeight="1"/>
    <row r="37001" ht="12" customHeight="1"/>
    <row r="37002" ht="12" customHeight="1"/>
    <row r="37003" ht="12" customHeight="1"/>
    <row r="37004" ht="12" customHeight="1"/>
    <row r="37005" ht="12" customHeight="1"/>
    <row r="37006" ht="12" customHeight="1"/>
    <row r="37007" ht="12" customHeight="1"/>
    <row r="37008" ht="12" customHeight="1"/>
    <row r="37009" ht="12" customHeight="1"/>
    <row r="37010" ht="12" customHeight="1"/>
    <row r="37011" ht="12" customHeight="1"/>
    <row r="37012" ht="12" customHeight="1"/>
    <row r="37013" ht="12" customHeight="1"/>
    <row r="37014" ht="12" customHeight="1"/>
    <row r="37015" ht="12" customHeight="1"/>
    <row r="37016" ht="12" customHeight="1"/>
    <row r="37017" ht="12" customHeight="1"/>
    <row r="37018" ht="12" customHeight="1"/>
    <row r="37019" ht="12" customHeight="1"/>
    <row r="37020" ht="12" customHeight="1"/>
    <row r="37021" ht="12" customHeight="1"/>
    <row r="37022" ht="12" customHeight="1"/>
    <row r="37023" ht="12" customHeight="1"/>
    <row r="37024" ht="12" customHeight="1"/>
    <row r="37025" ht="12" customHeight="1"/>
    <row r="37026" ht="12" customHeight="1"/>
    <row r="37027" ht="12" customHeight="1"/>
    <row r="37028" ht="12" customHeight="1"/>
    <row r="37029" ht="12" customHeight="1"/>
    <row r="37030" ht="12" customHeight="1"/>
    <row r="37031" ht="12" customHeight="1"/>
    <row r="37032" ht="12" customHeight="1"/>
    <row r="37033" ht="12" customHeight="1"/>
    <row r="37034" ht="12" customHeight="1"/>
    <row r="37035" ht="12" customHeight="1"/>
    <row r="37036" ht="12" customHeight="1"/>
    <row r="37037" ht="12" customHeight="1"/>
    <row r="37038" ht="12" customHeight="1"/>
    <row r="37039" ht="12" customHeight="1"/>
    <row r="37040" ht="12" customHeight="1"/>
    <row r="37041" ht="12" customHeight="1"/>
    <row r="37042" ht="12" customHeight="1"/>
    <row r="37043" ht="12" customHeight="1"/>
    <row r="37044" ht="12" customHeight="1"/>
    <row r="37045" ht="12" customHeight="1"/>
    <row r="37046" ht="12" customHeight="1"/>
    <row r="37047" ht="12" customHeight="1"/>
    <row r="37048" ht="12" customHeight="1"/>
    <row r="37049" ht="12" customHeight="1"/>
    <row r="37050" ht="12" customHeight="1"/>
    <row r="37051" ht="12" customHeight="1"/>
    <row r="37052" ht="12" customHeight="1"/>
    <row r="37053" ht="12" customHeight="1"/>
    <row r="37054" ht="12" customHeight="1"/>
    <row r="37055" ht="12" customHeight="1"/>
    <row r="37056" ht="12" customHeight="1"/>
    <row r="37057" ht="12" customHeight="1"/>
    <row r="37058" ht="12" customHeight="1"/>
    <row r="37059" ht="12" customHeight="1"/>
    <row r="37060" ht="12" customHeight="1"/>
    <row r="37061" ht="12" customHeight="1"/>
    <row r="37062" ht="12" customHeight="1"/>
    <row r="37063" ht="12" customHeight="1"/>
    <row r="37064" ht="12" customHeight="1"/>
    <row r="37065" ht="12" customHeight="1"/>
    <row r="37066" ht="12" customHeight="1"/>
    <row r="37067" ht="12" customHeight="1"/>
    <row r="37068" ht="12" customHeight="1"/>
    <row r="37069" ht="12" customHeight="1"/>
    <row r="37070" ht="12" customHeight="1"/>
    <row r="37071" ht="12" customHeight="1"/>
    <row r="37072" ht="12" customHeight="1"/>
    <row r="37073" ht="12" customHeight="1"/>
    <row r="37074" ht="12" customHeight="1"/>
    <row r="37075" ht="12" customHeight="1"/>
    <row r="37076" ht="12" customHeight="1"/>
    <row r="37077" ht="12" customHeight="1"/>
    <row r="37078" ht="12" customHeight="1"/>
    <row r="37079" ht="12" customHeight="1"/>
    <row r="37080" ht="12" customHeight="1"/>
    <row r="37081" ht="12" customHeight="1"/>
    <row r="37082" ht="12" customHeight="1"/>
    <row r="37083" ht="12" customHeight="1"/>
    <row r="37084" ht="12" customHeight="1"/>
    <row r="37085" ht="12" customHeight="1"/>
    <row r="37086" ht="12" customHeight="1"/>
    <row r="37087" ht="12" customHeight="1"/>
    <row r="37088" ht="12" customHeight="1"/>
    <row r="37089" ht="12" customHeight="1"/>
    <row r="37090" ht="12" customHeight="1"/>
    <row r="37091" ht="12" customHeight="1"/>
    <row r="37092" ht="12" customHeight="1"/>
    <row r="37093" ht="12" customHeight="1"/>
    <row r="37094" ht="12" customHeight="1"/>
    <row r="37095" ht="12" customHeight="1"/>
    <row r="37096" ht="12" customHeight="1"/>
    <row r="37097" ht="12" customHeight="1"/>
    <row r="37098" ht="12" customHeight="1"/>
    <row r="37099" ht="12" customHeight="1"/>
    <row r="37100" ht="12" customHeight="1"/>
    <row r="37101" ht="12" customHeight="1"/>
    <row r="37102" ht="12" customHeight="1"/>
    <row r="37103" ht="12" customHeight="1"/>
    <row r="37104" ht="12" customHeight="1"/>
    <row r="37105" ht="12" customHeight="1"/>
    <row r="37106" ht="12" customHeight="1"/>
    <row r="37107" ht="12" customHeight="1"/>
    <row r="37108" ht="12" customHeight="1"/>
    <row r="37109" ht="12" customHeight="1"/>
    <row r="37110" ht="12" customHeight="1"/>
    <row r="37111" ht="12" customHeight="1"/>
    <row r="37112" ht="12" customHeight="1"/>
    <row r="37113" ht="12" customHeight="1"/>
    <row r="37114" ht="12" customHeight="1"/>
    <row r="37115" ht="12" customHeight="1"/>
    <row r="37116" ht="12" customHeight="1"/>
    <row r="37117" ht="12" customHeight="1"/>
    <row r="37118" ht="12" customHeight="1"/>
    <row r="37119" ht="12" customHeight="1"/>
    <row r="37120" ht="12" customHeight="1"/>
    <row r="37121" ht="12" customHeight="1"/>
    <row r="37122" ht="12" customHeight="1"/>
    <row r="37123" ht="12" customHeight="1"/>
    <row r="37124" ht="12" customHeight="1"/>
    <row r="37125" ht="12" customHeight="1"/>
    <row r="37126" ht="12" customHeight="1"/>
    <row r="37127" ht="12" customHeight="1"/>
    <row r="37128" ht="12" customHeight="1"/>
    <row r="37129" ht="12" customHeight="1"/>
    <row r="37130" ht="12" customHeight="1"/>
    <row r="37131" ht="12" customHeight="1"/>
    <row r="37132" ht="12" customHeight="1"/>
    <row r="37133" ht="12" customHeight="1"/>
    <row r="37134" ht="12" customHeight="1"/>
    <row r="37135" ht="12" customHeight="1"/>
    <row r="37136" ht="12" customHeight="1"/>
    <row r="37137" ht="12" customHeight="1"/>
    <row r="37138" ht="12" customHeight="1"/>
    <row r="37139" ht="12" customHeight="1"/>
    <row r="37140" ht="12" customHeight="1"/>
    <row r="37141" ht="12" customHeight="1"/>
    <row r="37142" ht="12" customHeight="1"/>
    <row r="37143" ht="12" customHeight="1"/>
    <row r="37144" ht="12" customHeight="1"/>
    <row r="37145" ht="12" customHeight="1"/>
    <row r="37146" ht="12" customHeight="1"/>
    <row r="37147" ht="12" customHeight="1"/>
    <row r="37148" ht="12" customHeight="1"/>
    <row r="37149" ht="12" customHeight="1"/>
    <row r="37150" ht="12" customHeight="1"/>
    <row r="37151" ht="12" customHeight="1"/>
    <row r="37152" ht="12" customHeight="1"/>
    <row r="37153" ht="12" customHeight="1"/>
    <row r="37154" ht="12" customHeight="1"/>
    <row r="37155" ht="12" customHeight="1"/>
    <row r="37156" ht="12" customHeight="1"/>
    <row r="37157" ht="12" customHeight="1"/>
    <row r="37158" ht="12" customHeight="1"/>
    <row r="37159" ht="12" customHeight="1"/>
    <row r="37160" ht="12" customHeight="1"/>
    <row r="37161" ht="12" customHeight="1"/>
    <row r="37162" ht="12" customHeight="1"/>
    <row r="37163" ht="12" customHeight="1"/>
    <row r="37164" ht="12" customHeight="1"/>
    <row r="37165" ht="12" customHeight="1"/>
    <row r="37166" ht="12" customHeight="1"/>
    <row r="37167" ht="12" customHeight="1"/>
    <row r="37168" ht="12" customHeight="1"/>
    <row r="37169" ht="12" customHeight="1"/>
    <row r="37170" ht="12" customHeight="1"/>
    <row r="37171" ht="12" customHeight="1"/>
    <row r="37172" ht="12" customHeight="1"/>
    <row r="37173" ht="12" customHeight="1"/>
    <row r="37174" ht="12" customHeight="1"/>
    <row r="37175" ht="12" customHeight="1"/>
    <row r="37176" ht="12" customHeight="1"/>
    <row r="37177" ht="12" customHeight="1"/>
    <row r="37178" ht="12" customHeight="1"/>
    <row r="37179" ht="12" customHeight="1"/>
    <row r="37180" ht="12" customHeight="1"/>
    <row r="37181" ht="12" customHeight="1"/>
    <row r="37182" ht="12" customHeight="1"/>
    <row r="37183" ht="12" customHeight="1"/>
    <row r="37184" ht="12" customHeight="1"/>
    <row r="37185" ht="12" customHeight="1"/>
    <row r="37186" ht="12" customHeight="1"/>
    <row r="37187" ht="12" customHeight="1"/>
    <row r="37188" ht="12" customHeight="1"/>
    <row r="37189" ht="12" customHeight="1"/>
    <row r="37190" ht="12" customHeight="1"/>
    <row r="37191" ht="12" customHeight="1"/>
    <row r="37192" ht="12" customHeight="1"/>
    <row r="37193" ht="12" customHeight="1"/>
    <row r="37194" ht="12" customHeight="1"/>
    <row r="37195" ht="12" customHeight="1"/>
    <row r="37196" ht="12" customHeight="1"/>
    <row r="37197" ht="12" customHeight="1"/>
    <row r="37198" ht="12" customHeight="1"/>
    <row r="37199" ht="12" customHeight="1"/>
    <row r="37200" ht="12" customHeight="1"/>
    <row r="37201" ht="12" customHeight="1"/>
    <row r="37202" ht="12" customHeight="1"/>
    <row r="37203" ht="12" customHeight="1"/>
    <row r="37204" ht="12" customHeight="1"/>
    <row r="37205" ht="12" customHeight="1"/>
    <row r="37206" ht="12" customHeight="1"/>
    <row r="37207" ht="12" customHeight="1"/>
    <row r="37208" ht="12" customHeight="1"/>
    <row r="37209" ht="12" customHeight="1"/>
    <row r="37210" ht="12" customHeight="1"/>
    <row r="37211" ht="12" customHeight="1"/>
    <row r="37212" ht="12" customHeight="1"/>
    <row r="37213" ht="12" customHeight="1"/>
    <row r="37214" ht="12" customHeight="1"/>
    <row r="37215" ht="12" customHeight="1"/>
    <row r="37216" ht="12" customHeight="1"/>
    <row r="37217" ht="12" customHeight="1"/>
    <row r="37218" ht="12" customHeight="1"/>
    <row r="37219" ht="12" customHeight="1"/>
    <row r="37220" ht="12" customHeight="1"/>
    <row r="37221" ht="12" customHeight="1"/>
    <row r="37222" ht="12" customHeight="1"/>
    <row r="37223" ht="12" customHeight="1"/>
    <row r="37224" ht="12" customHeight="1"/>
    <row r="37225" ht="12" customHeight="1"/>
    <row r="37226" ht="12" customHeight="1"/>
    <row r="37227" ht="12" customHeight="1"/>
    <row r="37228" ht="12" customHeight="1"/>
    <row r="37229" ht="12" customHeight="1"/>
    <row r="37230" ht="12" customHeight="1"/>
    <row r="37231" ht="12" customHeight="1"/>
    <row r="37232" ht="12" customHeight="1"/>
    <row r="37233" ht="12" customHeight="1"/>
    <row r="37234" ht="12" customHeight="1"/>
    <row r="37235" ht="12" customHeight="1"/>
    <row r="37236" ht="12" customHeight="1"/>
    <row r="37237" ht="12" customHeight="1"/>
    <row r="37238" ht="12" customHeight="1"/>
    <row r="37239" ht="12" customHeight="1"/>
    <row r="37240" ht="12" customHeight="1"/>
    <row r="37241" ht="12" customHeight="1"/>
    <row r="37242" ht="12" customHeight="1"/>
    <row r="37243" ht="12" customHeight="1"/>
    <row r="37244" ht="12" customHeight="1"/>
    <row r="37245" ht="12" customHeight="1"/>
    <row r="37246" ht="12" customHeight="1"/>
    <row r="37247" ht="12" customHeight="1"/>
    <row r="37248" ht="12" customHeight="1"/>
    <row r="37249" ht="12" customHeight="1"/>
    <row r="37250" ht="12" customHeight="1"/>
    <row r="37251" ht="12" customHeight="1"/>
    <row r="37252" ht="12" customHeight="1"/>
    <row r="37253" ht="12" customHeight="1"/>
    <row r="37254" ht="12" customHeight="1"/>
    <row r="37255" ht="12" customHeight="1"/>
    <row r="37256" ht="12" customHeight="1"/>
    <row r="37257" ht="12" customHeight="1"/>
    <row r="37258" ht="12" customHeight="1"/>
    <row r="37259" ht="12" customHeight="1"/>
    <row r="37260" ht="12" customHeight="1"/>
    <row r="37261" ht="12" customHeight="1"/>
    <row r="37262" ht="12" customHeight="1"/>
    <row r="37263" ht="12" customHeight="1"/>
    <row r="37264" ht="12" customHeight="1"/>
    <row r="37265" ht="12" customHeight="1"/>
    <row r="37266" ht="12" customHeight="1"/>
    <row r="37267" ht="12" customHeight="1"/>
    <row r="37268" ht="12" customHeight="1"/>
    <row r="37269" ht="12" customHeight="1"/>
    <row r="37270" ht="12" customHeight="1"/>
    <row r="37271" ht="12" customHeight="1"/>
    <row r="37272" ht="12" customHeight="1"/>
    <row r="37273" ht="12" customHeight="1"/>
    <row r="37274" ht="12" customHeight="1"/>
    <row r="37275" ht="12" customHeight="1"/>
    <row r="37276" ht="12" customHeight="1"/>
    <row r="37277" ht="12" customHeight="1"/>
    <row r="37278" ht="12" customHeight="1"/>
    <row r="37279" ht="12" customHeight="1"/>
    <row r="37280" ht="12" customHeight="1"/>
    <row r="37281" ht="12" customHeight="1"/>
    <row r="37282" ht="12" customHeight="1"/>
    <row r="37283" ht="12" customHeight="1"/>
    <row r="37284" ht="12" customHeight="1"/>
    <row r="37285" ht="12" customHeight="1"/>
    <row r="37286" ht="12" customHeight="1"/>
    <row r="37287" ht="12" customHeight="1"/>
    <row r="37288" ht="12" customHeight="1"/>
    <row r="37289" ht="12" customHeight="1"/>
    <row r="37290" ht="12" customHeight="1"/>
    <row r="37291" ht="12" customHeight="1"/>
    <row r="37292" ht="12" customHeight="1"/>
    <row r="37293" ht="12" customHeight="1"/>
    <row r="37294" ht="12" customHeight="1"/>
    <row r="37295" ht="12" customHeight="1"/>
    <row r="37296" ht="12" customHeight="1"/>
    <row r="37297" ht="12" customHeight="1"/>
    <row r="37298" ht="12" customHeight="1"/>
    <row r="37299" ht="12" customHeight="1"/>
    <row r="37300" ht="12" customHeight="1"/>
    <row r="37301" ht="12" customHeight="1"/>
    <row r="37302" ht="12" customHeight="1"/>
    <row r="37303" ht="12" customHeight="1"/>
    <row r="37304" ht="12" customHeight="1"/>
    <row r="37305" ht="12" customHeight="1"/>
    <row r="37306" ht="12" customHeight="1"/>
    <row r="37307" ht="12" customHeight="1"/>
    <row r="37308" ht="12" customHeight="1"/>
    <row r="37309" ht="12" customHeight="1"/>
    <row r="37310" ht="12" customHeight="1"/>
    <row r="37311" ht="12" customHeight="1"/>
    <row r="37312" ht="12" customHeight="1"/>
    <row r="37313" ht="12" customHeight="1"/>
    <row r="37314" ht="12" customHeight="1"/>
    <row r="37315" ht="12" customHeight="1"/>
    <row r="37316" ht="12" customHeight="1"/>
    <row r="37317" ht="12" customHeight="1"/>
    <row r="37318" ht="12" customHeight="1"/>
    <row r="37319" ht="12" customHeight="1"/>
    <row r="37320" ht="12" customHeight="1"/>
    <row r="37321" ht="12" customHeight="1"/>
    <row r="37322" ht="12" customHeight="1"/>
    <row r="37323" ht="12" customHeight="1"/>
    <row r="37324" ht="12" customHeight="1"/>
    <row r="37325" ht="12" customHeight="1"/>
    <row r="37326" ht="12" customHeight="1"/>
    <row r="37327" ht="12" customHeight="1"/>
    <row r="37328" ht="12" customHeight="1"/>
    <row r="37329" ht="12" customHeight="1"/>
    <row r="37330" ht="12" customHeight="1"/>
    <row r="37331" ht="12" customHeight="1"/>
    <row r="37332" ht="12" customHeight="1"/>
    <row r="37333" ht="12" customHeight="1"/>
    <row r="37334" ht="12" customHeight="1"/>
    <row r="37335" ht="12" customHeight="1"/>
    <row r="37336" ht="12" customHeight="1"/>
    <row r="37337" ht="12" customHeight="1"/>
    <row r="37338" ht="12" customHeight="1"/>
    <row r="37339" ht="12" customHeight="1"/>
    <row r="37340" ht="12" customHeight="1"/>
    <row r="37341" ht="12" customHeight="1"/>
    <row r="37342" ht="12" customHeight="1"/>
    <row r="37343" ht="12" customHeight="1"/>
    <row r="37344" ht="12" customHeight="1"/>
    <row r="37345" ht="12" customHeight="1"/>
    <row r="37346" ht="12" customHeight="1"/>
    <row r="37347" ht="12" customHeight="1"/>
    <row r="37348" ht="12" customHeight="1"/>
    <row r="37349" ht="12" customHeight="1"/>
    <row r="37350" ht="12" customHeight="1"/>
    <row r="37351" ht="12" customHeight="1"/>
    <row r="37352" ht="12" customHeight="1"/>
    <row r="37353" ht="12" customHeight="1"/>
    <row r="37354" ht="12" customHeight="1"/>
    <row r="37355" ht="12" customHeight="1"/>
    <row r="37356" ht="12" customHeight="1"/>
    <row r="37357" ht="12" customHeight="1"/>
    <row r="37358" ht="12" customHeight="1"/>
    <row r="37359" ht="12" customHeight="1"/>
    <row r="37360" ht="12" customHeight="1"/>
    <row r="37361" ht="12" customHeight="1"/>
    <row r="37362" ht="12" customHeight="1"/>
    <row r="37363" ht="12" customHeight="1"/>
    <row r="37364" ht="12" customHeight="1"/>
    <row r="37365" ht="12" customHeight="1"/>
    <row r="37366" ht="12" customHeight="1"/>
    <row r="37367" ht="12" customHeight="1"/>
    <row r="37368" ht="12" customHeight="1"/>
    <row r="37369" ht="12" customHeight="1"/>
    <row r="37370" ht="12" customHeight="1"/>
    <row r="37371" ht="12" customHeight="1"/>
    <row r="37372" ht="12" customHeight="1"/>
    <row r="37373" ht="12" customHeight="1"/>
    <row r="37374" ht="12" customHeight="1"/>
    <row r="37375" ht="12" customHeight="1"/>
    <row r="37376" ht="12" customHeight="1"/>
    <row r="37377" ht="12" customHeight="1"/>
    <row r="37378" ht="12" customHeight="1"/>
    <row r="37379" ht="12" customHeight="1"/>
    <row r="37380" ht="12" customHeight="1"/>
    <row r="37381" ht="12" customHeight="1"/>
    <row r="37382" ht="12" customHeight="1"/>
    <row r="37383" ht="12" customHeight="1"/>
    <row r="37384" ht="12" customHeight="1"/>
    <row r="37385" ht="12" customHeight="1"/>
    <row r="37386" ht="12" customHeight="1"/>
    <row r="37387" ht="12" customHeight="1"/>
    <row r="37388" ht="12" customHeight="1"/>
    <row r="37389" ht="12" customHeight="1"/>
    <row r="37390" ht="12" customHeight="1"/>
    <row r="37391" ht="12" customHeight="1"/>
    <row r="37392" ht="12" customHeight="1"/>
    <row r="37393" ht="12" customHeight="1"/>
    <row r="37394" ht="12" customHeight="1"/>
    <row r="37395" ht="12" customHeight="1"/>
    <row r="37396" ht="12" customHeight="1"/>
    <row r="37397" ht="12" customHeight="1"/>
    <row r="37398" ht="12" customHeight="1"/>
    <row r="37399" ht="12" customHeight="1"/>
    <row r="37400" ht="12" customHeight="1"/>
    <row r="37401" ht="12" customHeight="1"/>
    <row r="37402" ht="12" customHeight="1"/>
    <row r="37403" ht="12" customHeight="1"/>
    <row r="37404" ht="12" customHeight="1"/>
    <row r="37405" ht="12" customHeight="1"/>
    <row r="37406" ht="12" customHeight="1"/>
    <row r="37407" ht="12" customHeight="1"/>
    <row r="37408" ht="12" customHeight="1"/>
    <row r="37409" ht="12" customHeight="1"/>
    <row r="37410" ht="12" customHeight="1"/>
    <row r="37411" ht="12" customHeight="1"/>
    <row r="37412" ht="12" customHeight="1"/>
    <row r="37413" ht="12" customHeight="1"/>
    <row r="37414" ht="12" customHeight="1"/>
    <row r="37415" ht="12" customHeight="1"/>
    <row r="37416" ht="12" customHeight="1"/>
    <row r="37417" ht="12" customHeight="1"/>
    <row r="37418" ht="12" customHeight="1"/>
    <row r="37419" ht="12" customHeight="1"/>
    <row r="37420" ht="12" customHeight="1"/>
    <row r="37421" ht="12" customHeight="1"/>
    <row r="37422" ht="12" customHeight="1"/>
    <row r="37423" ht="12" customHeight="1"/>
    <row r="37424" ht="12" customHeight="1"/>
    <row r="37425" ht="12" customHeight="1"/>
    <row r="37426" ht="12" customHeight="1"/>
    <row r="37427" ht="12" customHeight="1"/>
    <row r="37428" ht="12" customHeight="1"/>
    <row r="37429" ht="12" customHeight="1"/>
    <row r="37430" ht="12" customHeight="1"/>
    <row r="37431" ht="12" customHeight="1"/>
    <row r="37432" ht="12" customHeight="1"/>
    <row r="37433" ht="12" customHeight="1"/>
    <row r="37434" ht="12" customHeight="1"/>
    <row r="37435" ht="12" customHeight="1"/>
    <row r="37436" ht="12" customHeight="1"/>
    <row r="37437" ht="12" customHeight="1"/>
    <row r="37438" ht="12" customHeight="1"/>
    <row r="37439" ht="12" customHeight="1"/>
    <row r="37440" ht="12" customHeight="1"/>
    <row r="37441" ht="12" customHeight="1"/>
    <row r="37442" ht="12" customHeight="1"/>
    <row r="37443" ht="12" customHeight="1"/>
    <row r="37444" ht="12" customHeight="1"/>
    <row r="37445" ht="12" customHeight="1"/>
    <row r="37446" ht="12" customHeight="1"/>
    <row r="37447" ht="12" customHeight="1"/>
    <row r="37448" ht="12" customHeight="1"/>
    <row r="37449" ht="12" customHeight="1"/>
    <row r="37450" ht="12" customHeight="1"/>
    <row r="37451" ht="12" customHeight="1"/>
    <row r="37452" ht="12" customHeight="1"/>
    <row r="37453" ht="12" customHeight="1"/>
    <row r="37454" ht="12" customHeight="1"/>
    <row r="37455" ht="12" customHeight="1"/>
    <row r="37456" ht="12" customHeight="1"/>
    <row r="37457" ht="12" customHeight="1"/>
    <row r="37458" ht="12" customHeight="1"/>
    <row r="37459" ht="12" customHeight="1"/>
    <row r="37460" ht="12" customHeight="1"/>
    <row r="37461" ht="12" customHeight="1"/>
    <row r="37462" ht="12" customHeight="1"/>
    <row r="37463" ht="12" customHeight="1"/>
    <row r="37464" ht="12" customHeight="1"/>
    <row r="37465" ht="12" customHeight="1"/>
    <row r="37466" ht="12" customHeight="1"/>
    <row r="37467" ht="12" customHeight="1"/>
    <row r="37468" ht="12" customHeight="1"/>
    <row r="37469" ht="12" customHeight="1"/>
    <row r="37470" ht="12" customHeight="1"/>
    <row r="37471" ht="12" customHeight="1"/>
    <row r="37472" ht="12" customHeight="1"/>
    <row r="37473" ht="12" customHeight="1"/>
    <row r="37474" ht="12" customHeight="1"/>
    <row r="37475" ht="12" customHeight="1"/>
    <row r="37476" ht="12" customHeight="1"/>
    <row r="37477" ht="12" customHeight="1"/>
    <row r="37478" ht="12" customHeight="1"/>
    <row r="37479" ht="12" customHeight="1"/>
    <row r="37480" ht="12" customHeight="1"/>
    <row r="37481" ht="12" customHeight="1"/>
    <row r="37482" ht="12" customHeight="1"/>
    <row r="37483" ht="12" customHeight="1"/>
    <row r="37484" ht="12" customHeight="1"/>
    <row r="37485" ht="12" customHeight="1"/>
    <row r="37486" ht="12" customHeight="1"/>
    <row r="37487" ht="12" customHeight="1"/>
    <row r="37488" ht="12" customHeight="1"/>
    <row r="37489" ht="12" customHeight="1"/>
    <row r="37490" ht="12" customHeight="1"/>
    <row r="37491" ht="12" customHeight="1"/>
    <row r="37492" ht="12" customHeight="1"/>
    <row r="37493" ht="12" customHeight="1"/>
    <row r="37494" ht="12" customHeight="1"/>
    <row r="37495" ht="12" customHeight="1"/>
    <row r="37496" ht="12" customHeight="1"/>
    <row r="37497" ht="12" customHeight="1"/>
    <row r="37498" ht="12" customHeight="1"/>
    <row r="37499" ht="12" customHeight="1"/>
    <row r="37500" ht="12" customHeight="1"/>
    <row r="37501" ht="12" customHeight="1"/>
    <row r="37502" ht="12" customHeight="1"/>
    <row r="37503" ht="12" customHeight="1"/>
    <row r="37504" ht="12" customHeight="1"/>
    <row r="37505" ht="12" customHeight="1"/>
    <row r="37506" ht="12" customHeight="1"/>
    <row r="37507" ht="12" customHeight="1"/>
    <row r="37508" ht="12" customHeight="1"/>
    <row r="37509" ht="12" customHeight="1"/>
    <row r="37510" ht="12" customHeight="1"/>
    <row r="37511" ht="12" customHeight="1"/>
    <row r="37512" ht="12" customHeight="1"/>
    <row r="37513" ht="12" customHeight="1"/>
    <row r="37514" ht="12" customHeight="1"/>
    <row r="37515" ht="12" customHeight="1"/>
    <row r="37516" ht="12" customHeight="1"/>
    <row r="37517" ht="12" customHeight="1"/>
    <row r="37518" ht="12" customHeight="1"/>
    <row r="37519" ht="12" customHeight="1"/>
    <row r="37520" ht="12" customHeight="1"/>
    <row r="37521" ht="12" customHeight="1"/>
    <row r="37522" ht="12" customHeight="1"/>
    <row r="37523" ht="12" customHeight="1"/>
    <row r="37524" ht="12" customHeight="1"/>
    <row r="37525" ht="12" customHeight="1"/>
    <row r="37526" ht="12" customHeight="1"/>
    <row r="37527" ht="12" customHeight="1"/>
    <row r="37528" ht="12" customHeight="1"/>
    <row r="37529" ht="12" customHeight="1"/>
    <row r="37530" ht="12" customHeight="1"/>
    <row r="37531" ht="12" customHeight="1"/>
    <row r="37532" ht="12" customHeight="1"/>
    <row r="37533" ht="12" customHeight="1"/>
    <row r="37534" ht="12" customHeight="1"/>
    <row r="37535" ht="12" customHeight="1"/>
    <row r="37536" ht="12" customHeight="1"/>
    <row r="37537" ht="12" customHeight="1"/>
    <row r="37538" ht="12" customHeight="1"/>
    <row r="37539" ht="12" customHeight="1"/>
    <row r="37540" ht="12" customHeight="1"/>
    <row r="37541" ht="12" customHeight="1"/>
    <row r="37542" ht="12" customHeight="1"/>
    <row r="37543" ht="12" customHeight="1"/>
    <row r="37544" ht="12" customHeight="1"/>
    <row r="37545" ht="12" customHeight="1"/>
    <row r="37546" ht="12" customHeight="1"/>
    <row r="37547" ht="12" customHeight="1"/>
    <row r="37548" ht="12" customHeight="1"/>
    <row r="37549" ht="12" customHeight="1"/>
    <row r="37550" ht="12" customHeight="1"/>
    <row r="37551" ht="12" customHeight="1"/>
    <row r="37552" ht="12" customHeight="1"/>
    <row r="37553" ht="12" customHeight="1"/>
    <row r="37554" ht="12" customHeight="1"/>
    <row r="37555" ht="12" customHeight="1"/>
    <row r="37556" ht="12" customHeight="1"/>
    <row r="37557" ht="12" customHeight="1"/>
    <row r="37558" ht="12" customHeight="1"/>
    <row r="37559" ht="12" customHeight="1"/>
    <row r="37560" ht="12" customHeight="1"/>
    <row r="37561" ht="12" customHeight="1"/>
    <row r="37562" ht="12" customHeight="1"/>
    <row r="37563" ht="12" customHeight="1"/>
    <row r="37564" ht="12" customHeight="1"/>
    <row r="37565" ht="12" customHeight="1"/>
    <row r="37566" ht="12" customHeight="1"/>
    <row r="37567" ht="12" customHeight="1"/>
    <row r="37568" ht="12" customHeight="1"/>
    <row r="37569" ht="12" customHeight="1"/>
    <row r="37570" ht="12" customHeight="1"/>
    <row r="37571" ht="12" customHeight="1"/>
    <row r="37572" ht="12" customHeight="1"/>
    <row r="37573" ht="12" customHeight="1"/>
    <row r="37574" ht="12" customHeight="1"/>
    <row r="37575" ht="12" customHeight="1"/>
    <row r="37576" ht="12" customHeight="1"/>
    <row r="37577" ht="12" customHeight="1"/>
    <row r="37578" ht="12" customHeight="1"/>
    <row r="37579" ht="12" customHeight="1"/>
    <row r="37580" ht="12" customHeight="1"/>
    <row r="37581" ht="12" customHeight="1"/>
    <row r="37582" ht="12" customHeight="1"/>
    <row r="37583" ht="12" customHeight="1"/>
    <row r="37584" ht="12" customHeight="1"/>
    <row r="37585" ht="12" customHeight="1"/>
    <row r="37586" ht="12" customHeight="1"/>
    <row r="37587" ht="12" customHeight="1"/>
    <row r="37588" ht="12" customHeight="1"/>
    <row r="37589" ht="12" customHeight="1"/>
    <row r="37590" ht="12" customHeight="1"/>
    <row r="37591" ht="12" customHeight="1"/>
    <row r="37592" ht="12" customHeight="1"/>
    <row r="37593" ht="12" customHeight="1"/>
    <row r="37594" ht="12" customHeight="1"/>
    <row r="37595" ht="12" customHeight="1"/>
    <row r="37596" ht="12" customHeight="1"/>
    <row r="37597" ht="12" customHeight="1"/>
    <row r="37598" ht="12" customHeight="1"/>
    <row r="37599" ht="12" customHeight="1"/>
    <row r="37600" ht="12" customHeight="1"/>
    <row r="37601" ht="12" customHeight="1"/>
    <row r="37602" ht="12" customHeight="1"/>
    <row r="37603" ht="12" customHeight="1"/>
    <row r="37604" ht="12" customHeight="1"/>
    <row r="37605" ht="12" customHeight="1"/>
    <row r="37606" ht="12" customHeight="1"/>
    <row r="37607" ht="12" customHeight="1"/>
    <row r="37608" ht="12" customHeight="1"/>
    <row r="37609" ht="12" customHeight="1"/>
    <row r="37610" ht="12" customHeight="1"/>
    <row r="37611" ht="12" customHeight="1"/>
    <row r="37612" ht="12" customHeight="1"/>
    <row r="37613" ht="12" customHeight="1"/>
    <row r="37614" ht="12" customHeight="1"/>
    <row r="37615" ht="12" customHeight="1"/>
    <row r="37616" ht="12" customHeight="1"/>
    <row r="37617" ht="12" customHeight="1"/>
    <row r="37618" ht="12" customHeight="1"/>
    <row r="37619" ht="12" customHeight="1"/>
    <row r="37620" ht="12" customHeight="1"/>
    <row r="37621" ht="12" customHeight="1"/>
    <row r="37622" ht="12" customHeight="1"/>
    <row r="37623" ht="12" customHeight="1"/>
    <row r="37624" ht="12" customHeight="1"/>
    <row r="37625" ht="12" customHeight="1"/>
    <row r="37626" ht="12" customHeight="1"/>
    <row r="37627" ht="12" customHeight="1"/>
    <row r="37628" ht="12" customHeight="1"/>
    <row r="37629" ht="12" customHeight="1"/>
    <row r="37630" ht="12" customHeight="1"/>
    <row r="37631" ht="12" customHeight="1"/>
    <row r="37632" ht="12" customHeight="1"/>
    <row r="37633" ht="12" customHeight="1"/>
    <row r="37634" ht="12" customHeight="1"/>
    <row r="37635" ht="12" customHeight="1"/>
    <row r="37636" ht="12" customHeight="1"/>
    <row r="37637" ht="12" customHeight="1"/>
    <row r="37638" ht="12" customHeight="1"/>
    <row r="37639" ht="12" customHeight="1"/>
    <row r="37640" ht="12" customHeight="1"/>
    <row r="37641" ht="12" customHeight="1"/>
    <row r="37642" ht="12" customHeight="1"/>
    <row r="37643" ht="12" customHeight="1"/>
    <row r="37644" ht="12" customHeight="1"/>
    <row r="37645" ht="12" customHeight="1"/>
    <row r="37646" ht="12" customHeight="1"/>
    <row r="37647" ht="12" customHeight="1"/>
    <row r="37648" ht="12" customHeight="1"/>
    <row r="37649" ht="12" customHeight="1"/>
    <row r="37650" ht="12" customHeight="1"/>
    <row r="37651" ht="12" customHeight="1"/>
    <row r="37652" ht="12" customHeight="1"/>
    <row r="37653" ht="12" customHeight="1"/>
    <row r="37654" ht="12" customHeight="1"/>
    <row r="37655" ht="12" customHeight="1"/>
    <row r="37656" ht="12" customHeight="1"/>
    <row r="37657" ht="12" customHeight="1"/>
    <row r="37658" ht="12" customHeight="1"/>
    <row r="37659" ht="12" customHeight="1"/>
    <row r="37660" ht="12" customHeight="1"/>
    <row r="37661" ht="12" customHeight="1"/>
    <row r="37662" ht="12" customHeight="1"/>
    <row r="37663" ht="12" customHeight="1"/>
    <row r="37664" ht="12" customHeight="1"/>
    <row r="37665" ht="12" customHeight="1"/>
    <row r="37666" ht="12" customHeight="1"/>
    <row r="37667" ht="12" customHeight="1"/>
    <row r="37668" ht="12" customHeight="1"/>
    <row r="37669" ht="12" customHeight="1"/>
    <row r="37670" ht="12" customHeight="1"/>
    <row r="37671" ht="12" customHeight="1"/>
    <row r="37672" ht="12" customHeight="1"/>
    <row r="37673" ht="12" customHeight="1"/>
    <row r="37674" ht="12" customHeight="1"/>
    <row r="37675" ht="12" customHeight="1"/>
    <row r="37676" ht="12" customHeight="1"/>
    <row r="37677" ht="12" customHeight="1"/>
    <row r="37678" ht="12" customHeight="1"/>
    <row r="37679" ht="12" customHeight="1"/>
    <row r="37680" ht="12" customHeight="1"/>
    <row r="37681" ht="12" customHeight="1"/>
    <row r="37682" ht="12" customHeight="1"/>
    <row r="37683" ht="12" customHeight="1"/>
    <row r="37684" ht="12" customHeight="1"/>
    <row r="37685" ht="12" customHeight="1"/>
    <row r="37686" ht="12" customHeight="1"/>
    <row r="37687" ht="12" customHeight="1"/>
    <row r="37688" ht="12" customHeight="1"/>
    <row r="37689" ht="12" customHeight="1"/>
    <row r="37690" ht="12" customHeight="1"/>
    <row r="37691" ht="12" customHeight="1"/>
    <row r="37692" ht="12" customHeight="1"/>
    <row r="37693" ht="12" customHeight="1"/>
    <row r="37694" ht="12" customHeight="1"/>
    <row r="37695" ht="12" customHeight="1"/>
    <row r="37696" ht="12" customHeight="1"/>
    <row r="37697" ht="12" customHeight="1"/>
    <row r="37698" ht="12" customHeight="1"/>
    <row r="37699" ht="12" customHeight="1"/>
    <row r="37700" ht="12" customHeight="1"/>
    <row r="37701" ht="12" customHeight="1"/>
    <row r="37702" ht="12" customHeight="1"/>
    <row r="37703" ht="12" customHeight="1"/>
    <row r="37704" ht="12" customHeight="1"/>
    <row r="37705" ht="12" customHeight="1"/>
    <row r="37706" ht="12" customHeight="1"/>
    <row r="37707" ht="12" customHeight="1"/>
    <row r="37708" ht="12" customHeight="1"/>
    <row r="37709" ht="12" customHeight="1"/>
    <row r="37710" ht="12" customHeight="1"/>
    <row r="37711" ht="12" customHeight="1"/>
    <row r="37712" ht="12" customHeight="1"/>
    <row r="37713" ht="12" customHeight="1"/>
    <row r="37714" ht="12" customHeight="1"/>
    <row r="37715" ht="12" customHeight="1"/>
    <row r="37716" ht="12" customHeight="1"/>
    <row r="37717" ht="12" customHeight="1"/>
    <row r="37718" ht="12" customHeight="1"/>
    <row r="37719" ht="12" customHeight="1"/>
    <row r="37720" ht="12" customHeight="1"/>
    <row r="37721" ht="12" customHeight="1"/>
    <row r="37722" ht="12" customHeight="1"/>
    <row r="37723" ht="12" customHeight="1"/>
    <row r="37724" ht="12" customHeight="1"/>
    <row r="37725" ht="12" customHeight="1"/>
    <row r="37726" ht="12" customHeight="1"/>
    <row r="37727" ht="12" customHeight="1"/>
    <row r="37728" ht="12" customHeight="1"/>
    <row r="37729" ht="12" customHeight="1"/>
    <row r="37730" ht="12" customHeight="1"/>
    <row r="37731" ht="12" customHeight="1"/>
    <row r="37732" ht="12" customHeight="1"/>
    <row r="37733" ht="12" customHeight="1"/>
    <row r="37734" ht="12" customHeight="1"/>
    <row r="37735" ht="12" customHeight="1"/>
    <row r="37736" ht="12" customHeight="1"/>
    <row r="37737" ht="12" customHeight="1"/>
    <row r="37738" ht="12" customHeight="1"/>
    <row r="37739" ht="12" customHeight="1"/>
    <row r="37740" ht="12" customHeight="1"/>
    <row r="37741" ht="12" customHeight="1"/>
    <row r="37742" ht="12" customHeight="1"/>
    <row r="37743" ht="12" customHeight="1"/>
    <row r="37744" ht="12" customHeight="1"/>
    <row r="37745" ht="12" customHeight="1"/>
    <row r="37746" ht="12" customHeight="1"/>
    <row r="37747" ht="12" customHeight="1"/>
    <row r="37748" ht="12" customHeight="1"/>
    <row r="37749" ht="12" customHeight="1"/>
    <row r="37750" ht="12" customHeight="1"/>
    <row r="37751" ht="12" customHeight="1"/>
    <row r="37752" ht="12" customHeight="1"/>
    <row r="37753" ht="12" customHeight="1"/>
    <row r="37754" ht="12" customHeight="1"/>
    <row r="37755" ht="12" customHeight="1"/>
    <row r="37756" ht="12" customHeight="1"/>
    <row r="37757" ht="12" customHeight="1"/>
    <row r="37758" ht="12" customHeight="1"/>
    <row r="37759" ht="12" customHeight="1"/>
    <row r="37760" ht="12" customHeight="1"/>
    <row r="37761" ht="12" customHeight="1"/>
    <row r="37762" ht="12" customHeight="1"/>
    <row r="37763" ht="12" customHeight="1"/>
    <row r="37764" ht="12" customHeight="1"/>
    <row r="37765" ht="12" customHeight="1"/>
    <row r="37766" ht="12" customHeight="1"/>
    <row r="37767" ht="12" customHeight="1"/>
    <row r="37768" ht="12" customHeight="1"/>
    <row r="37769" ht="12" customHeight="1"/>
    <row r="37770" ht="12" customHeight="1"/>
    <row r="37771" ht="12" customHeight="1"/>
    <row r="37772" ht="12" customHeight="1"/>
    <row r="37773" ht="12" customHeight="1"/>
    <row r="37774" ht="12" customHeight="1"/>
    <row r="37775" ht="12" customHeight="1"/>
    <row r="37776" ht="12" customHeight="1"/>
    <row r="37777" ht="12" customHeight="1"/>
    <row r="37778" ht="12" customHeight="1"/>
    <row r="37779" ht="12" customHeight="1"/>
    <row r="37780" ht="12" customHeight="1"/>
    <row r="37781" ht="12" customHeight="1"/>
    <row r="37782" ht="12" customHeight="1"/>
    <row r="37783" ht="12" customHeight="1"/>
    <row r="37784" ht="12" customHeight="1"/>
    <row r="37785" ht="12" customHeight="1"/>
    <row r="37786" ht="12" customHeight="1"/>
    <row r="37787" ht="12" customHeight="1"/>
    <row r="37788" ht="12" customHeight="1"/>
    <row r="37789" ht="12" customHeight="1"/>
    <row r="37790" ht="12" customHeight="1"/>
    <row r="37791" ht="12" customHeight="1"/>
    <row r="37792" ht="12" customHeight="1"/>
    <row r="37793" ht="12" customHeight="1"/>
    <row r="37794" ht="12" customHeight="1"/>
    <row r="37795" ht="12" customHeight="1"/>
    <row r="37796" ht="12" customHeight="1"/>
    <row r="37797" ht="12" customHeight="1"/>
    <row r="37798" ht="12" customHeight="1"/>
    <row r="37799" ht="12" customHeight="1"/>
    <row r="37800" ht="12" customHeight="1"/>
    <row r="37801" ht="12" customHeight="1"/>
    <row r="37802" ht="12" customHeight="1"/>
    <row r="37803" ht="12" customHeight="1"/>
    <row r="37804" ht="12" customHeight="1"/>
    <row r="37805" ht="12" customHeight="1"/>
    <row r="37806" ht="12" customHeight="1"/>
    <row r="37807" ht="12" customHeight="1"/>
    <row r="37808" ht="12" customHeight="1"/>
    <row r="37809" ht="12" customHeight="1"/>
    <row r="37810" ht="12" customHeight="1"/>
    <row r="37811" ht="12" customHeight="1"/>
    <row r="37812" ht="12" customHeight="1"/>
    <row r="37813" ht="12" customHeight="1"/>
    <row r="37814" ht="12" customHeight="1"/>
    <row r="37815" ht="12" customHeight="1"/>
    <row r="37816" ht="12" customHeight="1"/>
    <row r="37817" ht="12" customHeight="1"/>
    <row r="37818" ht="12" customHeight="1"/>
    <row r="37819" ht="12" customHeight="1"/>
    <row r="37820" ht="12" customHeight="1"/>
    <row r="37821" ht="12" customHeight="1"/>
    <row r="37822" ht="12" customHeight="1"/>
    <row r="37823" ht="12" customHeight="1"/>
    <row r="37824" ht="12" customHeight="1"/>
    <row r="37825" ht="12" customHeight="1"/>
    <row r="37826" ht="12" customHeight="1"/>
    <row r="37827" ht="12" customHeight="1"/>
    <row r="37828" ht="12" customHeight="1"/>
    <row r="37829" ht="12" customHeight="1"/>
    <row r="37830" ht="12" customHeight="1"/>
    <row r="37831" ht="12" customHeight="1"/>
    <row r="37832" ht="12" customHeight="1"/>
    <row r="37833" ht="12" customHeight="1"/>
    <row r="37834" ht="12" customHeight="1"/>
    <row r="37835" ht="12" customHeight="1"/>
    <row r="37836" ht="12" customHeight="1"/>
    <row r="37837" ht="12" customHeight="1"/>
    <row r="37838" ht="12" customHeight="1"/>
    <row r="37839" ht="12" customHeight="1"/>
    <row r="37840" ht="12" customHeight="1"/>
    <row r="37841" ht="12" customHeight="1"/>
    <row r="37842" ht="12" customHeight="1"/>
    <row r="37843" ht="12" customHeight="1"/>
    <row r="37844" ht="12" customHeight="1"/>
    <row r="37845" ht="12" customHeight="1"/>
    <row r="37846" ht="12" customHeight="1"/>
    <row r="37847" ht="12" customHeight="1"/>
    <row r="37848" ht="12" customHeight="1"/>
    <row r="37849" ht="12" customHeight="1"/>
    <row r="37850" ht="12" customHeight="1"/>
    <row r="37851" ht="12" customHeight="1"/>
    <row r="37852" ht="12" customHeight="1"/>
    <row r="37853" ht="12" customHeight="1"/>
    <row r="37854" ht="12" customHeight="1"/>
    <row r="37855" ht="12" customHeight="1"/>
    <row r="37856" ht="12" customHeight="1"/>
    <row r="37857" ht="12" customHeight="1"/>
    <row r="37858" ht="12" customHeight="1"/>
    <row r="37859" ht="12" customHeight="1"/>
    <row r="37860" ht="12" customHeight="1"/>
    <row r="37861" ht="12" customHeight="1"/>
    <row r="37862" ht="12" customHeight="1"/>
    <row r="37863" ht="12" customHeight="1"/>
    <row r="37864" ht="12" customHeight="1"/>
    <row r="37865" ht="12" customHeight="1"/>
    <row r="37866" ht="12" customHeight="1"/>
    <row r="37867" ht="12" customHeight="1"/>
    <row r="37868" ht="12" customHeight="1"/>
    <row r="37869" ht="12" customHeight="1"/>
    <row r="37870" ht="12" customHeight="1"/>
    <row r="37871" ht="12" customHeight="1"/>
    <row r="37872" ht="12" customHeight="1"/>
    <row r="37873" ht="12" customHeight="1"/>
    <row r="37874" ht="12" customHeight="1"/>
    <row r="37875" ht="12" customHeight="1"/>
    <row r="37876" ht="12" customHeight="1"/>
    <row r="37877" ht="12" customHeight="1"/>
    <row r="37878" ht="12" customHeight="1"/>
    <row r="37879" ht="12" customHeight="1"/>
    <row r="37880" ht="12" customHeight="1"/>
    <row r="37881" ht="12" customHeight="1"/>
    <row r="37882" ht="12" customHeight="1"/>
    <row r="37883" ht="12" customHeight="1"/>
    <row r="37884" ht="12" customHeight="1"/>
    <row r="37885" ht="12" customHeight="1"/>
    <row r="37886" ht="12" customHeight="1"/>
    <row r="37887" ht="12" customHeight="1"/>
    <row r="37888" ht="12" customHeight="1"/>
    <row r="37889" ht="12" customHeight="1"/>
    <row r="37890" ht="12" customHeight="1"/>
    <row r="37891" ht="12" customHeight="1"/>
    <row r="37892" ht="12" customHeight="1"/>
    <row r="37893" ht="12" customHeight="1"/>
    <row r="37894" ht="12" customHeight="1"/>
    <row r="37895" ht="12" customHeight="1"/>
    <row r="37896" ht="12" customHeight="1"/>
    <row r="37897" ht="12" customHeight="1"/>
    <row r="37898" ht="12" customHeight="1"/>
    <row r="37899" ht="12" customHeight="1"/>
    <row r="37900" ht="12" customHeight="1"/>
    <row r="37901" ht="12" customHeight="1"/>
    <row r="37902" ht="12" customHeight="1"/>
    <row r="37903" ht="12" customHeight="1"/>
    <row r="37904" ht="12" customHeight="1"/>
    <row r="37905" ht="12" customHeight="1"/>
    <row r="37906" ht="12" customHeight="1"/>
    <row r="37907" ht="12" customHeight="1"/>
    <row r="37908" ht="12" customHeight="1"/>
    <row r="37909" ht="12" customHeight="1"/>
    <row r="37910" ht="12" customHeight="1"/>
    <row r="37911" ht="12" customHeight="1"/>
    <row r="37912" ht="12" customHeight="1"/>
    <row r="37913" ht="12" customHeight="1"/>
    <row r="37914" ht="12" customHeight="1"/>
    <row r="37915" ht="12" customHeight="1"/>
    <row r="37916" ht="12" customHeight="1"/>
    <row r="37917" ht="12" customHeight="1"/>
    <row r="37918" ht="12" customHeight="1"/>
    <row r="37919" ht="12" customHeight="1"/>
    <row r="37920" ht="12" customHeight="1"/>
    <row r="37921" ht="12" customHeight="1"/>
    <row r="37922" ht="12" customHeight="1"/>
    <row r="37923" ht="12" customHeight="1"/>
    <row r="37924" ht="12" customHeight="1"/>
    <row r="37925" ht="12" customHeight="1"/>
    <row r="37926" ht="12" customHeight="1"/>
    <row r="37927" ht="12" customHeight="1"/>
    <row r="37928" ht="12" customHeight="1"/>
    <row r="37929" ht="12" customHeight="1"/>
    <row r="37930" ht="12" customHeight="1"/>
    <row r="37931" ht="12" customHeight="1"/>
    <row r="37932" ht="12" customHeight="1"/>
    <row r="37933" ht="12" customHeight="1"/>
    <row r="37934" ht="12" customHeight="1"/>
    <row r="37935" ht="12" customHeight="1"/>
    <row r="37936" ht="12" customHeight="1"/>
    <row r="37937" ht="12" customHeight="1"/>
    <row r="37938" ht="12" customHeight="1"/>
    <row r="37939" ht="12" customHeight="1"/>
    <row r="37940" ht="12" customHeight="1"/>
    <row r="37941" ht="12" customHeight="1"/>
    <row r="37942" ht="12" customHeight="1"/>
    <row r="37943" ht="12" customHeight="1"/>
    <row r="37944" ht="12" customHeight="1"/>
    <row r="37945" ht="12" customHeight="1"/>
    <row r="37946" ht="12" customHeight="1"/>
    <row r="37947" ht="12" customHeight="1"/>
    <row r="37948" ht="12" customHeight="1"/>
    <row r="37949" ht="12" customHeight="1"/>
    <row r="37950" ht="12" customHeight="1"/>
    <row r="37951" ht="12" customHeight="1"/>
    <row r="37952" ht="12" customHeight="1"/>
    <row r="37953" ht="12" customHeight="1"/>
    <row r="37954" ht="12" customHeight="1"/>
    <row r="37955" ht="12" customHeight="1"/>
    <row r="37956" ht="12" customHeight="1"/>
    <row r="37957" ht="12" customHeight="1"/>
    <row r="37958" ht="12" customHeight="1"/>
    <row r="37959" ht="12" customHeight="1"/>
    <row r="37960" ht="12" customHeight="1"/>
    <row r="37961" ht="12" customHeight="1"/>
    <row r="37962" ht="12" customHeight="1"/>
    <row r="37963" ht="12" customHeight="1"/>
    <row r="37964" ht="12" customHeight="1"/>
    <row r="37965" ht="12" customHeight="1"/>
    <row r="37966" ht="12" customHeight="1"/>
    <row r="37967" ht="12" customHeight="1"/>
    <row r="37968" ht="12" customHeight="1"/>
    <row r="37969" ht="12" customHeight="1"/>
    <row r="37970" ht="12" customHeight="1"/>
    <row r="37971" ht="12" customHeight="1"/>
    <row r="37972" ht="12" customHeight="1"/>
    <row r="37973" ht="12" customHeight="1"/>
    <row r="37974" ht="12" customHeight="1"/>
    <row r="37975" ht="12" customHeight="1"/>
    <row r="37976" ht="12" customHeight="1"/>
    <row r="37977" ht="12" customHeight="1"/>
    <row r="37978" ht="12" customHeight="1"/>
    <row r="37979" ht="12" customHeight="1"/>
    <row r="37980" ht="12" customHeight="1"/>
    <row r="37981" ht="12" customHeight="1"/>
    <row r="37982" ht="12" customHeight="1"/>
    <row r="37983" ht="12" customHeight="1"/>
    <row r="37984" ht="12" customHeight="1"/>
    <row r="37985" ht="12" customHeight="1"/>
    <row r="37986" ht="12" customHeight="1"/>
    <row r="37987" ht="12" customHeight="1"/>
    <row r="37988" ht="12" customHeight="1"/>
    <row r="37989" ht="12" customHeight="1"/>
    <row r="37990" ht="12" customHeight="1"/>
    <row r="37991" ht="12" customHeight="1"/>
    <row r="37992" ht="12" customHeight="1"/>
    <row r="37993" ht="12" customHeight="1"/>
    <row r="37994" ht="12" customHeight="1"/>
    <row r="37995" ht="12" customHeight="1"/>
    <row r="37996" ht="12" customHeight="1"/>
    <row r="37997" ht="12" customHeight="1"/>
    <row r="37998" ht="12" customHeight="1"/>
    <row r="37999" ht="12" customHeight="1"/>
    <row r="38000" ht="12" customHeight="1"/>
    <row r="38001" ht="12" customHeight="1"/>
    <row r="38002" ht="12" customHeight="1"/>
    <row r="38003" ht="12" customHeight="1"/>
    <row r="38004" ht="12" customHeight="1"/>
    <row r="38005" ht="12" customHeight="1"/>
    <row r="38006" ht="12" customHeight="1"/>
    <row r="38007" ht="12" customHeight="1"/>
    <row r="38008" ht="12" customHeight="1"/>
    <row r="38009" ht="12" customHeight="1"/>
    <row r="38010" ht="12" customHeight="1"/>
    <row r="38011" ht="12" customHeight="1"/>
    <row r="38012" ht="12" customHeight="1"/>
    <row r="38013" ht="12" customHeight="1"/>
    <row r="38014" ht="12" customHeight="1"/>
    <row r="38015" ht="12" customHeight="1"/>
    <row r="38016" ht="12" customHeight="1"/>
    <row r="38017" ht="12" customHeight="1"/>
    <row r="38018" ht="12" customHeight="1"/>
    <row r="38019" ht="12" customHeight="1"/>
    <row r="38020" ht="12" customHeight="1"/>
    <row r="38021" ht="12" customHeight="1"/>
    <row r="38022" ht="12" customHeight="1"/>
    <row r="38023" ht="12" customHeight="1"/>
    <row r="38024" ht="12" customHeight="1"/>
    <row r="38025" ht="12" customHeight="1"/>
    <row r="38026" ht="12" customHeight="1"/>
    <row r="38027" ht="12" customHeight="1"/>
    <row r="38028" ht="12" customHeight="1"/>
    <row r="38029" ht="12" customHeight="1"/>
    <row r="38030" ht="12" customHeight="1"/>
    <row r="38031" ht="12" customHeight="1"/>
    <row r="38032" ht="12" customHeight="1"/>
    <row r="38033" ht="12" customHeight="1"/>
    <row r="38034" ht="12" customHeight="1"/>
    <row r="38035" ht="12" customHeight="1"/>
    <row r="38036" ht="12" customHeight="1"/>
    <row r="38037" ht="12" customHeight="1"/>
    <row r="38038" ht="12" customHeight="1"/>
    <row r="38039" ht="12" customHeight="1"/>
    <row r="38040" ht="12" customHeight="1"/>
    <row r="38041" ht="12" customHeight="1"/>
    <row r="38042" ht="12" customHeight="1"/>
    <row r="38043" ht="12" customHeight="1"/>
    <row r="38044" ht="12" customHeight="1"/>
    <row r="38045" ht="12" customHeight="1"/>
    <row r="38046" ht="12" customHeight="1"/>
    <row r="38047" ht="12" customHeight="1"/>
    <row r="38048" ht="12" customHeight="1"/>
    <row r="38049" ht="12" customHeight="1"/>
    <row r="38050" ht="12" customHeight="1"/>
    <row r="38051" ht="12" customHeight="1"/>
    <row r="38052" ht="12" customHeight="1"/>
    <row r="38053" ht="12" customHeight="1"/>
    <row r="38054" ht="12" customHeight="1"/>
    <row r="38055" ht="12" customHeight="1"/>
    <row r="38056" ht="12" customHeight="1"/>
    <row r="38057" ht="12" customHeight="1"/>
    <row r="38058" ht="12" customHeight="1"/>
    <row r="38059" ht="12" customHeight="1"/>
    <row r="38060" ht="12" customHeight="1"/>
    <row r="38061" ht="12" customHeight="1"/>
    <row r="38062" ht="12" customHeight="1"/>
    <row r="38063" ht="12" customHeight="1"/>
    <row r="38064" ht="12" customHeight="1"/>
    <row r="38065" ht="12" customHeight="1"/>
    <row r="38066" ht="12" customHeight="1"/>
    <row r="38067" ht="12" customHeight="1"/>
    <row r="38068" ht="12" customHeight="1"/>
    <row r="38069" ht="12" customHeight="1"/>
    <row r="38070" ht="12" customHeight="1"/>
    <row r="38071" ht="12" customHeight="1"/>
    <row r="38072" ht="12" customHeight="1"/>
    <row r="38073" ht="12" customHeight="1"/>
    <row r="38074" ht="12" customHeight="1"/>
    <row r="38075" ht="12" customHeight="1"/>
    <row r="38076" ht="12" customHeight="1"/>
    <row r="38077" ht="12" customHeight="1"/>
    <row r="38078" ht="12" customHeight="1"/>
    <row r="38079" ht="12" customHeight="1"/>
    <row r="38080" ht="12" customHeight="1"/>
    <row r="38081" ht="12" customHeight="1"/>
    <row r="38082" ht="12" customHeight="1"/>
    <row r="38083" ht="12" customHeight="1"/>
    <row r="38084" ht="12" customHeight="1"/>
    <row r="38085" ht="12" customHeight="1"/>
    <row r="38086" ht="12" customHeight="1"/>
    <row r="38087" ht="12" customHeight="1"/>
    <row r="38088" ht="12" customHeight="1"/>
    <row r="38089" ht="12" customHeight="1"/>
    <row r="38090" ht="12" customHeight="1"/>
    <row r="38091" ht="12" customHeight="1"/>
    <row r="38092" ht="12" customHeight="1"/>
    <row r="38093" ht="12" customHeight="1"/>
    <row r="38094" ht="12" customHeight="1"/>
    <row r="38095" ht="12" customHeight="1"/>
    <row r="38096" ht="12" customHeight="1"/>
    <row r="38097" ht="12" customHeight="1"/>
    <row r="38098" ht="12" customHeight="1"/>
    <row r="38099" ht="12" customHeight="1"/>
    <row r="38100" ht="12" customHeight="1"/>
    <row r="38101" ht="12" customHeight="1"/>
    <row r="38102" ht="12" customHeight="1"/>
    <row r="38103" ht="12" customHeight="1"/>
    <row r="38104" ht="12" customHeight="1"/>
    <row r="38105" ht="12" customHeight="1"/>
    <row r="38106" ht="12" customHeight="1"/>
    <row r="38107" ht="12" customHeight="1"/>
    <row r="38108" ht="12" customHeight="1"/>
    <row r="38109" ht="12" customHeight="1"/>
    <row r="38110" ht="12" customHeight="1"/>
    <row r="38111" ht="12" customHeight="1"/>
    <row r="38112" ht="12" customHeight="1"/>
    <row r="38113" ht="12" customHeight="1"/>
    <row r="38114" ht="12" customHeight="1"/>
    <row r="38115" ht="12" customHeight="1"/>
    <row r="38116" ht="12" customHeight="1"/>
    <row r="38117" ht="12" customHeight="1"/>
    <row r="38118" ht="12" customHeight="1"/>
    <row r="38119" ht="12" customHeight="1"/>
    <row r="38120" ht="12" customHeight="1"/>
    <row r="38121" ht="12" customHeight="1"/>
    <row r="38122" ht="12" customHeight="1"/>
    <row r="38123" ht="12" customHeight="1"/>
    <row r="38124" ht="12" customHeight="1"/>
    <row r="38125" ht="12" customHeight="1"/>
    <row r="38126" ht="12" customHeight="1"/>
    <row r="38127" ht="12" customHeight="1"/>
    <row r="38128" ht="12" customHeight="1"/>
    <row r="38129" ht="12" customHeight="1"/>
    <row r="38130" ht="12" customHeight="1"/>
    <row r="38131" ht="12" customHeight="1"/>
    <row r="38132" ht="12" customHeight="1"/>
    <row r="38133" ht="12" customHeight="1"/>
    <row r="38134" ht="12" customHeight="1"/>
    <row r="38135" ht="12" customHeight="1"/>
    <row r="38136" ht="12" customHeight="1"/>
    <row r="38137" ht="12" customHeight="1"/>
    <row r="38138" ht="12" customHeight="1"/>
    <row r="38139" ht="12" customHeight="1"/>
    <row r="38140" ht="12" customHeight="1"/>
    <row r="38141" ht="12" customHeight="1"/>
    <row r="38142" ht="12" customHeight="1"/>
    <row r="38143" ht="12" customHeight="1"/>
    <row r="38144" ht="12" customHeight="1"/>
    <row r="38145" ht="12" customHeight="1"/>
    <row r="38146" ht="12" customHeight="1"/>
    <row r="38147" ht="12" customHeight="1"/>
    <row r="38148" ht="12" customHeight="1"/>
    <row r="38149" ht="12" customHeight="1"/>
    <row r="38150" ht="12" customHeight="1"/>
    <row r="38151" ht="12" customHeight="1"/>
    <row r="38152" ht="12" customHeight="1"/>
    <row r="38153" ht="12" customHeight="1"/>
    <row r="38154" ht="12" customHeight="1"/>
    <row r="38155" ht="12" customHeight="1"/>
    <row r="38156" ht="12" customHeight="1"/>
    <row r="38157" ht="12" customHeight="1"/>
    <row r="38158" ht="12" customHeight="1"/>
    <row r="38159" ht="12" customHeight="1"/>
    <row r="38160" ht="12" customHeight="1"/>
    <row r="38161" ht="12" customHeight="1"/>
    <row r="38162" ht="12" customHeight="1"/>
    <row r="38163" ht="12" customHeight="1"/>
    <row r="38164" ht="12" customHeight="1"/>
    <row r="38165" ht="12" customHeight="1"/>
    <row r="38166" ht="12" customHeight="1"/>
    <row r="38167" ht="12" customHeight="1"/>
    <row r="38168" ht="12" customHeight="1"/>
    <row r="38169" ht="12" customHeight="1"/>
    <row r="38170" ht="12" customHeight="1"/>
    <row r="38171" ht="12" customHeight="1"/>
    <row r="38172" ht="12" customHeight="1"/>
    <row r="38173" ht="12" customHeight="1"/>
    <row r="38174" ht="12" customHeight="1"/>
    <row r="38175" ht="12" customHeight="1"/>
    <row r="38176" ht="12" customHeight="1"/>
    <row r="38177" ht="12" customHeight="1"/>
    <row r="38178" ht="12" customHeight="1"/>
    <row r="38179" ht="12" customHeight="1"/>
    <row r="38180" ht="12" customHeight="1"/>
    <row r="38181" ht="12" customHeight="1"/>
    <row r="38182" ht="12" customHeight="1"/>
    <row r="38183" ht="12" customHeight="1"/>
    <row r="38184" ht="12" customHeight="1"/>
    <row r="38185" ht="12" customHeight="1"/>
    <row r="38186" ht="12" customHeight="1"/>
    <row r="38187" ht="12" customHeight="1"/>
    <row r="38188" ht="12" customHeight="1"/>
    <row r="38189" ht="12" customHeight="1"/>
    <row r="38190" ht="12" customHeight="1"/>
    <row r="38191" ht="12" customHeight="1"/>
    <row r="38192" ht="12" customHeight="1"/>
    <row r="38193" ht="12" customHeight="1"/>
    <row r="38194" ht="12" customHeight="1"/>
    <row r="38195" ht="12" customHeight="1"/>
    <row r="38196" ht="12" customHeight="1"/>
    <row r="38197" ht="12" customHeight="1"/>
    <row r="38198" ht="12" customHeight="1"/>
    <row r="38199" ht="12" customHeight="1"/>
    <row r="38200" ht="12" customHeight="1"/>
    <row r="38201" ht="12" customHeight="1"/>
    <row r="38202" ht="12" customHeight="1"/>
    <row r="38203" ht="12" customHeight="1"/>
    <row r="38204" ht="12" customHeight="1"/>
    <row r="38205" ht="12" customHeight="1"/>
    <row r="38206" ht="12" customHeight="1"/>
    <row r="38207" ht="12" customHeight="1"/>
    <row r="38208" ht="12" customHeight="1"/>
    <row r="38209" ht="12" customHeight="1"/>
    <row r="38210" ht="12" customHeight="1"/>
    <row r="38211" ht="12" customHeight="1"/>
    <row r="38212" ht="12" customHeight="1"/>
    <row r="38213" ht="12" customHeight="1"/>
    <row r="38214" ht="12" customHeight="1"/>
    <row r="38215" ht="12" customHeight="1"/>
    <row r="38216" ht="12" customHeight="1"/>
    <row r="38217" ht="12" customHeight="1"/>
    <row r="38218" ht="12" customHeight="1"/>
    <row r="38219" ht="12" customHeight="1"/>
    <row r="38220" ht="12" customHeight="1"/>
    <row r="38221" ht="12" customHeight="1"/>
    <row r="38222" ht="12" customHeight="1"/>
    <row r="38223" ht="12" customHeight="1"/>
    <row r="38224" ht="12" customHeight="1"/>
    <row r="38225" ht="12" customHeight="1"/>
    <row r="38226" ht="12" customHeight="1"/>
    <row r="38227" ht="12" customHeight="1"/>
    <row r="38228" ht="12" customHeight="1"/>
    <row r="38229" ht="12" customHeight="1"/>
    <row r="38230" ht="12" customHeight="1"/>
    <row r="38231" ht="12" customHeight="1"/>
    <row r="38232" ht="12" customHeight="1"/>
    <row r="38233" ht="12" customHeight="1"/>
    <row r="38234" ht="12" customHeight="1"/>
    <row r="38235" ht="12" customHeight="1"/>
    <row r="38236" ht="12" customHeight="1"/>
    <row r="38237" ht="12" customHeight="1"/>
    <row r="38238" ht="12" customHeight="1"/>
    <row r="38239" ht="12" customHeight="1"/>
    <row r="38240" ht="12" customHeight="1"/>
    <row r="38241" ht="12" customHeight="1"/>
    <row r="38242" ht="12" customHeight="1"/>
    <row r="38243" ht="12" customHeight="1"/>
    <row r="38244" ht="12" customHeight="1"/>
    <row r="38245" ht="12" customHeight="1"/>
    <row r="38246" ht="12" customHeight="1"/>
    <row r="38247" ht="12" customHeight="1"/>
    <row r="38248" ht="12" customHeight="1"/>
    <row r="38249" ht="12" customHeight="1"/>
    <row r="38250" ht="12" customHeight="1"/>
    <row r="38251" ht="12" customHeight="1"/>
    <row r="38252" ht="12" customHeight="1"/>
    <row r="38253" ht="12" customHeight="1"/>
    <row r="38254" ht="12" customHeight="1"/>
    <row r="38255" ht="12" customHeight="1"/>
    <row r="38256" ht="12" customHeight="1"/>
    <row r="38257" ht="12" customHeight="1"/>
    <row r="38258" ht="12" customHeight="1"/>
    <row r="38259" ht="12" customHeight="1"/>
    <row r="38260" ht="12" customHeight="1"/>
    <row r="38261" ht="12" customHeight="1"/>
    <row r="38262" ht="12" customHeight="1"/>
    <row r="38263" ht="12" customHeight="1"/>
    <row r="38264" ht="12" customHeight="1"/>
    <row r="38265" ht="12" customHeight="1"/>
    <row r="38266" ht="12" customHeight="1"/>
    <row r="38267" ht="12" customHeight="1"/>
    <row r="38268" ht="12" customHeight="1"/>
    <row r="38269" ht="12" customHeight="1"/>
    <row r="38270" ht="12" customHeight="1"/>
    <row r="38271" ht="12" customHeight="1"/>
    <row r="38272" ht="12" customHeight="1"/>
    <row r="38273" ht="12" customHeight="1"/>
    <row r="38274" ht="12" customHeight="1"/>
    <row r="38275" ht="12" customHeight="1"/>
    <row r="38276" ht="12" customHeight="1"/>
    <row r="38277" ht="12" customHeight="1"/>
    <row r="38278" ht="12" customHeight="1"/>
    <row r="38279" ht="12" customHeight="1"/>
    <row r="38280" ht="12" customHeight="1"/>
    <row r="38281" ht="12" customHeight="1"/>
    <row r="38282" ht="12" customHeight="1"/>
    <row r="38283" ht="12" customHeight="1"/>
    <row r="38284" ht="12" customHeight="1"/>
    <row r="38285" ht="12" customHeight="1"/>
    <row r="38286" ht="12" customHeight="1"/>
    <row r="38287" ht="12" customHeight="1"/>
    <row r="38288" ht="12" customHeight="1"/>
    <row r="38289" ht="12" customHeight="1"/>
    <row r="38290" ht="12" customHeight="1"/>
    <row r="38291" ht="12" customHeight="1"/>
    <row r="38292" ht="12" customHeight="1"/>
    <row r="38293" ht="12" customHeight="1"/>
    <row r="38294" ht="12" customHeight="1"/>
    <row r="38295" ht="12" customHeight="1"/>
    <row r="38296" ht="12" customHeight="1"/>
    <row r="38297" ht="12" customHeight="1"/>
    <row r="38298" ht="12" customHeight="1"/>
    <row r="38299" ht="12" customHeight="1"/>
    <row r="38300" ht="12" customHeight="1"/>
    <row r="38301" ht="12" customHeight="1"/>
    <row r="38302" ht="12" customHeight="1"/>
    <row r="38303" ht="12" customHeight="1"/>
    <row r="38304" ht="12" customHeight="1"/>
    <row r="38305" ht="12" customHeight="1"/>
    <row r="38306" ht="12" customHeight="1"/>
    <row r="38307" ht="12" customHeight="1"/>
    <row r="38308" ht="12" customHeight="1"/>
    <row r="38309" ht="12" customHeight="1"/>
    <row r="38310" ht="12" customHeight="1"/>
    <row r="38311" ht="12" customHeight="1"/>
    <row r="38312" ht="12" customHeight="1"/>
    <row r="38313" ht="12" customHeight="1"/>
    <row r="38314" ht="12" customHeight="1"/>
    <row r="38315" ht="12" customHeight="1"/>
    <row r="38316" ht="12" customHeight="1"/>
    <row r="38317" ht="12" customHeight="1"/>
    <row r="38318" ht="12" customHeight="1"/>
    <row r="38319" ht="12" customHeight="1"/>
    <row r="38320" ht="12" customHeight="1"/>
    <row r="38321" ht="12" customHeight="1"/>
    <row r="38322" ht="12" customHeight="1"/>
    <row r="38323" ht="12" customHeight="1"/>
    <row r="38324" ht="12" customHeight="1"/>
    <row r="38325" ht="12" customHeight="1"/>
    <row r="38326" ht="12" customHeight="1"/>
    <row r="38327" ht="12" customHeight="1"/>
    <row r="38328" ht="12" customHeight="1"/>
    <row r="38329" ht="12" customHeight="1"/>
    <row r="38330" ht="12" customHeight="1"/>
    <row r="38331" ht="12" customHeight="1"/>
    <row r="38332" ht="12" customHeight="1"/>
    <row r="38333" ht="12" customHeight="1"/>
    <row r="38334" ht="12" customHeight="1"/>
    <row r="38335" ht="12" customHeight="1"/>
    <row r="38336" ht="12" customHeight="1"/>
    <row r="38337" ht="12" customHeight="1"/>
    <row r="38338" ht="12" customHeight="1"/>
    <row r="38339" ht="12" customHeight="1"/>
    <row r="38340" ht="12" customHeight="1"/>
    <row r="38341" ht="12" customHeight="1"/>
    <row r="38342" ht="12" customHeight="1"/>
    <row r="38343" ht="12" customHeight="1"/>
    <row r="38344" ht="12" customHeight="1"/>
    <row r="38345" ht="12" customHeight="1"/>
    <row r="38346" ht="12" customHeight="1"/>
    <row r="38347" ht="12" customHeight="1"/>
    <row r="38348" ht="12" customHeight="1"/>
    <row r="38349" ht="12" customHeight="1"/>
    <row r="38350" ht="12" customHeight="1"/>
    <row r="38351" ht="12" customHeight="1"/>
    <row r="38352" ht="12" customHeight="1"/>
    <row r="38353" ht="12" customHeight="1"/>
    <row r="38354" ht="12" customHeight="1"/>
    <row r="38355" ht="12" customHeight="1"/>
    <row r="38356" ht="12" customHeight="1"/>
    <row r="38357" ht="12" customHeight="1"/>
    <row r="38358" ht="12" customHeight="1"/>
    <row r="38359" ht="12" customHeight="1"/>
    <row r="38360" ht="12" customHeight="1"/>
    <row r="38361" ht="12" customHeight="1"/>
    <row r="38362" ht="12" customHeight="1"/>
    <row r="38363" ht="12" customHeight="1"/>
    <row r="38364" ht="12" customHeight="1"/>
    <row r="38365" ht="12" customHeight="1"/>
    <row r="38366" ht="12" customHeight="1"/>
    <row r="38367" ht="12" customHeight="1"/>
    <row r="38368" ht="12" customHeight="1"/>
    <row r="38369" ht="12" customHeight="1"/>
    <row r="38370" ht="12" customHeight="1"/>
    <row r="38371" ht="12" customHeight="1"/>
    <row r="38372" ht="12" customHeight="1"/>
    <row r="38373" ht="12" customHeight="1"/>
    <row r="38374" ht="12" customHeight="1"/>
    <row r="38375" ht="12" customHeight="1"/>
    <row r="38376" ht="12" customHeight="1"/>
    <row r="38377" ht="12" customHeight="1"/>
    <row r="38378" ht="12" customHeight="1"/>
    <row r="38379" ht="12" customHeight="1"/>
    <row r="38380" ht="12" customHeight="1"/>
    <row r="38381" ht="12" customHeight="1"/>
    <row r="38382" ht="12" customHeight="1"/>
    <row r="38383" ht="12" customHeight="1"/>
    <row r="38384" ht="12" customHeight="1"/>
    <row r="38385" ht="12" customHeight="1"/>
    <row r="38386" ht="12" customHeight="1"/>
    <row r="38387" ht="12" customHeight="1"/>
    <row r="38388" ht="12" customHeight="1"/>
    <row r="38389" ht="12" customHeight="1"/>
    <row r="38390" ht="12" customHeight="1"/>
    <row r="38391" ht="12" customHeight="1"/>
    <row r="38392" ht="12" customHeight="1"/>
    <row r="38393" ht="12" customHeight="1"/>
    <row r="38394" ht="12" customHeight="1"/>
    <row r="38395" ht="12" customHeight="1"/>
    <row r="38396" ht="12" customHeight="1"/>
    <row r="38397" ht="12" customHeight="1"/>
    <row r="38398" ht="12" customHeight="1"/>
    <row r="38399" ht="12" customHeight="1"/>
    <row r="38400" ht="12" customHeight="1"/>
    <row r="38401" ht="12" customHeight="1"/>
    <row r="38402" ht="12" customHeight="1"/>
    <row r="38403" ht="12" customHeight="1"/>
    <row r="38404" ht="12" customHeight="1"/>
    <row r="38405" ht="12" customHeight="1"/>
    <row r="38406" ht="12" customHeight="1"/>
    <row r="38407" ht="12" customHeight="1"/>
    <row r="38408" ht="12" customHeight="1"/>
    <row r="38409" ht="12" customHeight="1"/>
    <row r="38410" ht="12" customHeight="1"/>
    <row r="38411" ht="12" customHeight="1"/>
    <row r="38412" ht="12" customHeight="1"/>
    <row r="38413" ht="12" customHeight="1"/>
    <row r="38414" ht="12" customHeight="1"/>
    <row r="38415" ht="12" customHeight="1"/>
    <row r="38416" ht="12" customHeight="1"/>
    <row r="38417" ht="12" customHeight="1"/>
    <row r="38418" ht="12" customHeight="1"/>
    <row r="38419" ht="12" customHeight="1"/>
    <row r="38420" ht="12" customHeight="1"/>
    <row r="38421" ht="12" customHeight="1"/>
    <row r="38422" ht="12" customHeight="1"/>
    <row r="38423" ht="12" customHeight="1"/>
    <row r="38424" ht="12" customHeight="1"/>
    <row r="38425" ht="12" customHeight="1"/>
    <row r="38426" ht="12" customHeight="1"/>
    <row r="38427" ht="12" customHeight="1"/>
    <row r="38428" ht="12" customHeight="1"/>
    <row r="38429" ht="12" customHeight="1"/>
    <row r="38430" ht="12" customHeight="1"/>
    <row r="38431" ht="12" customHeight="1"/>
    <row r="38432" ht="12" customHeight="1"/>
    <row r="38433" ht="12" customHeight="1"/>
    <row r="38434" ht="12" customHeight="1"/>
    <row r="38435" ht="12" customHeight="1"/>
    <row r="38436" ht="12" customHeight="1"/>
    <row r="38437" ht="12" customHeight="1"/>
    <row r="38438" ht="12" customHeight="1"/>
    <row r="38439" ht="12" customHeight="1"/>
    <row r="38440" ht="12" customHeight="1"/>
    <row r="38441" ht="12" customHeight="1"/>
    <row r="38442" ht="12" customHeight="1"/>
    <row r="38443" ht="12" customHeight="1"/>
    <row r="38444" ht="12" customHeight="1"/>
    <row r="38445" ht="12" customHeight="1"/>
    <row r="38446" ht="12" customHeight="1"/>
    <row r="38447" ht="12" customHeight="1"/>
    <row r="38448" ht="12" customHeight="1"/>
    <row r="38449" ht="12" customHeight="1"/>
    <row r="38450" ht="12" customHeight="1"/>
    <row r="38451" ht="12" customHeight="1"/>
    <row r="38452" ht="12" customHeight="1"/>
    <row r="38453" ht="12" customHeight="1"/>
    <row r="38454" ht="12" customHeight="1"/>
    <row r="38455" ht="12" customHeight="1"/>
    <row r="38456" ht="12" customHeight="1"/>
    <row r="38457" ht="12" customHeight="1"/>
    <row r="38458" ht="12" customHeight="1"/>
    <row r="38459" ht="12" customHeight="1"/>
    <row r="38460" ht="12" customHeight="1"/>
    <row r="38461" ht="12" customHeight="1"/>
    <row r="38462" ht="12" customHeight="1"/>
    <row r="38463" ht="12" customHeight="1"/>
    <row r="38464" ht="12" customHeight="1"/>
    <row r="38465" ht="12" customHeight="1"/>
    <row r="38466" ht="12" customHeight="1"/>
    <row r="38467" ht="12" customHeight="1"/>
    <row r="38468" ht="12" customHeight="1"/>
    <row r="38469" ht="12" customHeight="1"/>
    <row r="38470" ht="12" customHeight="1"/>
    <row r="38471" ht="12" customHeight="1"/>
    <row r="38472" ht="12" customHeight="1"/>
    <row r="38473" ht="12" customHeight="1"/>
    <row r="38474" ht="12" customHeight="1"/>
    <row r="38475" ht="12" customHeight="1"/>
    <row r="38476" ht="12" customHeight="1"/>
    <row r="38477" ht="12" customHeight="1"/>
    <row r="38478" ht="12" customHeight="1"/>
    <row r="38479" ht="12" customHeight="1"/>
    <row r="38480" ht="12" customHeight="1"/>
    <row r="38481" ht="12" customHeight="1"/>
    <row r="38482" ht="12" customHeight="1"/>
    <row r="38483" ht="12" customHeight="1"/>
    <row r="38484" ht="12" customHeight="1"/>
    <row r="38485" ht="12" customHeight="1"/>
    <row r="38486" ht="12" customHeight="1"/>
    <row r="38487" ht="12" customHeight="1"/>
    <row r="38488" ht="12" customHeight="1"/>
    <row r="38489" ht="12" customHeight="1"/>
    <row r="38490" ht="12" customHeight="1"/>
    <row r="38491" ht="12" customHeight="1"/>
    <row r="38492" ht="12" customHeight="1"/>
    <row r="38493" ht="12" customHeight="1"/>
    <row r="38494" ht="12" customHeight="1"/>
    <row r="38495" ht="12" customHeight="1"/>
    <row r="38496" ht="12" customHeight="1"/>
    <row r="38497" ht="12" customHeight="1"/>
    <row r="38498" ht="12" customHeight="1"/>
    <row r="38499" ht="12" customHeight="1"/>
    <row r="38500" ht="12" customHeight="1"/>
    <row r="38501" ht="12" customHeight="1"/>
    <row r="38502" ht="12" customHeight="1"/>
    <row r="38503" ht="12" customHeight="1"/>
    <row r="38504" ht="12" customHeight="1"/>
    <row r="38505" ht="12" customHeight="1"/>
    <row r="38506" ht="12" customHeight="1"/>
    <row r="38507" ht="12" customHeight="1"/>
    <row r="38508" ht="12" customHeight="1"/>
    <row r="38509" ht="12" customHeight="1"/>
    <row r="38510" ht="12" customHeight="1"/>
    <row r="38511" ht="12" customHeight="1"/>
    <row r="38512" ht="12" customHeight="1"/>
    <row r="38513" ht="12" customHeight="1"/>
    <row r="38514" ht="12" customHeight="1"/>
    <row r="38515" ht="12" customHeight="1"/>
    <row r="38516" ht="12" customHeight="1"/>
    <row r="38517" ht="12" customHeight="1"/>
    <row r="38518" ht="12" customHeight="1"/>
    <row r="38519" ht="12" customHeight="1"/>
    <row r="38520" ht="12" customHeight="1"/>
    <row r="38521" ht="12" customHeight="1"/>
    <row r="38522" ht="12" customHeight="1"/>
    <row r="38523" ht="12" customHeight="1"/>
    <row r="38524" ht="12" customHeight="1"/>
    <row r="38525" ht="12" customHeight="1"/>
    <row r="38526" ht="12" customHeight="1"/>
    <row r="38527" ht="12" customHeight="1"/>
    <row r="38528" ht="12" customHeight="1"/>
    <row r="38529" ht="12" customHeight="1"/>
    <row r="38530" ht="12" customHeight="1"/>
    <row r="38531" ht="12" customHeight="1"/>
    <row r="38532" ht="12" customHeight="1"/>
    <row r="38533" ht="12" customHeight="1"/>
    <row r="38534" ht="12" customHeight="1"/>
    <row r="38535" ht="12" customHeight="1"/>
    <row r="38536" ht="12" customHeight="1"/>
    <row r="38537" ht="12" customHeight="1"/>
    <row r="38538" ht="12" customHeight="1"/>
    <row r="38539" ht="12" customHeight="1"/>
    <row r="38540" ht="12" customHeight="1"/>
    <row r="38541" ht="12" customHeight="1"/>
    <row r="38542" ht="12" customHeight="1"/>
    <row r="38543" ht="12" customHeight="1"/>
    <row r="38544" ht="12" customHeight="1"/>
    <row r="38545" ht="12" customHeight="1"/>
    <row r="38546" ht="12" customHeight="1"/>
    <row r="38547" ht="12" customHeight="1"/>
    <row r="38548" ht="12" customHeight="1"/>
    <row r="38549" ht="12" customHeight="1"/>
    <row r="38550" ht="12" customHeight="1"/>
    <row r="38551" ht="12" customHeight="1"/>
    <row r="38552" ht="12" customHeight="1"/>
    <row r="38553" ht="12" customHeight="1"/>
    <row r="38554" ht="12" customHeight="1"/>
    <row r="38555" ht="12" customHeight="1"/>
    <row r="38556" ht="12" customHeight="1"/>
    <row r="38557" ht="12" customHeight="1"/>
    <row r="38558" ht="12" customHeight="1"/>
    <row r="38559" ht="12" customHeight="1"/>
    <row r="38560" ht="12" customHeight="1"/>
    <row r="38561" ht="12" customHeight="1"/>
    <row r="38562" ht="12" customHeight="1"/>
    <row r="38563" ht="12" customHeight="1"/>
    <row r="38564" ht="12" customHeight="1"/>
    <row r="38565" ht="12" customHeight="1"/>
    <row r="38566" ht="12" customHeight="1"/>
    <row r="38567" ht="12" customHeight="1"/>
    <row r="38568" ht="12" customHeight="1"/>
    <row r="38569" ht="12" customHeight="1"/>
    <row r="38570" ht="12" customHeight="1"/>
    <row r="38571" ht="12" customHeight="1"/>
    <row r="38572" ht="12" customHeight="1"/>
    <row r="38573" ht="12" customHeight="1"/>
    <row r="38574" ht="12" customHeight="1"/>
    <row r="38575" ht="12" customHeight="1"/>
    <row r="38576" ht="12" customHeight="1"/>
    <row r="38577" ht="12" customHeight="1"/>
    <row r="38578" ht="12" customHeight="1"/>
    <row r="38579" ht="12" customHeight="1"/>
    <row r="38580" ht="12" customHeight="1"/>
    <row r="38581" ht="12" customHeight="1"/>
    <row r="38582" ht="12" customHeight="1"/>
    <row r="38583" ht="12" customHeight="1"/>
    <row r="38584" ht="12" customHeight="1"/>
    <row r="38585" ht="12" customHeight="1"/>
    <row r="38586" ht="12" customHeight="1"/>
    <row r="38587" ht="12" customHeight="1"/>
    <row r="38588" ht="12" customHeight="1"/>
    <row r="38589" ht="12" customHeight="1"/>
    <row r="38590" ht="12" customHeight="1"/>
    <row r="38591" ht="12" customHeight="1"/>
    <row r="38592" ht="12" customHeight="1"/>
    <row r="38593" ht="12" customHeight="1"/>
    <row r="38594" ht="12" customHeight="1"/>
    <row r="38595" ht="12" customHeight="1"/>
    <row r="38596" ht="12" customHeight="1"/>
    <row r="38597" ht="12" customHeight="1"/>
    <row r="38598" ht="12" customHeight="1"/>
    <row r="38599" ht="12" customHeight="1"/>
    <row r="38600" ht="12" customHeight="1"/>
    <row r="38601" ht="12" customHeight="1"/>
    <row r="38602" ht="12" customHeight="1"/>
    <row r="38603" ht="12" customHeight="1"/>
    <row r="38604" ht="12" customHeight="1"/>
    <row r="38605" ht="12" customHeight="1"/>
    <row r="38606" ht="12" customHeight="1"/>
    <row r="38607" ht="12" customHeight="1"/>
    <row r="38608" ht="12" customHeight="1"/>
    <row r="38609" ht="12" customHeight="1"/>
    <row r="38610" ht="12" customHeight="1"/>
    <row r="38611" ht="12" customHeight="1"/>
    <row r="38612" ht="12" customHeight="1"/>
    <row r="38613" ht="12" customHeight="1"/>
    <row r="38614" ht="12" customHeight="1"/>
    <row r="38615" ht="12" customHeight="1"/>
    <row r="38616" ht="12" customHeight="1"/>
    <row r="38617" ht="12" customHeight="1"/>
    <row r="38618" ht="12" customHeight="1"/>
    <row r="38619" ht="12" customHeight="1"/>
    <row r="38620" ht="12" customHeight="1"/>
    <row r="38621" ht="12" customHeight="1"/>
    <row r="38622" ht="12" customHeight="1"/>
    <row r="38623" ht="12" customHeight="1"/>
    <row r="38624" ht="12" customHeight="1"/>
    <row r="38625" ht="12" customHeight="1"/>
    <row r="38626" ht="12" customHeight="1"/>
    <row r="38627" ht="12" customHeight="1"/>
    <row r="38628" ht="12" customHeight="1"/>
    <row r="38629" ht="12" customHeight="1"/>
    <row r="38630" ht="12" customHeight="1"/>
    <row r="38631" ht="12" customHeight="1"/>
    <row r="38632" ht="12" customHeight="1"/>
    <row r="38633" ht="12" customHeight="1"/>
    <row r="38634" ht="12" customHeight="1"/>
    <row r="38635" ht="12" customHeight="1"/>
    <row r="38636" ht="12" customHeight="1"/>
    <row r="38637" ht="12" customHeight="1"/>
    <row r="38638" ht="12" customHeight="1"/>
    <row r="38639" ht="12" customHeight="1"/>
    <row r="38640" ht="12" customHeight="1"/>
    <row r="38641" ht="12" customHeight="1"/>
    <row r="38642" ht="12" customHeight="1"/>
    <row r="38643" ht="12" customHeight="1"/>
    <row r="38644" ht="12" customHeight="1"/>
    <row r="38645" ht="12" customHeight="1"/>
    <row r="38646" ht="12" customHeight="1"/>
    <row r="38647" ht="12" customHeight="1"/>
    <row r="38648" ht="12" customHeight="1"/>
    <row r="38649" ht="12" customHeight="1"/>
    <row r="38650" ht="12" customHeight="1"/>
    <row r="38651" ht="12" customHeight="1"/>
    <row r="38652" ht="12" customHeight="1"/>
    <row r="38653" ht="12" customHeight="1"/>
    <row r="38654" ht="12" customHeight="1"/>
    <row r="38655" ht="12" customHeight="1"/>
    <row r="38656" ht="12" customHeight="1"/>
    <row r="38657" ht="12" customHeight="1"/>
    <row r="38658" ht="12" customHeight="1"/>
    <row r="38659" ht="12" customHeight="1"/>
    <row r="38660" ht="12" customHeight="1"/>
    <row r="38661" ht="12" customHeight="1"/>
    <row r="38662" ht="12" customHeight="1"/>
    <row r="38663" ht="12" customHeight="1"/>
    <row r="38664" ht="12" customHeight="1"/>
    <row r="38665" ht="12" customHeight="1"/>
    <row r="38666" ht="12" customHeight="1"/>
    <row r="38667" ht="12" customHeight="1"/>
    <row r="38668" ht="12" customHeight="1"/>
    <row r="38669" ht="12" customHeight="1"/>
    <row r="38670" ht="12" customHeight="1"/>
    <row r="38671" ht="12" customHeight="1"/>
    <row r="38672" ht="12" customHeight="1"/>
    <row r="38673" ht="12" customHeight="1"/>
    <row r="38674" ht="12" customHeight="1"/>
    <row r="38675" ht="12" customHeight="1"/>
    <row r="38676" ht="12" customHeight="1"/>
    <row r="38677" ht="12" customHeight="1"/>
    <row r="38678" ht="12" customHeight="1"/>
    <row r="38679" ht="12" customHeight="1"/>
    <row r="38680" ht="12" customHeight="1"/>
    <row r="38681" ht="12" customHeight="1"/>
    <row r="38682" ht="12" customHeight="1"/>
    <row r="38683" ht="12" customHeight="1"/>
    <row r="38684" ht="12" customHeight="1"/>
    <row r="38685" ht="12" customHeight="1"/>
    <row r="38686" ht="12" customHeight="1"/>
    <row r="38687" ht="12" customHeight="1"/>
    <row r="38688" ht="12" customHeight="1"/>
    <row r="38689" ht="12" customHeight="1"/>
    <row r="38690" ht="12" customHeight="1"/>
    <row r="38691" ht="12" customHeight="1"/>
    <row r="38692" ht="12" customHeight="1"/>
    <row r="38693" ht="12" customHeight="1"/>
    <row r="38694" ht="12" customHeight="1"/>
    <row r="38695" ht="12" customHeight="1"/>
    <row r="38696" ht="12" customHeight="1"/>
    <row r="38697" ht="12" customHeight="1"/>
    <row r="38698" ht="12" customHeight="1"/>
    <row r="38699" ht="12" customHeight="1"/>
    <row r="38700" ht="12" customHeight="1"/>
    <row r="38701" ht="12" customHeight="1"/>
    <row r="38702" ht="12" customHeight="1"/>
    <row r="38703" ht="12" customHeight="1"/>
    <row r="38704" ht="12" customHeight="1"/>
    <row r="38705" ht="12" customHeight="1"/>
    <row r="38706" ht="12" customHeight="1"/>
    <row r="38707" ht="12" customHeight="1"/>
    <row r="38708" ht="12" customHeight="1"/>
    <row r="38709" ht="12" customHeight="1"/>
    <row r="38710" ht="12" customHeight="1"/>
    <row r="38711" ht="12" customHeight="1"/>
    <row r="38712" ht="12" customHeight="1"/>
    <row r="38713" ht="12" customHeight="1"/>
    <row r="38714" ht="12" customHeight="1"/>
    <row r="38715" ht="12" customHeight="1"/>
    <row r="38716" ht="12" customHeight="1"/>
    <row r="38717" ht="12" customHeight="1"/>
    <row r="38718" ht="12" customHeight="1"/>
    <row r="38719" ht="12" customHeight="1"/>
    <row r="38720" ht="12" customHeight="1"/>
    <row r="38721" ht="12" customHeight="1"/>
    <row r="38722" ht="12" customHeight="1"/>
    <row r="38723" ht="12" customHeight="1"/>
    <row r="38724" ht="12" customHeight="1"/>
    <row r="38725" ht="12" customHeight="1"/>
    <row r="38726" ht="12" customHeight="1"/>
    <row r="38727" ht="12" customHeight="1"/>
    <row r="38728" ht="12" customHeight="1"/>
    <row r="38729" ht="12" customHeight="1"/>
    <row r="38730" ht="12" customHeight="1"/>
    <row r="38731" ht="12" customHeight="1"/>
    <row r="38732" ht="12" customHeight="1"/>
    <row r="38733" ht="12" customHeight="1"/>
    <row r="38734" ht="12" customHeight="1"/>
    <row r="38735" ht="12" customHeight="1"/>
    <row r="38736" ht="12" customHeight="1"/>
    <row r="38737" ht="12" customHeight="1"/>
    <row r="38738" ht="12" customHeight="1"/>
    <row r="38739" ht="12" customHeight="1"/>
    <row r="38740" ht="12" customHeight="1"/>
    <row r="38741" ht="12" customHeight="1"/>
    <row r="38742" ht="12" customHeight="1"/>
    <row r="38743" ht="12" customHeight="1"/>
    <row r="38744" ht="12" customHeight="1"/>
    <row r="38745" ht="12" customHeight="1"/>
    <row r="38746" ht="12" customHeight="1"/>
    <row r="38747" ht="12" customHeight="1"/>
    <row r="38748" ht="12" customHeight="1"/>
    <row r="38749" ht="12" customHeight="1"/>
    <row r="38750" ht="12" customHeight="1"/>
    <row r="38751" ht="12" customHeight="1"/>
    <row r="38752" ht="12" customHeight="1"/>
    <row r="38753" ht="12" customHeight="1"/>
    <row r="38754" ht="12" customHeight="1"/>
    <row r="38755" ht="12" customHeight="1"/>
    <row r="38756" ht="12" customHeight="1"/>
    <row r="38757" ht="12" customHeight="1"/>
    <row r="38758" ht="12" customHeight="1"/>
    <row r="38759" ht="12" customHeight="1"/>
    <row r="38760" ht="12" customHeight="1"/>
    <row r="38761" ht="12" customHeight="1"/>
    <row r="38762" ht="12" customHeight="1"/>
    <row r="38763" ht="12" customHeight="1"/>
    <row r="38764" ht="12" customHeight="1"/>
    <row r="38765" ht="12" customHeight="1"/>
    <row r="38766" ht="12" customHeight="1"/>
    <row r="38767" ht="12" customHeight="1"/>
    <row r="38768" ht="12" customHeight="1"/>
    <row r="38769" ht="12" customHeight="1"/>
    <row r="38770" ht="12" customHeight="1"/>
    <row r="38771" ht="12" customHeight="1"/>
    <row r="38772" ht="12" customHeight="1"/>
    <row r="38773" ht="12" customHeight="1"/>
    <row r="38774" ht="12" customHeight="1"/>
    <row r="38775" ht="12" customHeight="1"/>
    <row r="38776" ht="12" customHeight="1"/>
    <row r="38777" ht="12" customHeight="1"/>
    <row r="38778" ht="12" customHeight="1"/>
    <row r="38779" ht="12" customHeight="1"/>
    <row r="38780" ht="12" customHeight="1"/>
    <row r="38781" ht="12" customHeight="1"/>
    <row r="38782" ht="12" customHeight="1"/>
    <row r="38783" ht="12" customHeight="1"/>
    <row r="38784" ht="12" customHeight="1"/>
    <row r="38785" ht="12" customHeight="1"/>
    <row r="38786" ht="12" customHeight="1"/>
    <row r="38787" ht="12" customHeight="1"/>
    <row r="38788" ht="12" customHeight="1"/>
    <row r="38789" ht="12" customHeight="1"/>
    <row r="38790" ht="12" customHeight="1"/>
    <row r="38791" ht="12" customHeight="1"/>
    <row r="38792" ht="12" customHeight="1"/>
    <row r="38793" ht="12" customHeight="1"/>
    <row r="38794" ht="12" customHeight="1"/>
    <row r="38795" ht="12" customHeight="1"/>
    <row r="38796" ht="12" customHeight="1"/>
    <row r="38797" ht="12" customHeight="1"/>
    <row r="38798" ht="12" customHeight="1"/>
    <row r="38799" ht="12" customHeight="1"/>
    <row r="38800" ht="12" customHeight="1"/>
    <row r="38801" ht="12" customHeight="1"/>
    <row r="38802" ht="12" customHeight="1"/>
    <row r="38803" ht="12" customHeight="1"/>
    <row r="38804" ht="12" customHeight="1"/>
    <row r="38805" ht="12" customHeight="1"/>
    <row r="38806" ht="12" customHeight="1"/>
    <row r="38807" ht="12" customHeight="1"/>
    <row r="38808" ht="12" customHeight="1"/>
    <row r="38809" ht="12" customHeight="1"/>
    <row r="38810" ht="12" customHeight="1"/>
    <row r="38811" ht="12" customHeight="1"/>
    <row r="38812" ht="12" customHeight="1"/>
    <row r="38813" ht="12" customHeight="1"/>
    <row r="38814" ht="12" customHeight="1"/>
    <row r="38815" ht="12" customHeight="1"/>
    <row r="38816" ht="12" customHeight="1"/>
    <row r="38817" ht="12" customHeight="1"/>
    <row r="38818" ht="12" customHeight="1"/>
    <row r="38819" ht="12" customHeight="1"/>
    <row r="38820" ht="12" customHeight="1"/>
    <row r="38821" ht="12" customHeight="1"/>
    <row r="38822" ht="12" customHeight="1"/>
    <row r="38823" ht="12" customHeight="1"/>
    <row r="38824" ht="12" customHeight="1"/>
    <row r="38825" ht="12" customHeight="1"/>
    <row r="38826" ht="12" customHeight="1"/>
    <row r="38827" ht="12" customHeight="1"/>
    <row r="38828" ht="12" customHeight="1"/>
    <row r="38829" ht="12" customHeight="1"/>
    <row r="38830" ht="12" customHeight="1"/>
    <row r="38831" ht="12" customHeight="1"/>
    <row r="38832" ht="12" customHeight="1"/>
    <row r="38833" ht="12" customHeight="1"/>
    <row r="38834" ht="12" customHeight="1"/>
    <row r="38835" ht="12" customHeight="1"/>
    <row r="38836" ht="12" customHeight="1"/>
    <row r="38837" ht="12" customHeight="1"/>
    <row r="38838" ht="12" customHeight="1"/>
    <row r="38839" ht="12" customHeight="1"/>
    <row r="38840" ht="12" customHeight="1"/>
    <row r="38841" ht="12" customHeight="1"/>
    <row r="38842" ht="12" customHeight="1"/>
    <row r="38843" ht="12" customHeight="1"/>
    <row r="38844" ht="12" customHeight="1"/>
    <row r="38845" ht="12" customHeight="1"/>
    <row r="38846" ht="12" customHeight="1"/>
    <row r="38847" ht="12" customHeight="1"/>
    <row r="38848" ht="12" customHeight="1"/>
    <row r="38849" ht="12" customHeight="1"/>
    <row r="38850" ht="12" customHeight="1"/>
    <row r="38851" ht="12" customHeight="1"/>
    <row r="38852" ht="12" customHeight="1"/>
    <row r="38853" ht="12" customHeight="1"/>
    <row r="38854" ht="12" customHeight="1"/>
    <row r="38855" ht="12" customHeight="1"/>
    <row r="38856" ht="12" customHeight="1"/>
    <row r="38857" ht="12" customHeight="1"/>
    <row r="38858" ht="12" customHeight="1"/>
    <row r="38859" ht="12" customHeight="1"/>
    <row r="38860" ht="12" customHeight="1"/>
    <row r="38861" ht="12" customHeight="1"/>
    <row r="38862" ht="12" customHeight="1"/>
    <row r="38863" ht="12" customHeight="1"/>
    <row r="38864" ht="12" customHeight="1"/>
    <row r="38865" ht="12" customHeight="1"/>
    <row r="38866" ht="12" customHeight="1"/>
    <row r="38867" ht="12" customHeight="1"/>
    <row r="38868" ht="12" customHeight="1"/>
    <row r="38869" ht="12" customHeight="1"/>
    <row r="38870" ht="12" customHeight="1"/>
    <row r="38871" ht="12" customHeight="1"/>
    <row r="38872" ht="12" customHeight="1"/>
    <row r="38873" ht="12" customHeight="1"/>
    <row r="38874" ht="12" customHeight="1"/>
    <row r="38875" ht="12" customHeight="1"/>
    <row r="38876" ht="12" customHeight="1"/>
    <row r="38877" ht="12" customHeight="1"/>
    <row r="38878" ht="12" customHeight="1"/>
    <row r="38879" ht="12" customHeight="1"/>
    <row r="38880" ht="12" customHeight="1"/>
    <row r="38881" ht="12" customHeight="1"/>
    <row r="38882" ht="12" customHeight="1"/>
    <row r="38883" ht="12" customHeight="1"/>
    <row r="38884" ht="12" customHeight="1"/>
    <row r="38885" ht="12" customHeight="1"/>
    <row r="38886" ht="12" customHeight="1"/>
    <row r="38887" ht="12" customHeight="1"/>
    <row r="38888" ht="12" customHeight="1"/>
    <row r="38889" ht="12" customHeight="1"/>
    <row r="38890" ht="12" customHeight="1"/>
    <row r="38891" ht="12" customHeight="1"/>
    <row r="38892" ht="12" customHeight="1"/>
    <row r="38893" ht="12" customHeight="1"/>
    <row r="38894" ht="12" customHeight="1"/>
    <row r="38895" ht="12" customHeight="1"/>
    <row r="38896" ht="12" customHeight="1"/>
    <row r="38897" ht="12" customHeight="1"/>
    <row r="38898" ht="12" customHeight="1"/>
    <row r="38899" ht="12" customHeight="1"/>
    <row r="38900" ht="12" customHeight="1"/>
    <row r="38901" ht="12" customHeight="1"/>
    <row r="38902" ht="12" customHeight="1"/>
    <row r="38903" ht="12" customHeight="1"/>
    <row r="38904" ht="12" customHeight="1"/>
    <row r="38905" ht="12" customHeight="1"/>
    <row r="38906" ht="12" customHeight="1"/>
    <row r="38907" ht="12" customHeight="1"/>
    <row r="38908" ht="12" customHeight="1"/>
    <row r="38909" ht="12" customHeight="1"/>
    <row r="38910" ht="12" customHeight="1"/>
    <row r="38911" ht="12" customHeight="1"/>
    <row r="38912" ht="12" customHeight="1"/>
    <row r="38913" ht="12" customHeight="1"/>
    <row r="38914" ht="12" customHeight="1"/>
    <row r="38915" ht="12" customHeight="1"/>
    <row r="38916" ht="12" customHeight="1"/>
    <row r="38917" ht="12" customHeight="1"/>
    <row r="38918" ht="12" customHeight="1"/>
    <row r="38919" ht="12" customHeight="1"/>
    <row r="38920" ht="12" customHeight="1"/>
    <row r="38921" ht="12" customHeight="1"/>
    <row r="38922" ht="12" customHeight="1"/>
    <row r="38923" ht="12" customHeight="1"/>
    <row r="38924" ht="12" customHeight="1"/>
    <row r="38925" ht="12" customHeight="1"/>
    <row r="38926" ht="12" customHeight="1"/>
    <row r="38927" ht="12" customHeight="1"/>
    <row r="38928" ht="12" customHeight="1"/>
    <row r="38929" ht="12" customHeight="1"/>
    <row r="38930" ht="12" customHeight="1"/>
    <row r="38931" ht="12" customHeight="1"/>
    <row r="38932" ht="12" customHeight="1"/>
    <row r="38933" ht="12" customHeight="1"/>
    <row r="38934" ht="12" customHeight="1"/>
    <row r="38935" ht="12" customHeight="1"/>
    <row r="38936" ht="12" customHeight="1"/>
    <row r="38937" ht="12" customHeight="1"/>
    <row r="38938" ht="12" customHeight="1"/>
    <row r="38939" ht="12" customHeight="1"/>
    <row r="38940" ht="12" customHeight="1"/>
    <row r="38941" ht="12" customHeight="1"/>
    <row r="38942" ht="12" customHeight="1"/>
    <row r="38943" ht="12" customHeight="1"/>
    <row r="38944" ht="12" customHeight="1"/>
    <row r="38945" ht="12" customHeight="1"/>
    <row r="38946" ht="12" customHeight="1"/>
    <row r="38947" ht="12" customHeight="1"/>
    <row r="38948" ht="12" customHeight="1"/>
    <row r="38949" ht="12" customHeight="1"/>
    <row r="38950" ht="12" customHeight="1"/>
    <row r="38951" ht="12" customHeight="1"/>
    <row r="38952" ht="12" customHeight="1"/>
    <row r="38953" ht="12" customHeight="1"/>
    <row r="38954" ht="12" customHeight="1"/>
    <row r="38955" ht="12" customHeight="1"/>
    <row r="38956" ht="12" customHeight="1"/>
    <row r="38957" ht="12" customHeight="1"/>
    <row r="38958" ht="12" customHeight="1"/>
    <row r="38959" ht="12" customHeight="1"/>
    <row r="38960" ht="12" customHeight="1"/>
    <row r="38961" ht="12" customHeight="1"/>
    <row r="38962" ht="12" customHeight="1"/>
    <row r="38963" ht="12" customHeight="1"/>
    <row r="38964" ht="12" customHeight="1"/>
    <row r="38965" ht="12" customHeight="1"/>
    <row r="38966" ht="12" customHeight="1"/>
    <row r="38967" ht="12" customHeight="1"/>
    <row r="38968" ht="12" customHeight="1"/>
    <row r="38969" ht="12" customHeight="1"/>
    <row r="38970" ht="12" customHeight="1"/>
    <row r="38971" ht="12" customHeight="1"/>
    <row r="38972" ht="12" customHeight="1"/>
    <row r="38973" ht="12" customHeight="1"/>
    <row r="38974" ht="12" customHeight="1"/>
    <row r="38975" ht="12" customHeight="1"/>
    <row r="38976" ht="12" customHeight="1"/>
    <row r="38977" ht="12" customHeight="1"/>
    <row r="38978" ht="12" customHeight="1"/>
    <row r="38979" ht="12" customHeight="1"/>
    <row r="38980" ht="12" customHeight="1"/>
    <row r="38981" ht="12" customHeight="1"/>
    <row r="38982" ht="12" customHeight="1"/>
    <row r="38983" ht="12" customHeight="1"/>
    <row r="38984" ht="12" customHeight="1"/>
    <row r="38985" ht="12" customHeight="1"/>
    <row r="38986" ht="12" customHeight="1"/>
    <row r="38987" ht="12" customHeight="1"/>
    <row r="38988" ht="12" customHeight="1"/>
    <row r="38989" ht="12" customHeight="1"/>
    <row r="38990" ht="12" customHeight="1"/>
    <row r="38991" ht="12" customHeight="1"/>
    <row r="38992" ht="12" customHeight="1"/>
    <row r="38993" ht="12" customHeight="1"/>
    <row r="38994" ht="12" customHeight="1"/>
    <row r="38995" ht="12" customHeight="1"/>
    <row r="38996" ht="12" customHeight="1"/>
    <row r="38997" ht="12" customHeight="1"/>
    <row r="38998" ht="12" customHeight="1"/>
    <row r="38999" ht="12" customHeight="1"/>
    <row r="39000" ht="12" customHeight="1"/>
    <row r="39001" ht="12" customHeight="1"/>
    <row r="39002" ht="12" customHeight="1"/>
    <row r="39003" ht="12" customHeight="1"/>
    <row r="39004" ht="12" customHeight="1"/>
    <row r="39005" ht="12" customHeight="1"/>
    <row r="39006" ht="12" customHeight="1"/>
    <row r="39007" ht="12" customHeight="1"/>
    <row r="39008" ht="12" customHeight="1"/>
    <row r="39009" ht="12" customHeight="1"/>
    <row r="39010" ht="12" customHeight="1"/>
    <row r="39011" ht="12" customHeight="1"/>
    <row r="39012" ht="12" customHeight="1"/>
    <row r="39013" ht="12" customHeight="1"/>
    <row r="39014" ht="12" customHeight="1"/>
    <row r="39015" ht="12" customHeight="1"/>
    <row r="39016" ht="12" customHeight="1"/>
    <row r="39017" ht="12" customHeight="1"/>
    <row r="39018" ht="12" customHeight="1"/>
    <row r="39019" ht="12" customHeight="1"/>
    <row r="39020" ht="12" customHeight="1"/>
    <row r="39021" ht="12" customHeight="1"/>
    <row r="39022" ht="12" customHeight="1"/>
    <row r="39023" ht="12" customHeight="1"/>
    <row r="39024" ht="12" customHeight="1"/>
    <row r="39025" ht="12" customHeight="1"/>
    <row r="39026" ht="12" customHeight="1"/>
    <row r="39027" ht="12" customHeight="1"/>
    <row r="39028" ht="12" customHeight="1"/>
    <row r="39029" ht="12" customHeight="1"/>
    <row r="39030" ht="12" customHeight="1"/>
    <row r="39031" ht="12" customHeight="1"/>
    <row r="39032" ht="12" customHeight="1"/>
    <row r="39033" ht="12" customHeight="1"/>
    <row r="39034" ht="12" customHeight="1"/>
    <row r="39035" ht="12" customHeight="1"/>
    <row r="39036" ht="12" customHeight="1"/>
    <row r="39037" ht="12" customHeight="1"/>
    <row r="39038" ht="12" customHeight="1"/>
    <row r="39039" ht="12" customHeight="1"/>
    <row r="39040" ht="12" customHeight="1"/>
    <row r="39041" ht="12" customHeight="1"/>
    <row r="39042" ht="12" customHeight="1"/>
    <row r="39043" ht="12" customHeight="1"/>
    <row r="39044" ht="12" customHeight="1"/>
    <row r="39045" ht="12" customHeight="1"/>
    <row r="39046" ht="12" customHeight="1"/>
    <row r="39047" ht="12" customHeight="1"/>
    <row r="39048" ht="12" customHeight="1"/>
    <row r="39049" ht="12" customHeight="1"/>
    <row r="39050" ht="12" customHeight="1"/>
    <row r="39051" ht="12" customHeight="1"/>
    <row r="39052" ht="12" customHeight="1"/>
    <row r="39053" ht="12" customHeight="1"/>
    <row r="39054" ht="12" customHeight="1"/>
    <row r="39055" ht="12" customHeight="1"/>
    <row r="39056" ht="12" customHeight="1"/>
    <row r="39057" ht="12" customHeight="1"/>
    <row r="39058" ht="12" customHeight="1"/>
    <row r="39059" ht="12" customHeight="1"/>
    <row r="39060" ht="12" customHeight="1"/>
    <row r="39061" ht="12" customHeight="1"/>
    <row r="39062" ht="12" customHeight="1"/>
    <row r="39063" ht="12" customHeight="1"/>
    <row r="39064" ht="12" customHeight="1"/>
    <row r="39065" ht="12" customHeight="1"/>
    <row r="39066" ht="12" customHeight="1"/>
    <row r="39067" ht="12" customHeight="1"/>
    <row r="39068" ht="12" customHeight="1"/>
    <row r="39069" ht="12" customHeight="1"/>
    <row r="39070" ht="12" customHeight="1"/>
    <row r="39071" ht="12" customHeight="1"/>
    <row r="39072" ht="12" customHeight="1"/>
    <row r="39073" ht="12" customHeight="1"/>
    <row r="39074" ht="12" customHeight="1"/>
    <row r="39075" ht="12" customHeight="1"/>
    <row r="39076" ht="12" customHeight="1"/>
    <row r="39077" ht="12" customHeight="1"/>
    <row r="39078" ht="12" customHeight="1"/>
    <row r="39079" ht="12" customHeight="1"/>
    <row r="39080" ht="12" customHeight="1"/>
    <row r="39081" ht="12" customHeight="1"/>
    <row r="39082" ht="12" customHeight="1"/>
    <row r="39083" ht="12" customHeight="1"/>
    <row r="39084" ht="12" customHeight="1"/>
    <row r="39085" ht="12" customHeight="1"/>
    <row r="39086" ht="12" customHeight="1"/>
    <row r="39087" ht="12" customHeight="1"/>
    <row r="39088" ht="12" customHeight="1"/>
    <row r="39089" ht="12" customHeight="1"/>
    <row r="39090" ht="12" customHeight="1"/>
    <row r="39091" ht="12" customHeight="1"/>
    <row r="39092" ht="12" customHeight="1"/>
    <row r="39093" ht="12" customHeight="1"/>
    <row r="39094" ht="12" customHeight="1"/>
    <row r="39095" ht="12" customHeight="1"/>
    <row r="39096" ht="12" customHeight="1"/>
    <row r="39097" ht="12" customHeight="1"/>
    <row r="39098" ht="12" customHeight="1"/>
    <row r="39099" ht="12" customHeight="1"/>
    <row r="39100" ht="12" customHeight="1"/>
    <row r="39101" ht="12" customHeight="1"/>
    <row r="39102" ht="12" customHeight="1"/>
    <row r="39103" ht="12" customHeight="1"/>
    <row r="39104" ht="12" customHeight="1"/>
    <row r="39105" ht="12" customHeight="1"/>
    <row r="39106" ht="12" customHeight="1"/>
    <row r="39107" ht="12" customHeight="1"/>
    <row r="39108" ht="12" customHeight="1"/>
    <row r="39109" ht="12" customHeight="1"/>
    <row r="39110" ht="12" customHeight="1"/>
    <row r="39111" ht="12" customHeight="1"/>
    <row r="39112" ht="12" customHeight="1"/>
    <row r="39113" ht="12" customHeight="1"/>
    <row r="39114" ht="12" customHeight="1"/>
    <row r="39115" ht="12" customHeight="1"/>
    <row r="39116" ht="12" customHeight="1"/>
    <row r="39117" ht="12" customHeight="1"/>
    <row r="39118" ht="12" customHeight="1"/>
    <row r="39119" ht="12" customHeight="1"/>
    <row r="39120" ht="12" customHeight="1"/>
    <row r="39121" ht="12" customHeight="1"/>
    <row r="39122" ht="12" customHeight="1"/>
    <row r="39123" ht="12" customHeight="1"/>
    <row r="39124" ht="12" customHeight="1"/>
    <row r="39125" ht="12" customHeight="1"/>
    <row r="39126" ht="12" customHeight="1"/>
    <row r="39127" ht="12" customHeight="1"/>
    <row r="39128" ht="12" customHeight="1"/>
    <row r="39129" ht="12" customHeight="1"/>
    <row r="39130" ht="12" customHeight="1"/>
    <row r="39131" ht="12" customHeight="1"/>
    <row r="39132" ht="12" customHeight="1"/>
    <row r="39133" ht="12" customHeight="1"/>
    <row r="39134" ht="12" customHeight="1"/>
    <row r="39135" ht="12" customHeight="1"/>
    <row r="39136" ht="12" customHeight="1"/>
    <row r="39137" ht="12" customHeight="1"/>
    <row r="39138" ht="12" customHeight="1"/>
    <row r="39139" ht="12" customHeight="1"/>
    <row r="39140" ht="12" customHeight="1"/>
    <row r="39141" ht="12" customHeight="1"/>
    <row r="39142" ht="12" customHeight="1"/>
    <row r="39143" ht="12" customHeight="1"/>
    <row r="39144" ht="12" customHeight="1"/>
    <row r="39145" ht="12" customHeight="1"/>
    <row r="39146" ht="12" customHeight="1"/>
    <row r="39147" ht="12" customHeight="1"/>
    <row r="39148" ht="12" customHeight="1"/>
    <row r="39149" ht="12" customHeight="1"/>
    <row r="39150" ht="12" customHeight="1"/>
    <row r="39151" ht="12" customHeight="1"/>
    <row r="39152" ht="12" customHeight="1"/>
    <row r="39153" ht="12" customHeight="1"/>
    <row r="39154" ht="12" customHeight="1"/>
    <row r="39155" ht="12" customHeight="1"/>
    <row r="39156" ht="12" customHeight="1"/>
    <row r="39157" ht="12" customHeight="1"/>
    <row r="39158" ht="12" customHeight="1"/>
    <row r="39159" ht="12" customHeight="1"/>
    <row r="39160" ht="12" customHeight="1"/>
    <row r="39161" ht="12" customHeight="1"/>
    <row r="39162" ht="12" customHeight="1"/>
    <row r="39163" ht="12" customHeight="1"/>
    <row r="39164" ht="12" customHeight="1"/>
    <row r="39165" ht="12" customHeight="1"/>
    <row r="39166" ht="12" customHeight="1"/>
    <row r="39167" ht="12" customHeight="1"/>
    <row r="39168" ht="12" customHeight="1"/>
    <row r="39169" ht="12" customHeight="1"/>
    <row r="39170" ht="12" customHeight="1"/>
    <row r="39171" ht="12" customHeight="1"/>
    <row r="39172" ht="12" customHeight="1"/>
    <row r="39173" ht="12" customHeight="1"/>
    <row r="39174" ht="12" customHeight="1"/>
    <row r="39175" ht="12" customHeight="1"/>
    <row r="39176" ht="12" customHeight="1"/>
    <row r="39177" ht="12" customHeight="1"/>
    <row r="39178" ht="12" customHeight="1"/>
    <row r="39179" ht="12" customHeight="1"/>
    <row r="39180" ht="12" customHeight="1"/>
    <row r="39181" ht="12" customHeight="1"/>
    <row r="39182" ht="12" customHeight="1"/>
    <row r="39183" ht="12" customHeight="1"/>
    <row r="39184" ht="12" customHeight="1"/>
    <row r="39185" ht="12" customHeight="1"/>
    <row r="39186" ht="12" customHeight="1"/>
    <row r="39187" ht="12" customHeight="1"/>
    <row r="39188" ht="12" customHeight="1"/>
    <row r="39189" ht="12" customHeight="1"/>
    <row r="39190" ht="12" customHeight="1"/>
    <row r="39191" ht="12" customHeight="1"/>
    <row r="39192" ht="12" customHeight="1"/>
    <row r="39193" ht="12" customHeight="1"/>
    <row r="39194" ht="12" customHeight="1"/>
    <row r="39195" ht="12" customHeight="1"/>
    <row r="39196" ht="12" customHeight="1"/>
    <row r="39197" ht="12" customHeight="1"/>
    <row r="39198" ht="12" customHeight="1"/>
    <row r="39199" ht="12" customHeight="1"/>
    <row r="39200" ht="12" customHeight="1"/>
    <row r="39201" ht="12" customHeight="1"/>
    <row r="39202" ht="12" customHeight="1"/>
    <row r="39203" ht="12" customHeight="1"/>
    <row r="39204" ht="12" customHeight="1"/>
    <row r="39205" ht="12" customHeight="1"/>
    <row r="39206" ht="12" customHeight="1"/>
    <row r="39207" ht="12" customHeight="1"/>
    <row r="39208" ht="12" customHeight="1"/>
    <row r="39209" ht="12" customHeight="1"/>
    <row r="39210" ht="12" customHeight="1"/>
    <row r="39211" ht="12" customHeight="1"/>
    <row r="39212" ht="12" customHeight="1"/>
    <row r="39213" ht="12" customHeight="1"/>
    <row r="39214" ht="12" customHeight="1"/>
    <row r="39215" ht="12" customHeight="1"/>
    <row r="39216" ht="12" customHeight="1"/>
    <row r="39217" ht="12" customHeight="1"/>
    <row r="39218" ht="12" customHeight="1"/>
    <row r="39219" ht="12" customHeight="1"/>
    <row r="39220" ht="12" customHeight="1"/>
    <row r="39221" ht="12" customHeight="1"/>
    <row r="39222" ht="12" customHeight="1"/>
    <row r="39223" ht="12" customHeight="1"/>
    <row r="39224" ht="12" customHeight="1"/>
    <row r="39225" ht="12" customHeight="1"/>
    <row r="39226" ht="12" customHeight="1"/>
    <row r="39227" ht="12" customHeight="1"/>
    <row r="39228" ht="12" customHeight="1"/>
    <row r="39229" ht="12" customHeight="1"/>
    <row r="39230" ht="12" customHeight="1"/>
    <row r="39231" ht="12" customHeight="1"/>
    <row r="39232" ht="12" customHeight="1"/>
    <row r="39233" ht="12" customHeight="1"/>
    <row r="39234" ht="12" customHeight="1"/>
    <row r="39235" ht="12" customHeight="1"/>
    <row r="39236" ht="12" customHeight="1"/>
    <row r="39237" ht="12" customHeight="1"/>
    <row r="39238" ht="12" customHeight="1"/>
    <row r="39239" ht="12" customHeight="1"/>
    <row r="39240" ht="12" customHeight="1"/>
    <row r="39241" ht="12" customHeight="1"/>
    <row r="39242" ht="12" customHeight="1"/>
    <row r="39243" ht="12" customHeight="1"/>
    <row r="39244" ht="12" customHeight="1"/>
    <row r="39245" ht="12" customHeight="1"/>
    <row r="39246" ht="12" customHeight="1"/>
    <row r="39247" ht="12" customHeight="1"/>
    <row r="39248" ht="12" customHeight="1"/>
    <row r="39249" ht="12" customHeight="1"/>
    <row r="39250" ht="12" customHeight="1"/>
    <row r="39251" ht="12" customHeight="1"/>
    <row r="39252" ht="12" customHeight="1"/>
    <row r="39253" ht="12" customHeight="1"/>
    <row r="39254" ht="12" customHeight="1"/>
    <row r="39255" ht="12" customHeight="1"/>
    <row r="39256" ht="12" customHeight="1"/>
    <row r="39257" ht="12" customHeight="1"/>
    <row r="39258" ht="12" customHeight="1"/>
    <row r="39259" ht="12" customHeight="1"/>
    <row r="39260" ht="12" customHeight="1"/>
    <row r="39261" ht="12" customHeight="1"/>
    <row r="39262" ht="12" customHeight="1"/>
    <row r="39263" ht="12" customHeight="1"/>
    <row r="39264" ht="12" customHeight="1"/>
    <row r="39265" ht="12" customHeight="1"/>
    <row r="39266" ht="12" customHeight="1"/>
    <row r="39267" ht="12" customHeight="1"/>
    <row r="39268" ht="12" customHeight="1"/>
    <row r="39269" ht="12" customHeight="1"/>
    <row r="39270" ht="12" customHeight="1"/>
    <row r="39271" ht="12" customHeight="1"/>
    <row r="39272" ht="12" customHeight="1"/>
    <row r="39273" ht="12" customHeight="1"/>
    <row r="39274" ht="12" customHeight="1"/>
    <row r="39275" ht="12" customHeight="1"/>
    <row r="39276" ht="12" customHeight="1"/>
    <row r="39277" ht="12" customHeight="1"/>
    <row r="39278" ht="12" customHeight="1"/>
    <row r="39279" ht="12" customHeight="1"/>
    <row r="39280" ht="12" customHeight="1"/>
    <row r="39281" ht="12" customHeight="1"/>
    <row r="39282" ht="12" customHeight="1"/>
    <row r="39283" ht="12" customHeight="1"/>
    <row r="39284" ht="12" customHeight="1"/>
    <row r="39285" ht="12" customHeight="1"/>
    <row r="39286" ht="12" customHeight="1"/>
    <row r="39287" ht="12" customHeight="1"/>
    <row r="39288" ht="12" customHeight="1"/>
    <row r="39289" ht="12" customHeight="1"/>
    <row r="39290" ht="12" customHeight="1"/>
    <row r="39291" ht="12" customHeight="1"/>
    <row r="39292" ht="12" customHeight="1"/>
    <row r="39293" ht="12" customHeight="1"/>
    <row r="39294" ht="12" customHeight="1"/>
    <row r="39295" ht="12" customHeight="1"/>
    <row r="39296" ht="12" customHeight="1"/>
    <row r="39297" ht="12" customHeight="1"/>
    <row r="39298" ht="12" customHeight="1"/>
    <row r="39299" ht="12" customHeight="1"/>
    <row r="39300" ht="12" customHeight="1"/>
    <row r="39301" ht="12" customHeight="1"/>
    <row r="39302" ht="12" customHeight="1"/>
    <row r="39303" ht="12" customHeight="1"/>
    <row r="39304" ht="12" customHeight="1"/>
    <row r="39305" ht="12" customHeight="1"/>
    <row r="39306" ht="12" customHeight="1"/>
    <row r="39307" ht="12" customHeight="1"/>
    <row r="39308" ht="12" customHeight="1"/>
    <row r="39309" ht="12" customHeight="1"/>
    <row r="39310" ht="12" customHeight="1"/>
    <row r="39311" ht="12" customHeight="1"/>
    <row r="39312" ht="12" customHeight="1"/>
    <row r="39313" ht="12" customHeight="1"/>
    <row r="39314" ht="12" customHeight="1"/>
    <row r="39315" ht="12" customHeight="1"/>
    <row r="39316" ht="12" customHeight="1"/>
    <row r="39317" ht="12" customHeight="1"/>
    <row r="39318" ht="12" customHeight="1"/>
    <row r="39319" ht="12" customHeight="1"/>
    <row r="39320" ht="12" customHeight="1"/>
    <row r="39321" ht="12" customHeight="1"/>
    <row r="39322" ht="12" customHeight="1"/>
    <row r="39323" ht="12" customHeight="1"/>
    <row r="39324" ht="12" customHeight="1"/>
    <row r="39325" ht="12" customHeight="1"/>
    <row r="39326" ht="12" customHeight="1"/>
    <row r="39327" ht="12" customHeight="1"/>
    <row r="39328" ht="12" customHeight="1"/>
    <row r="39329" ht="12" customHeight="1"/>
    <row r="39330" ht="12" customHeight="1"/>
    <row r="39331" ht="12" customHeight="1"/>
    <row r="39332" ht="12" customHeight="1"/>
    <row r="39333" ht="12" customHeight="1"/>
    <row r="39334" ht="12" customHeight="1"/>
    <row r="39335" ht="12" customHeight="1"/>
    <row r="39336" ht="12" customHeight="1"/>
    <row r="39337" ht="12" customHeight="1"/>
    <row r="39338" ht="12" customHeight="1"/>
    <row r="39339" ht="12" customHeight="1"/>
    <row r="39340" ht="12" customHeight="1"/>
    <row r="39341" ht="12" customHeight="1"/>
    <row r="39342" ht="12" customHeight="1"/>
    <row r="39343" ht="12" customHeight="1"/>
    <row r="39344" ht="12" customHeight="1"/>
    <row r="39345" ht="12" customHeight="1"/>
    <row r="39346" ht="12" customHeight="1"/>
    <row r="39347" ht="12" customHeight="1"/>
    <row r="39348" ht="12" customHeight="1"/>
    <row r="39349" ht="12" customHeight="1"/>
    <row r="39350" ht="12" customHeight="1"/>
    <row r="39351" ht="12" customHeight="1"/>
    <row r="39352" ht="12" customHeight="1"/>
    <row r="39353" ht="12" customHeight="1"/>
    <row r="39354" ht="12" customHeight="1"/>
    <row r="39355" ht="12" customHeight="1"/>
    <row r="39356" ht="12" customHeight="1"/>
    <row r="39357" ht="12" customHeight="1"/>
    <row r="39358" ht="12" customHeight="1"/>
    <row r="39359" ht="12" customHeight="1"/>
    <row r="39360" ht="12" customHeight="1"/>
    <row r="39361" ht="12" customHeight="1"/>
    <row r="39362" ht="12" customHeight="1"/>
    <row r="39363" ht="12" customHeight="1"/>
    <row r="39364" ht="12" customHeight="1"/>
    <row r="39365" ht="12" customHeight="1"/>
    <row r="39366" ht="12" customHeight="1"/>
    <row r="39367" ht="12" customHeight="1"/>
    <row r="39368" ht="12" customHeight="1"/>
    <row r="39369" ht="12" customHeight="1"/>
    <row r="39370" ht="12" customHeight="1"/>
    <row r="39371" ht="12" customHeight="1"/>
    <row r="39372" ht="12" customHeight="1"/>
    <row r="39373" ht="12" customHeight="1"/>
    <row r="39374" ht="12" customHeight="1"/>
    <row r="39375" ht="12" customHeight="1"/>
    <row r="39376" ht="12" customHeight="1"/>
    <row r="39377" ht="12" customHeight="1"/>
    <row r="39378" ht="12" customHeight="1"/>
    <row r="39379" ht="12" customHeight="1"/>
    <row r="39380" ht="12" customHeight="1"/>
    <row r="39381" ht="12" customHeight="1"/>
    <row r="39382" ht="12" customHeight="1"/>
    <row r="39383" ht="12" customHeight="1"/>
    <row r="39384" ht="12" customHeight="1"/>
    <row r="39385" ht="12" customHeight="1"/>
    <row r="39386" ht="12" customHeight="1"/>
    <row r="39387" ht="12" customHeight="1"/>
    <row r="39388" ht="12" customHeight="1"/>
    <row r="39389" ht="12" customHeight="1"/>
    <row r="39390" ht="12" customHeight="1"/>
    <row r="39391" ht="12" customHeight="1"/>
    <row r="39392" ht="12" customHeight="1"/>
    <row r="39393" ht="12" customHeight="1"/>
    <row r="39394" ht="12" customHeight="1"/>
    <row r="39395" ht="12" customHeight="1"/>
    <row r="39396" ht="12" customHeight="1"/>
    <row r="39397" ht="12" customHeight="1"/>
    <row r="39398" ht="12" customHeight="1"/>
    <row r="39399" ht="12" customHeight="1"/>
    <row r="39400" ht="12" customHeight="1"/>
    <row r="39401" ht="12" customHeight="1"/>
    <row r="39402" ht="12" customHeight="1"/>
    <row r="39403" ht="12" customHeight="1"/>
    <row r="39404" ht="12" customHeight="1"/>
    <row r="39405" ht="12" customHeight="1"/>
    <row r="39406" ht="12" customHeight="1"/>
    <row r="39407" ht="12" customHeight="1"/>
    <row r="39408" ht="12" customHeight="1"/>
    <row r="39409" ht="12" customHeight="1"/>
    <row r="39410" ht="12" customHeight="1"/>
    <row r="39411" ht="12" customHeight="1"/>
    <row r="39412" ht="12" customHeight="1"/>
    <row r="39413" ht="12" customHeight="1"/>
    <row r="39414" ht="12" customHeight="1"/>
    <row r="39415" ht="12" customHeight="1"/>
    <row r="39416" ht="12" customHeight="1"/>
    <row r="39417" ht="12" customHeight="1"/>
    <row r="39418" ht="12" customHeight="1"/>
    <row r="39419" ht="12" customHeight="1"/>
    <row r="39420" ht="12" customHeight="1"/>
    <row r="39421" ht="12" customHeight="1"/>
    <row r="39422" ht="12" customHeight="1"/>
    <row r="39423" ht="12" customHeight="1"/>
    <row r="39424" ht="12" customHeight="1"/>
    <row r="39425" ht="12" customHeight="1"/>
    <row r="39426" ht="12" customHeight="1"/>
    <row r="39427" ht="12" customHeight="1"/>
    <row r="39428" ht="12" customHeight="1"/>
    <row r="39429" ht="12" customHeight="1"/>
    <row r="39430" ht="12" customHeight="1"/>
    <row r="39431" ht="12" customHeight="1"/>
    <row r="39432" ht="12" customHeight="1"/>
    <row r="39433" ht="12" customHeight="1"/>
    <row r="39434" ht="12" customHeight="1"/>
    <row r="39435" ht="12" customHeight="1"/>
    <row r="39436" ht="12" customHeight="1"/>
    <row r="39437" ht="12" customHeight="1"/>
    <row r="39438" ht="12" customHeight="1"/>
    <row r="39439" ht="12" customHeight="1"/>
    <row r="39440" ht="12" customHeight="1"/>
    <row r="39441" ht="12" customHeight="1"/>
    <row r="39442" ht="12" customHeight="1"/>
    <row r="39443" ht="12" customHeight="1"/>
    <row r="39444" ht="12" customHeight="1"/>
    <row r="39445" ht="12" customHeight="1"/>
    <row r="39446" ht="12" customHeight="1"/>
    <row r="39447" ht="12" customHeight="1"/>
    <row r="39448" ht="12" customHeight="1"/>
    <row r="39449" ht="12" customHeight="1"/>
    <row r="39450" ht="12" customHeight="1"/>
    <row r="39451" ht="12" customHeight="1"/>
    <row r="39452" ht="12" customHeight="1"/>
    <row r="39453" ht="12" customHeight="1"/>
    <row r="39454" ht="12" customHeight="1"/>
    <row r="39455" ht="12" customHeight="1"/>
    <row r="39456" ht="12" customHeight="1"/>
    <row r="39457" ht="12" customHeight="1"/>
    <row r="39458" ht="12" customHeight="1"/>
    <row r="39459" ht="12" customHeight="1"/>
    <row r="39460" ht="12" customHeight="1"/>
    <row r="39461" ht="12" customHeight="1"/>
    <row r="39462" ht="12" customHeight="1"/>
    <row r="39463" ht="12" customHeight="1"/>
    <row r="39464" ht="12" customHeight="1"/>
    <row r="39465" ht="12" customHeight="1"/>
    <row r="39466" ht="12" customHeight="1"/>
    <row r="39467" ht="12" customHeight="1"/>
    <row r="39468" ht="12" customHeight="1"/>
    <row r="39469" ht="12" customHeight="1"/>
    <row r="39470" ht="12" customHeight="1"/>
    <row r="39471" ht="12" customHeight="1"/>
    <row r="39472" ht="12" customHeight="1"/>
    <row r="39473" ht="12" customHeight="1"/>
    <row r="39474" ht="12" customHeight="1"/>
    <row r="39475" ht="12" customHeight="1"/>
    <row r="39476" ht="12" customHeight="1"/>
    <row r="39477" ht="12" customHeight="1"/>
    <row r="39478" ht="12" customHeight="1"/>
    <row r="39479" ht="12" customHeight="1"/>
    <row r="39480" ht="12" customHeight="1"/>
    <row r="39481" ht="12" customHeight="1"/>
    <row r="39482" ht="12" customHeight="1"/>
    <row r="39483" ht="12" customHeight="1"/>
    <row r="39484" ht="12" customHeight="1"/>
    <row r="39485" ht="12" customHeight="1"/>
    <row r="39486" ht="12" customHeight="1"/>
    <row r="39487" ht="12" customHeight="1"/>
    <row r="39488" ht="12" customHeight="1"/>
    <row r="39489" ht="12" customHeight="1"/>
    <row r="39490" ht="12" customHeight="1"/>
    <row r="39491" ht="12" customHeight="1"/>
    <row r="39492" ht="12" customHeight="1"/>
    <row r="39493" ht="12" customHeight="1"/>
    <row r="39494" ht="12" customHeight="1"/>
    <row r="39495" ht="12" customHeight="1"/>
    <row r="39496" ht="12" customHeight="1"/>
    <row r="39497" ht="12" customHeight="1"/>
    <row r="39498" ht="12" customHeight="1"/>
    <row r="39499" ht="12" customHeight="1"/>
    <row r="39500" ht="12" customHeight="1"/>
    <row r="39501" ht="12" customHeight="1"/>
    <row r="39502" ht="12" customHeight="1"/>
    <row r="39503" ht="12" customHeight="1"/>
    <row r="39504" ht="12" customHeight="1"/>
    <row r="39505" ht="12" customHeight="1"/>
    <row r="39506" ht="12" customHeight="1"/>
    <row r="39507" ht="12" customHeight="1"/>
    <row r="39508" ht="12" customHeight="1"/>
    <row r="39509" ht="12" customHeight="1"/>
    <row r="39510" ht="12" customHeight="1"/>
    <row r="39511" ht="12" customHeight="1"/>
    <row r="39512" ht="12" customHeight="1"/>
    <row r="39513" ht="12" customHeight="1"/>
    <row r="39514" ht="12" customHeight="1"/>
    <row r="39515" ht="12" customHeight="1"/>
    <row r="39516" ht="12" customHeight="1"/>
    <row r="39517" ht="12" customHeight="1"/>
    <row r="39518" ht="12" customHeight="1"/>
    <row r="39519" ht="12" customHeight="1"/>
    <row r="39520" ht="12" customHeight="1"/>
    <row r="39521" ht="12" customHeight="1"/>
    <row r="39522" ht="12" customHeight="1"/>
    <row r="39523" ht="12" customHeight="1"/>
    <row r="39524" ht="12" customHeight="1"/>
    <row r="39525" ht="12" customHeight="1"/>
    <row r="39526" ht="12" customHeight="1"/>
    <row r="39527" ht="12" customHeight="1"/>
    <row r="39528" ht="12" customHeight="1"/>
    <row r="39529" ht="12" customHeight="1"/>
    <row r="39530" ht="12" customHeight="1"/>
    <row r="39531" ht="12" customHeight="1"/>
    <row r="39532" ht="12" customHeight="1"/>
    <row r="39533" ht="12" customHeight="1"/>
    <row r="39534" ht="12" customHeight="1"/>
    <row r="39535" ht="12" customHeight="1"/>
    <row r="39536" ht="12" customHeight="1"/>
    <row r="39537" ht="12" customHeight="1"/>
    <row r="39538" ht="12" customHeight="1"/>
    <row r="39539" ht="12" customHeight="1"/>
    <row r="39540" ht="12" customHeight="1"/>
    <row r="39541" ht="12" customHeight="1"/>
    <row r="39542" ht="12" customHeight="1"/>
    <row r="39543" ht="12" customHeight="1"/>
    <row r="39544" ht="12" customHeight="1"/>
    <row r="39545" ht="12" customHeight="1"/>
    <row r="39546" ht="12" customHeight="1"/>
    <row r="39547" ht="12" customHeight="1"/>
    <row r="39548" ht="12" customHeight="1"/>
    <row r="39549" ht="12" customHeight="1"/>
    <row r="39550" ht="12" customHeight="1"/>
    <row r="39551" ht="12" customHeight="1"/>
    <row r="39552" ht="12" customHeight="1"/>
    <row r="39553" ht="12" customHeight="1"/>
    <row r="39554" ht="12" customHeight="1"/>
    <row r="39555" ht="12" customHeight="1"/>
    <row r="39556" ht="12" customHeight="1"/>
    <row r="39557" ht="12" customHeight="1"/>
    <row r="39558" ht="12" customHeight="1"/>
    <row r="39559" ht="12" customHeight="1"/>
    <row r="39560" ht="12" customHeight="1"/>
    <row r="39561" ht="12" customHeight="1"/>
    <row r="39562" ht="12" customHeight="1"/>
    <row r="39563" ht="12" customHeight="1"/>
    <row r="39564" ht="12" customHeight="1"/>
    <row r="39565" ht="12" customHeight="1"/>
    <row r="39566" ht="12" customHeight="1"/>
    <row r="39567" ht="12" customHeight="1"/>
    <row r="39568" ht="12" customHeight="1"/>
    <row r="39569" ht="12" customHeight="1"/>
    <row r="39570" ht="12" customHeight="1"/>
    <row r="39571" ht="12" customHeight="1"/>
    <row r="39572" ht="12" customHeight="1"/>
    <row r="39573" ht="12" customHeight="1"/>
    <row r="39574" ht="12" customHeight="1"/>
    <row r="39575" ht="12" customHeight="1"/>
    <row r="39576" ht="12" customHeight="1"/>
    <row r="39577" ht="12" customHeight="1"/>
    <row r="39578" ht="12" customHeight="1"/>
    <row r="39579" ht="12" customHeight="1"/>
    <row r="39580" ht="12" customHeight="1"/>
    <row r="39581" ht="12" customHeight="1"/>
    <row r="39582" ht="12" customHeight="1"/>
    <row r="39583" ht="12" customHeight="1"/>
    <row r="39584" ht="12" customHeight="1"/>
    <row r="39585" ht="12" customHeight="1"/>
    <row r="39586" ht="12" customHeight="1"/>
    <row r="39587" ht="12" customHeight="1"/>
    <row r="39588" ht="12" customHeight="1"/>
    <row r="39589" ht="12" customHeight="1"/>
    <row r="39590" ht="12" customHeight="1"/>
    <row r="39591" ht="12" customHeight="1"/>
    <row r="39592" ht="12" customHeight="1"/>
    <row r="39593" ht="12" customHeight="1"/>
    <row r="39594" ht="12" customHeight="1"/>
    <row r="39595" ht="12" customHeight="1"/>
    <row r="39596" ht="12" customHeight="1"/>
    <row r="39597" ht="12" customHeight="1"/>
    <row r="39598" ht="12" customHeight="1"/>
    <row r="39599" ht="12" customHeight="1"/>
    <row r="39600" ht="12" customHeight="1"/>
    <row r="39601" ht="12" customHeight="1"/>
    <row r="39602" ht="12" customHeight="1"/>
    <row r="39603" ht="12" customHeight="1"/>
    <row r="39604" ht="12" customHeight="1"/>
    <row r="39605" ht="12" customHeight="1"/>
    <row r="39606" ht="12" customHeight="1"/>
    <row r="39607" ht="12" customHeight="1"/>
    <row r="39608" ht="12" customHeight="1"/>
    <row r="39609" ht="12" customHeight="1"/>
    <row r="39610" ht="12" customHeight="1"/>
    <row r="39611" ht="12" customHeight="1"/>
    <row r="39612" ht="12" customHeight="1"/>
    <row r="39613" ht="12" customHeight="1"/>
    <row r="39614" ht="12" customHeight="1"/>
    <row r="39615" ht="12" customHeight="1"/>
    <row r="39616" ht="12" customHeight="1"/>
    <row r="39617" ht="12" customHeight="1"/>
    <row r="39618" ht="12" customHeight="1"/>
    <row r="39619" ht="12" customHeight="1"/>
    <row r="39620" ht="12" customHeight="1"/>
    <row r="39621" ht="12" customHeight="1"/>
    <row r="39622" ht="12" customHeight="1"/>
    <row r="39623" ht="12" customHeight="1"/>
    <row r="39624" ht="12" customHeight="1"/>
    <row r="39625" ht="12" customHeight="1"/>
    <row r="39626" ht="12" customHeight="1"/>
    <row r="39627" ht="12" customHeight="1"/>
    <row r="39628" ht="12" customHeight="1"/>
    <row r="39629" ht="12" customHeight="1"/>
    <row r="39630" ht="12" customHeight="1"/>
    <row r="39631" ht="12" customHeight="1"/>
    <row r="39632" ht="12" customHeight="1"/>
    <row r="39633" ht="12" customHeight="1"/>
    <row r="39634" ht="12" customHeight="1"/>
    <row r="39635" ht="12" customHeight="1"/>
    <row r="39636" ht="12" customHeight="1"/>
    <row r="39637" ht="12" customHeight="1"/>
    <row r="39638" ht="12" customHeight="1"/>
    <row r="39639" ht="12" customHeight="1"/>
    <row r="39640" ht="12" customHeight="1"/>
    <row r="39641" ht="12" customHeight="1"/>
    <row r="39642" ht="12" customHeight="1"/>
    <row r="39643" ht="12" customHeight="1"/>
    <row r="39644" ht="12" customHeight="1"/>
    <row r="39645" ht="12" customHeight="1"/>
    <row r="39646" ht="12" customHeight="1"/>
    <row r="39647" ht="12" customHeight="1"/>
    <row r="39648" ht="12" customHeight="1"/>
    <row r="39649" ht="12" customHeight="1"/>
    <row r="39650" ht="12" customHeight="1"/>
    <row r="39651" ht="12" customHeight="1"/>
    <row r="39652" ht="12" customHeight="1"/>
    <row r="39653" ht="12" customHeight="1"/>
    <row r="39654" ht="12" customHeight="1"/>
    <row r="39655" ht="12" customHeight="1"/>
    <row r="39656" ht="12" customHeight="1"/>
    <row r="39657" ht="12" customHeight="1"/>
    <row r="39658" ht="12" customHeight="1"/>
    <row r="39659" ht="12" customHeight="1"/>
    <row r="39660" ht="12" customHeight="1"/>
    <row r="39661" ht="12" customHeight="1"/>
    <row r="39662" ht="12" customHeight="1"/>
    <row r="39663" ht="12" customHeight="1"/>
    <row r="39664" ht="12" customHeight="1"/>
    <row r="39665" ht="12" customHeight="1"/>
    <row r="39666" ht="12" customHeight="1"/>
    <row r="39667" ht="12" customHeight="1"/>
    <row r="39668" ht="12" customHeight="1"/>
    <row r="39669" ht="12" customHeight="1"/>
    <row r="39670" ht="12" customHeight="1"/>
    <row r="39671" ht="12" customHeight="1"/>
    <row r="39672" ht="12" customHeight="1"/>
    <row r="39673" ht="12" customHeight="1"/>
    <row r="39674" ht="12" customHeight="1"/>
    <row r="39675" ht="12" customHeight="1"/>
    <row r="39676" ht="12" customHeight="1"/>
    <row r="39677" ht="12" customHeight="1"/>
    <row r="39678" ht="12" customHeight="1"/>
    <row r="39679" ht="12" customHeight="1"/>
    <row r="39680" ht="12" customHeight="1"/>
    <row r="39681" ht="12" customHeight="1"/>
    <row r="39682" ht="12" customHeight="1"/>
    <row r="39683" ht="12" customHeight="1"/>
    <row r="39684" ht="12" customHeight="1"/>
    <row r="39685" ht="12" customHeight="1"/>
    <row r="39686" ht="12" customHeight="1"/>
    <row r="39687" ht="12" customHeight="1"/>
    <row r="39688" ht="12" customHeight="1"/>
    <row r="39689" ht="12" customHeight="1"/>
    <row r="39690" ht="12" customHeight="1"/>
    <row r="39691" ht="12" customHeight="1"/>
    <row r="39692" ht="12" customHeight="1"/>
    <row r="39693" ht="12" customHeight="1"/>
    <row r="39694" ht="12" customHeight="1"/>
    <row r="39695" ht="12" customHeight="1"/>
    <row r="39696" ht="12" customHeight="1"/>
    <row r="39697" ht="12" customHeight="1"/>
    <row r="39698" ht="12" customHeight="1"/>
    <row r="39699" ht="12" customHeight="1"/>
    <row r="39700" ht="12" customHeight="1"/>
    <row r="39701" ht="12" customHeight="1"/>
    <row r="39702" ht="12" customHeight="1"/>
    <row r="39703" ht="12" customHeight="1"/>
    <row r="39704" ht="12" customHeight="1"/>
    <row r="39705" ht="12" customHeight="1"/>
    <row r="39706" ht="12" customHeight="1"/>
    <row r="39707" ht="12" customHeight="1"/>
    <row r="39708" ht="12" customHeight="1"/>
    <row r="39709" ht="12" customHeight="1"/>
    <row r="39710" ht="12" customHeight="1"/>
    <row r="39711" ht="12" customHeight="1"/>
    <row r="39712" ht="12" customHeight="1"/>
    <row r="39713" ht="12" customHeight="1"/>
    <row r="39714" ht="12" customHeight="1"/>
    <row r="39715" ht="12" customHeight="1"/>
    <row r="39716" ht="12" customHeight="1"/>
    <row r="39717" ht="12" customHeight="1"/>
    <row r="39718" ht="12" customHeight="1"/>
    <row r="39719" ht="12" customHeight="1"/>
    <row r="39720" ht="12" customHeight="1"/>
    <row r="39721" ht="12" customHeight="1"/>
    <row r="39722" ht="12" customHeight="1"/>
    <row r="39723" ht="12" customHeight="1"/>
    <row r="39724" ht="12" customHeight="1"/>
    <row r="39725" ht="12" customHeight="1"/>
    <row r="39726" ht="12" customHeight="1"/>
    <row r="39727" ht="12" customHeight="1"/>
    <row r="39728" ht="12" customHeight="1"/>
    <row r="39729" ht="12" customHeight="1"/>
    <row r="39730" ht="12" customHeight="1"/>
    <row r="39731" ht="12" customHeight="1"/>
    <row r="39732" ht="12" customHeight="1"/>
    <row r="39733" ht="12" customHeight="1"/>
    <row r="39734" ht="12" customHeight="1"/>
    <row r="39735" ht="12" customHeight="1"/>
    <row r="39736" ht="12" customHeight="1"/>
    <row r="39737" ht="12" customHeight="1"/>
    <row r="39738" ht="12" customHeight="1"/>
    <row r="39739" ht="12" customHeight="1"/>
    <row r="39740" ht="12" customHeight="1"/>
    <row r="39741" ht="12" customHeight="1"/>
    <row r="39742" ht="12" customHeight="1"/>
    <row r="39743" ht="12" customHeight="1"/>
    <row r="39744" ht="12" customHeight="1"/>
    <row r="39745" ht="12" customHeight="1"/>
    <row r="39746" ht="12" customHeight="1"/>
    <row r="39747" ht="12" customHeight="1"/>
    <row r="39748" ht="12" customHeight="1"/>
    <row r="39749" ht="12" customHeight="1"/>
    <row r="39750" ht="12" customHeight="1"/>
    <row r="39751" ht="12" customHeight="1"/>
    <row r="39752" ht="12" customHeight="1"/>
    <row r="39753" ht="12" customHeight="1"/>
    <row r="39754" ht="12" customHeight="1"/>
    <row r="39755" ht="12" customHeight="1"/>
    <row r="39756" ht="12" customHeight="1"/>
    <row r="39757" ht="12" customHeight="1"/>
    <row r="39758" ht="12" customHeight="1"/>
    <row r="39759" ht="12" customHeight="1"/>
    <row r="39760" ht="12" customHeight="1"/>
    <row r="39761" ht="12" customHeight="1"/>
    <row r="39762" ht="12" customHeight="1"/>
    <row r="39763" ht="12" customHeight="1"/>
    <row r="39764" ht="12" customHeight="1"/>
    <row r="39765" ht="12" customHeight="1"/>
    <row r="39766" ht="12" customHeight="1"/>
    <row r="39767" ht="12" customHeight="1"/>
    <row r="39768" ht="12" customHeight="1"/>
    <row r="39769" ht="12" customHeight="1"/>
    <row r="39770" ht="12" customHeight="1"/>
    <row r="39771" ht="12" customHeight="1"/>
    <row r="39772" ht="12" customHeight="1"/>
    <row r="39773" ht="12" customHeight="1"/>
    <row r="39774" ht="12" customHeight="1"/>
    <row r="39775" ht="12" customHeight="1"/>
    <row r="39776" ht="12" customHeight="1"/>
    <row r="39777" ht="12" customHeight="1"/>
    <row r="39778" ht="12" customHeight="1"/>
    <row r="39779" ht="12" customHeight="1"/>
    <row r="39780" ht="12" customHeight="1"/>
    <row r="39781" ht="12" customHeight="1"/>
    <row r="39782" ht="12" customHeight="1"/>
    <row r="39783" ht="12" customHeight="1"/>
    <row r="39784" ht="12" customHeight="1"/>
    <row r="39785" ht="12" customHeight="1"/>
    <row r="39786" ht="12" customHeight="1"/>
    <row r="39787" ht="12" customHeight="1"/>
    <row r="39788" ht="12" customHeight="1"/>
    <row r="39789" ht="12" customHeight="1"/>
    <row r="39790" ht="12" customHeight="1"/>
    <row r="39791" ht="12" customHeight="1"/>
    <row r="39792" ht="12" customHeight="1"/>
    <row r="39793" ht="12" customHeight="1"/>
    <row r="39794" ht="12" customHeight="1"/>
    <row r="39795" ht="12" customHeight="1"/>
    <row r="39796" ht="12" customHeight="1"/>
    <row r="39797" ht="12" customHeight="1"/>
    <row r="39798" ht="12" customHeight="1"/>
    <row r="39799" ht="12" customHeight="1"/>
    <row r="39800" ht="12" customHeight="1"/>
    <row r="39801" ht="12" customHeight="1"/>
    <row r="39802" ht="12" customHeight="1"/>
    <row r="39803" ht="12" customHeight="1"/>
    <row r="39804" ht="12" customHeight="1"/>
    <row r="39805" ht="12" customHeight="1"/>
    <row r="39806" ht="12" customHeight="1"/>
    <row r="39807" ht="12" customHeight="1"/>
    <row r="39808" ht="12" customHeight="1"/>
    <row r="39809" ht="12" customHeight="1"/>
    <row r="39810" ht="12" customHeight="1"/>
    <row r="39811" ht="12" customHeight="1"/>
    <row r="39812" ht="12" customHeight="1"/>
    <row r="39813" ht="12" customHeight="1"/>
    <row r="39814" ht="12" customHeight="1"/>
    <row r="39815" ht="12" customHeight="1"/>
    <row r="39816" ht="12" customHeight="1"/>
    <row r="39817" ht="12" customHeight="1"/>
    <row r="39818" ht="12" customHeight="1"/>
    <row r="39819" ht="12" customHeight="1"/>
    <row r="39820" ht="12" customHeight="1"/>
    <row r="39821" ht="12" customHeight="1"/>
    <row r="39822" ht="12" customHeight="1"/>
    <row r="39823" ht="12" customHeight="1"/>
    <row r="39824" ht="12" customHeight="1"/>
    <row r="39825" ht="12" customHeight="1"/>
    <row r="39826" ht="12" customHeight="1"/>
    <row r="39827" ht="12" customHeight="1"/>
    <row r="39828" ht="12" customHeight="1"/>
    <row r="39829" ht="12" customHeight="1"/>
    <row r="39830" ht="12" customHeight="1"/>
    <row r="39831" ht="12" customHeight="1"/>
    <row r="39832" ht="12" customHeight="1"/>
    <row r="39833" ht="12" customHeight="1"/>
    <row r="39834" ht="12" customHeight="1"/>
    <row r="39835" ht="12" customHeight="1"/>
    <row r="39836" ht="12" customHeight="1"/>
    <row r="39837" ht="12" customHeight="1"/>
    <row r="39838" ht="12" customHeight="1"/>
    <row r="39839" ht="12" customHeight="1"/>
    <row r="39840" ht="12" customHeight="1"/>
    <row r="39841" ht="12" customHeight="1"/>
    <row r="39842" ht="12" customHeight="1"/>
    <row r="39843" ht="12" customHeight="1"/>
    <row r="39844" ht="12" customHeight="1"/>
    <row r="39845" ht="12" customHeight="1"/>
    <row r="39846" ht="12" customHeight="1"/>
    <row r="39847" ht="12" customHeight="1"/>
    <row r="39848" ht="12" customHeight="1"/>
    <row r="39849" ht="12" customHeight="1"/>
    <row r="39850" ht="12" customHeight="1"/>
    <row r="39851" ht="12" customHeight="1"/>
    <row r="39852" ht="12" customHeight="1"/>
    <row r="39853" ht="12" customHeight="1"/>
    <row r="39854" ht="12" customHeight="1"/>
    <row r="39855" ht="12" customHeight="1"/>
    <row r="39856" ht="12" customHeight="1"/>
    <row r="39857" ht="12" customHeight="1"/>
    <row r="39858" ht="12" customHeight="1"/>
    <row r="39859" ht="12" customHeight="1"/>
    <row r="39860" ht="12" customHeight="1"/>
    <row r="39861" ht="12" customHeight="1"/>
    <row r="39862" ht="12" customHeight="1"/>
    <row r="39863" ht="12" customHeight="1"/>
    <row r="39864" ht="12" customHeight="1"/>
    <row r="39865" ht="12" customHeight="1"/>
    <row r="39866" ht="12" customHeight="1"/>
    <row r="39867" ht="12" customHeight="1"/>
    <row r="39868" ht="12" customHeight="1"/>
    <row r="39869" ht="12" customHeight="1"/>
    <row r="39870" ht="12" customHeight="1"/>
    <row r="39871" ht="12" customHeight="1"/>
    <row r="39872" ht="12" customHeight="1"/>
    <row r="39873" ht="12" customHeight="1"/>
    <row r="39874" ht="12" customHeight="1"/>
    <row r="39875" ht="12" customHeight="1"/>
    <row r="39876" ht="12" customHeight="1"/>
    <row r="39877" ht="12" customHeight="1"/>
    <row r="39878" ht="12" customHeight="1"/>
    <row r="39879" ht="12" customHeight="1"/>
    <row r="39880" ht="12" customHeight="1"/>
    <row r="39881" ht="12" customHeight="1"/>
    <row r="39882" ht="12" customHeight="1"/>
    <row r="39883" ht="12" customHeight="1"/>
    <row r="39884" ht="12" customHeight="1"/>
    <row r="39885" ht="12" customHeight="1"/>
    <row r="39886" ht="12" customHeight="1"/>
    <row r="39887" ht="12" customHeight="1"/>
    <row r="39888" ht="12" customHeight="1"/>
    <row r="39889" ht="12" customHeight="1"/>
    <row r="39890" ht="12" customHeight="1"/>
    <row r="39891" ht="12" customHeight="1"/>
    <row r="39892" ht="12" customHeight="1"/>
    <row r="39893" ht="12" customHeight="1"/>
    <row r="39894" ht="12" customHeight="1"/>
    <row r="39895" ht="12" customHeight="1"/>
    <row r="39896" ht="12" customHeight="1"/>
    <row r="39897" ht="12" customHeight="1"/>
    <row r="39898" ht="12" customHeight="1"/>
    <row r="39899" ht="12" customHeight="1"/>
    <row r="39900" ht="12" customHeight="1"/>
    <row r="39901" ht="12" customHeight="1"/>
    <row r="39902" ht="12" customHeight="1"/>
    <row r="39903" ht="12" customHeight="1"/>
    <row r="39904" ht="12" customHeight="1"/>
    <row r="39905" ht="12" customHeight="1"/>
    <row r="39906" ht="12" customHeight="1"/>
    <row r="39907" ht="12" customHeight="1"/>
    <row r="39908" ht="12" customHeight="1"/>
    <row r="39909" ht="12" customHeight="1"/>
    <row r="39910" ht="12" customHeight="1"/>
    <row r="39911" ht="12" customHeight="1"/>
    <row r="39912" ht="12" customHeight="1"/>
    <row r="39913" ht="12" customHeight="1"/>
    <row r="39914" ht="12" customHeight="1"/>
    <row r="39915" ht="12" customHeight="1"/>
    <row r="39916" ht="12" customHeight="1"/>
    <row r="39917" ht="12" customHeight="1"/>
    <row r="39918" ht="12" customHeight="1"/>
    <row r="39919" ht="12" customHeight="1"/>
    <row r="39920" ht="12" customHeight="1"/>
    <row r="39921" ht="12" customHeight="1"/>
    <row r="39922" ht="12" customHeight="1"/>
    <row r="39923" ht="12" customHeight="1"/>
    <row r="39924" ht="12" customHeight="1"/>
    <row r="39925" ht="12" customHeight="1"/>
    <row r="39926" ht="12" customHeight="1"/>
    <row r="39927" ht="12" customHeight="1"/>
    <row r="39928" ht="12" customHeight="1"/>
    <row r="39929" ht="12" customHeight="1"/>
    <row r="39930" ht="12" customHeight="1"/>
    <row r="39931" ht="12" customHeight="1"/>
    <row r="39932" ht="12" customHeight="1"/>
    <row r="39933" ht="12" customHeight="1"/>
    <row r="39934" ht="12" customHeight="1"/>
    <row r="39935" ht="12" customHeight="1"/>
    <row r="39936" ht="12" customHeight="1"/>
    <row r="39937" ht="12" customHeight="1"/>
    <row r="39938" ht="12" customHeight="1"/>
    <row r="39939" ht="12" customHeight="1"/>
    <row r="39940" ht="12" customHeight="1"/>
    <row r="39941" ht="12" customHeight="1"/>
    <row r="39942" ht="12" customHeight="1"/>
    <row r="39943" ht="12" customHeight="1"/>
    <row r="39944" ht="12" customHeight="1"/>
    <row r="39945" ht="12" customHeight="1"/>
    <row r="39946" ht="12" customHeight="1"/>
    <row r="39947" ht="12" customHeight="1"/>
    <row r="39948" ht="12" customHeight="1"/>
    <row r="39949" ht="12" customHeight="1"/>
    <row r="39950" ht="12" customHeight="1"/>
    <row r="39951" ht="12" customHeight="1"/>
    <row r="39952" ht="12" customHeight="1"/>
    <row r="39953" ht="12" customHeight="1"/>
    <row r="39954" ht="12" customHeight="1"/>
    <row r="39955" ht="12" customHeight="1"/>
    <row r="39956" ht="12" customHeight="1"/>
    <row r="39957" ht="12" customHeight="1"/>
    <row r="39958" ht="12" customHeight="1"/>
    <row r="39959" ht="12" customHeight="1"/>
    <row r="39960" ht="12" customHeight="1"/>
    <row r="39961" ht="12" customHeight="1"/>
    <row r="39962" ht="12" customHeight="1"/>
    <row r="39963" ht="12" customHeight="1"/>
    <row r="39964" ht="12" customHeight="1"/>
    <row r="39965" ht="12" customHeight="1"/>
    <row r="39966" ht="12" customHeight="1"/>
    <row r="39967" ht="12" customHeight="1"/>
    <row r="39968" ht="12" customHeight="1"/>
    <row r="39969" ht="12" customHeight="1"/>
    <row r="39970" ht="12" customHeight="1"/>
    <row r="39971" ht="12" customHeight="1"/>
    <row r="39972" ht="12" customHeight="1"/>
    <row r="39973" ht="12" customHeight="1"/>
    <row r="39974" ht="12" customHeight="1"/>
    <row r="39975" ht="12" customHeight="1"/>
    <row r="39976" ht="12" customHeight="1"/>
    <row r="39977" ht="12" customHeight="1"/>
    <row r="39978" ht="12" customHeight="1"/>
    <row r="39979" ht="12" customHeight="1"/>
    <row r="39980" ht="12" customHeight="1"/>
    <row r="39981" ht="12" customHeight="1"/>
    <row r="39982" ht="12" customHeight="1"/>
    <row r="39983" ht="12" customHeight="1"/>
    <row r="39984" ht="12" customHeight="1"/>
    <row r="39985" ht="12" customHeight="1"/>
    <row r="39986" ht="12" customHeight="1"/>
    <row r="39987" ht="12" customHeight="1"/>
    <row r="39988" ht="12" customHeight="1"/>
    <row r="39989" ht="12" customHeight="1"/>
    <row r="39990" ht="12" customHeight="1"/>
    <row r="39991" ht="12" customHeight="1"/>
    <row r="39992" ht="12" customHeight="1"/>
    <row r="39993" ht="12" customHeight="1"/>
    <row r="39994" ht="12" customHeight="1"/>
    <row r="39995" ht="12" customHeight="1"/>
    <row r="39996" ht="12" customHeight="1"/>
    <row r="39997" ht="12" customHeight="1"/>
    <row r="39998" ht="12" customHeight="1"/>
    <row r="39999" ht="12" customHeight="1"/>
    <row r="40000" ht="12" customHeight="1"/>
    <row r="40001" ht="12" customHeight="1"/>
    <row r="40002" ht="12" customHeight="1"/>
    <row r="40003" ht="12" customHeight="1"/>
    <row r="40004" ht="12" customHeight="1"/>
    <row r="40005" ht="12" customHeight="1"/>
    <row r="40006" ht="12" customHeight="1"/>
    <row r="40007" ht="12" customHeight="1"/>
    <row r="40008" ht="12" customHeight="1"/>
    <row r="40009" ht="12" customHeight="1"/>
    <row r="40010" ht="12" customHeight="1"/>
    <row r="40011" ht="12" customHeight="1"/>
    <row r="40012" ht="12" customHeight="1"/>
    <row r="40013" ht="12" customHeight="1"/>
    <row r="40014" ht="12" customHeight="1"/>
    <row r="40015" ht="12" customHeight="1"/>
    <row r="40016" ht="12" customHeight="1"/>
    <row r="40017" ht="12" customHeight="1"/>
    <row r="40018" ht="12" customHeight="1"/>
    <row r="40019" ht="12" customHeight="1"/>
    <row r="40020" ht="12" customHeight="1"/>
    <row r="40021" ht="12" customHeight="1"/>
    <row r="40022" ht="12" customHeight="1"/>
    <row r="40023" ht="12" customHeight="1"/>
    <row r="40024" ht="12" customHeight="1"/>
    <row r="40025" ht="12" customHeight="1"/>
    <row r="40026" ht="12" customHeight="1"/>
    <row r="40027" ht="12" customHeight="1"/>
    <row r="40028" ht="12" customHeight="1"/>
    <row r="40029" ht="12" customHeight="1"/>
    <row r="40030" ht="12" customHeight="1"/>
    <row r="40031" ht="12" customHeight="1"/>
    <row r="40032" ht="12" customHeight="1"/>
    <row r="40033" ht="12" customHeight="1"/>
    <row r="40034" ht="12" customHeight="1"/>
    <row r="40035" ht="12" customHeight="1"/>
    <row r="40036" ht="12" customHeight="1"/>
    <row r="40037" ht="12" customHeight="1"/>
    <row r="40038" ht="12" customHeight="1"/>
    <row r="40039" ht="12" customHeight="1"/>
    <row r="40040" ht="12" customHeight="1"/>
    <row r="40041" ht="12" customHeight="1"/>
    <row r="40042" ht="12" customHeight="1"/>
    <row r="40043" ht="12" customHeight="1"/>
    <row r="40044" ht="12" customHeight="1"/>
    <row r="40045" ht="12" customHeight="1"/>
    <row r="40046" ht="12" customHeight="1"/>
    <row r="40047" ht="12" customHeight="1"/>
    <row r="40048" ht="12" customHeight="1"/>
    <row r="40049" ht="12" customHeight="1"/>
    <row r="40050" ht="12" customHeight="1"/>
    <row r="40051" ht="12" customHeight="1"/>
    <row r="40052" ht="12" customHeight="1"/>
    <row r="40053" ht="12" customHeight="1"/>
    <row r="40054" ht="12" customHeight="1"/>
    <row r="40055" ht="12" customHeight="1"/>
    <row r="40056" ht="12" customHeight="1"/>
    <row r="40057" ht="12" customHeight="1"/>
    <row r="40058" ht="12" customHeight="1"/>
    <row r="40059" ht="12" customHeight="1"/>
    <row r="40060" ht="12" customHeight="1"/>
    <row r="40061" ht="12" customHeight="1"/>
    <row r="40062" ht="12" customHeight="1"/>
    <row r="40063" ht="12" customHeight="1"/>
    <row r="40064" ht="12" customHeight="1"/>
    <row r="40065" ht="12" customHeight="1"/>
    <row r="40066" ht="12" customHeight="1"/>
    <row r="40067" ht="12" customHeight="1"/>
    <row r="40068" ht="12" customHeight="1"/>
    <row r="40069" ht="12" customHeight="1"/>
    <row r="40070" ht="12" customHeight="1"/>
    <row r="40071" ht="12" customHeight="1"/>
    <row r="40072" ht="12" customHeight="1"/>
    <row r="40073" ht="12" customHeight="1"/>
    <row r="40074" ht="12" customHeight="1"/>
    <row r="40075" ht="12" customHeight="1"/>
    <row r="40076" ht="12" customHeight="1"/>
    <row r="40077" ht="12" customHeight="1"/>
    <row r="40078" ht="12" customHeight="1"/>
    <row r="40079" ht="12" customHeight="1"/>
    <row r="40080" ht="12" customHeight="1"/>
    <row r="40081" ht="12" customHeight="1"/>
    <row r="40082" ht="12" customHeight="1"/>
    <row r="40083" ht="12" customHeight="1"/>
    <row r="40084" ht="12" customHeight="1"/>
    <row r="40085" ht="12" customHeight="1"/>
    <row r="40086" ht="12" customHeight="1"/>
    <row r="40087" ht="12" customHeight="1"/>
    <row r="40088" ht="12" customHeight="1"/>
    <row r="40089" ht="12" customHeight="1"/>
    <row r="40090" ht="12" customHeight="1"/>
    <row r="40091" ht="12" customHeight="1"/>
    <row r="40092" ht="12" customHeight="1"/>
    <row r="40093" ht="12" customHeight="1"/>
    <row r="40094" ht="12" customHeight="1"/>
    <row r="40095" ht="12" customHeight="1"/>
    <row r="40096" ht="12" customHeight="1"/>
    <row r="40097" ht="12" customHeight="1"/>
    <row r="40098" ht="12" customHeight="1"/>
    <row r="40099" ht="12" customHeight="1"/>
    <row r="40100" ht="12" customHeight="1"/>
    <row r="40101" ht="12" customHeight="1"/>
    <row r="40102" ht="12" customHeight="1"/>
    <row r="40103" ht="12" customHeight="1"/>
    <row r="40104" ht="12" customHeight="1"/>
    <row r="40105" ht="12" customHeight="1"/>
    <row r="40106" ht="12" customHeight="1"/>
    <row r="40107" ht="12" customHeight="1"/>
    <row r="40108" ht="12" customHeight="1"/>
    <row r="40109" ht="12" customHeight="1"/>
    <row r="40110" ht="12" customHeight="1"/>
    <row r="40111" ht="12" customHeight="1"/>
    <row r="40112" ht="12" customHeight="1"/>
    <row r="40113" ht="12" customHeight="1"/>
    <row r="40114" ht="12" customHeight="1"/>
    <row r="40115" ht="12" customHeight="1"/>
    <row r="40116" ht="12" customHeight="1"/>
    <row r="40117" ht="12" customHeight="1"/>
    <row r="40118" ht="12" customHeight="1"/>
    <row r="40119" ht="12" customHeight="1"/>
    <row r="40120" ht="12" customHeight="1"/>
    <row r="40121" ht="12" customHeight="1"/>
    <row r="40122" ht="12" customHeight="1"/>
    <row r="40123" ht="12" customHeight="1"/>
    <row r="40124" ht="12" customHeight="1"/>
    <row r="40125" ht="12" customHeight="1"/>
    <row r="40126" ht="12" customHeight="1"/>
    <row r="40127" ht="12" customHeight="1"/>
    <row r="40128" ht="12" customHeight="1"/>
    <row r="40129" ht="12" customHeight="1"/>
    <row r="40130" ht="12" customHeight="1"/>
    <row r="40131" ht="12" customHeight="1"/>
    <row r="40132" ht="12" customHeight="1"/>
    <row r="40133" ht="12" customHeight="1"/>
    <row r="40134" ht="12" customHeight="1"/>
    <row r="40135" ht="12" customHeight="1"/>
    <row r="40136" ht="12" customHeight="1"/>
    <row r="40137" ht="12" customHeight="1"/>
    <row r="40138" ht="12" customHeight="1"/>
    <row r="40139" ht="12" customHeight="1"/>
    <row r="40140" ht="12" customHeight="1"/>
    <row r="40141" ht="12" customHeight="1"/>
    <row r="40142" ht="12" customHeight="1"/>
    <row r="40143" ht="12" customHeight="1"/>
    <row r="40144" ht="12" customHeight="1"/>
    <row r="40145" ht="12" customHeight="1"/>
    <row r="40146" ht="12" customHeight="1"/>
    <row r="40147" ht="12" customHeight="1"/>
    <row r="40148" ht="12" customHeight="1"/>
    <row r="40149" ht="12" customHeight="1"/>
    <row r="40150" ht="12" customHeight="1"/>
    <row r="40151" ht="12" customHeight="1"/>
    <row r="40152" ht="12" customHeight="1"/>
    <row r="40153" ht="12" customHeight="1"/>
    <row r="40154" ht="12" customHeight="1"/>
    <row r="40155" ht="12" customHeight="1"/>
    <row r="40156" ht="12" customHeight="1"/>
    <row r="40157" ht="12" customHeight="1"/>
    <row r="40158" ht="12" customHeight="1"/>
    <row r="40159" ht="12" customHeight="1"/>
    <row r="40160" ht="12" customHeight="1"/>
    <row r="40161" ht="12" customHeight="1"/>
    <row r="40162" ht="12" customHeight="1"/>
    <row r="40163" ht="12" customHeight="1"/>
    <row r="40164" ht="12" customHeight="1"/>
    <row r="40165" ht="12" customHeight="1"/>
    <row r="40166" ht="12" customHeight="1"/>
    <row r="40167" ht="12" customHeight="1"/>
    <row r="40168" ht="12" customHeight="1"/>
    <row r="40169" ht="12" customHeight="1"/>
    <row r="40170" ht="12" customHeight="1"/>
    <row r="40171" ht="12" customHeight="1"/>
    <row r="40172" ht="12" customHeight="1"/>
    <row r="40173" ht="12" customHeight="1"/>
    <row r="40174" ht="12" customHeight="1"/>
    <row r="40175" ht="12" customHeight="1"/>
    <row r="40176" ht="12" customHeight="1"/>
    <row r="40177" ht="12" customHeight="1"/>
    <row r="40178" ht="12" customHeight="1"/>
    <row r="40179" ht="12" customHeight="1"/>
    <row r="40180" ht="12" customHeight="1"/>
    <row r="40181" ht="12" customHeight="1"/>
    <row r="40182" ht="12" customHeight="1"/>
    <row r="40183" ht="12" customHeight="1"/>
    <row r="40184" ht="12" customHeight="1"/>
    <row r="40185" ht="12" customHeight="1"/>
    <row r="40186" ht="12" customHeight="1"/>
    <row r="40187" ht="12" customHeight="1"/>
    <row r="40188" ht="12" customHeight="1"/>
    <row r="40189" ht="12" customHeight="1"/>
    <row r="40190" ht="12" customHeight="1"/>
    <row r="40191" ht="12" customHeight="1"/>
    <row r="40192" ht="12" customHeight="1"/>
    <row r="40193" ht="12" customHeight="1"/>
    <row r="40194" ht="12" customHeight="1"/>
    <row r="40195" ht="12" customHeight="1"/>
    <row r="40196" ht="12" customHeight="1"/>
    <row r="40197" ht="12" customHeight="1"/>
    <row r="40198" ht="12" customHeight="1"/>
    <row r="40199" ht="12" customHeight="1"/>
    <row r="40200" ht="12" customHeight="1"/>
    <row r="40201" ht="12" customHeight="1"/>
    <row r="40202" ht="12" customHeight="1"/>
    <row r="40203" ht="12" customHeight="1"/>
    <row r="40204" ht="12" customHeight="1"/>
    <row r="40205" ht="12" customHeight="1"/>
    <row r="40206" ht="12" customHeight="1"/>
    <row r="40207" ht="12" customHeight="1"/>
    <row r="40208" ht="12" customHeight="1"/>
    <row r="40209" ht="12" customHeight="1"/>
    <row r="40210" ht="12" customHeight="1"/>
    <row r="40211" ht="12" customHeight="1"/>
    <row r="40212" ht="12" customHeight="1"/>
    <row r="40213" ht="12" customHeight="1"/>
    <row r="40214" ht="12" customHeight="1"/>
    <row r="40215" ht="12" customHeight="1"/>
    <row r="40216" ht="12" customHeight="1"/>
    <row r="40217" ht="12" customHeight="1"/>
    <row r="40218" ht="12" customHeight="1"/>
    <row r="40219" ht="12" customHeight="1"/>
    <row r="40220" ht="12" customHeight="1"/>
    <row r="40221" ht="12" customHeight="1"/>
    <row r="40222" ht="12" customHeight="1"/>
    <row r="40223" ht="12" customHeight="1"/>
    <row r="40224" ht="12" customHeight="1"/>
    <row r="40225" ht="12" customHeight="1"/>
    <row r="40226" ht="12" customHeight="1"/>
    <row r="40227" ht="12" customHeight="1"/>
    <row r="40228" ht="12" customHeight="1"/>
    <row r="40229" ht="12" customHeight="1"/>
    <row r="40230" ht="12" customHeight="1"/>
    <row r="40231" ht="12" customHeight="1"/>
    <row r="40232" ht="12" customHeight="1"/>
    <row r="40233" ht="12" customHeight="1"/>
    <row r="40234" ht="12" customHeight="1"/>
    <row r="40235" ht="12" customHeight="1"/>
    <row r="40236" ht="12" customHeight="1"/>
    <row r="40237" ht="12" customHeight="1"/>
    <row r="40238" ht="12" customHeight="1"/>
    <row r="40239" ht="12" customHeight="1"/>
    <row r="40240" ht="12" customHeight="1"/>
    <row r="40241" ht="12" customHeight="1"/>
    <row r="40242" ht="12" customHeight="1"/>
    <row r="40243" ht="12" customHeight="1"/>
    <row r="40244" ht="12" customHeight="1"/>
    <row r="40245" ht="12" customHeight="1"/>
    <row r="40246" ht="12" customHeight="1"/>
    <row r="40247" ht="12" customHeight="1"/>
    <row r="40248" ht="12" customHeight="1"/>
    <row r="40249" ht="12" customHeight="1"/>
    <row r="40250" ht="12" customHeight="1"/>
    <row r="40251" ht="12" customHeight="1"/>
    <row r="40252" ht="12" customHeight="1"/>
    <row r="40253" ht="12" customHeight="1"/>
    <row r="40254" ht="12" customHeight="1"/>
    <row r="40255" ht="12" customHeight="1"/>
    <row r="40256" ht="12" customHeight="1"/>
    <row r="40257" ht="12" customHeight="1"/>
    <row r="40258" ht="12" customHeight="1"/>
    <row r="40259" ht="12" customHeight="1"/>
    <row r="40260" ht="12" customHeight="1"/>
    <row r="40261" ht="12" customHeight="1"/>
    <row r="40262" ht="12" customHeight="1"/>
    <row r="40263" ht="12" customHeight="1"/>
    <row r="40264" ht="12" customHeight="1"/>
    <row r="40265" ht="12" customHeight="1"/>
    <row r="40266" ht="12" customHeight="1"/>
    <row r="40267" ht="12" customHeight="1"/>
    <row r="40268" ht="12" customHeight="1"/>
    <row r="40269" ht="12" customHeight="1"/>
    <row r="40270" ht="12" customHeight="1"/>
    <row r="40271" ht="12" customHeight="1"/>
    <row r="40272" ht="12" customHeight="1"/>
    <row r="40273" ht="12" customHeight="1"/>
    <row r="40274" ht="12" customHeight="1"/>
    <row r="40275" ht="12" customHeight="1"/>
    <row r="40276" ht="12" customHeight="1"/>
    <row r="40277" ht="12" customHeight="1"/>
    <row r="40278" ht="12" customHeight="1"/>
    <row r="40279" ht="12" customHeight="1"/>
    <row r="40280" ht="12" customHeight="1"/>
    <row r="40281" ht="12" customHeight="1"/>
    <row r="40282" ht="12" customHeight="1"/>
    <row r="40283" ht="12" customHeight="1"/>
    <row r="40284" ht="12" customHeight="1"/>
    <row r="40285" ht="12" customHeight="1"/>
    <row r="40286" ht="12" customHeight="1"/>
    <row r="40287" ht="12" customHeight="1"/>
    <row r="40288" ht="12" customHeight="1"/>
    <row r="40289" ht="12" customHeight="1"/>
    <row r="40290" ht="12" customHeight="1"/>
    <row r="40291" ht="12" customHeight="1"/>
    <row r="40292" ht="12" customHeight="1"/>
    <row r="40293" ht="12" customHeight="1"/>
    <row r="40294" ht="12" customHeight="1"/>
    <row r="40295" ht="12" customHeight="1"/>
    <row r="40296" ht="12" customHeight="1"/>
    <row r="40297" ht="12" customHeight="1"/>
    <row r="40298" ht="12" customHeight="1"/>
    <row r="40299" ht="12" customHeight="1"/>
    <row r="40300" ht="12" customHeight="1"/>
    <row r="40301" ht="12" customHeight="1"/>
    <row r="40302" ht="12" customHeight="1"/>
    <row r="40303" ht="12" customHeight="1"/>
    <row r="40304" ht="12" customHeight="1"/>
    <row r="40305" ht="12" customHeight="1"/>
    <row r="40306" ht="12" customHeight="1"/>
    <row r="40307" ht="12" customHeight="1"/>
    <row r="40308" ht="12" customHeight="1"/>
    <row r="40309" ht="12" customHeight="1"/>
    <row r="40310" ht="12" customHeight="1"/>
    <row r="40311" ht="12" customHeight="1"/>
    <row r="40312" ht="12" customHeight="1"/>
    <row r="40313" ht="12" customHeight="1"/>
    <row r="40314" ht="12" customHeight="1"/>
    <row r="40315" ht="12" customHeight="1"/>
    <row r="40316" ht="12" customHeight="1"/>
    <row r="40317" ht="12" customHeight="1"/>
    <row r="40318" ht="12" customHeight="1"/>
    <row r="40319" ht="12" customHeight="1"/>
    <row r="40320" ht="12" customHeight="1"/>
    <row r="40321" ht="12" customHeight="1"/>
    <row r="40322" ht="12" customHeight="1"/>
    <row r="40323" ht="12" customHeight="1"/>
    <row r="40324" ht="12" customHeight="1"/>
    <row r="40325" ht="12" customHeight="1"/>
    <row r="40326" ht="12" customHeight="1"/>
    <row r="40327" ht="12" customHeight="1"/>
    <row r="40328" ht="12" customHeight="1"/>
    <row r="40329" ht="12" customHeight="1"/>
    <row r="40330" ht="12" customHeight="1"/>
    <row r="40331" ht="12" customHeight="1"/>
    <row r="40332" ht="12" customHeight="1"/>
    <row r="40333" ht="12" customHeight="1"/>
    <row r="40334" ht="12" customHeight="1"/>
    <row r="40335" ht="12" customHeight="1"/>
    <row r="40336" ht="12" customHeight="1"/>
    <row r="40337" ht="12" customHeight="1"/>
    <row r="40338" ht="12" customHeight="1"/>
    <row r="40339" ht="12" customHeight="1"/>
    <row r="40340" ht="12" customHeight="1"/>
    <row r="40341" ht="12" customHeight="1"/>
    <row r="40342" ht="12" customHeight="1"/>
    <row r="40343" ht="12" customHeight="1"/>
    <row r="40344" ht="12" customHeight="1"/>
    <row r="40345" ht="12" customHeight="1"/>
    <row r="40346" ht="12" customHeight="1"/>
    <row r="40347" ht="12" customHeight="1"/>
    <row r="40348" ht="12" customHeight="1"/>
    <row r="40349" ht="12" customHeight="1"/>
    <row r="40350" ht="12" customHeight="1"/>
    <row r="40351" ht="12" customHeight="1"/>
    <row r="40352" ht="12" customHeight="1"/>
    <row r="40353" ht="12" customHeight="1"/>
    <row r="40354" ht="12" customHeight="1"/>
    <row r="40355" ht="12" customHeight="1"/>
    <row r="40356" ht="12" customHeight="1"/>
    <row r="40357" ht="12" customHeight="1"/>
    <row r="40358" ht="12" customHeight="1"/>
    <row r="40359" ht="12" customHeight="1"/>
    <row r="40360" ht="12" customHeight="1"/>
    <row r="40361" ht="12" customHeight="1"/>
    <row r="40362" ht="12" customHeight="1"/>
    <row r="40363" ht="12" customHeight="1"/>
    <row r="40364" ht="12" customHeight="1"/>
    <row r="40365" ht="12" customHeight="1"/>
    <row r="40366" ht="12" customHeight="1"/>
    <row r="40367" ht="12" customHeight="1"/>
    <row r="40368" ht="12" customHeight="1"/>
    <row r="40369" ht="12" customHeight="1"/>
    <row r="40370" ht="12" customHeight="1"/>
    <row r="40371" ht="12" customHeight="1"/>
    <row r="40372" ht="12" customHeight="1"/>
    <row r="40373" ht="12" customHeight="1"/>
    <row r="40374" ht="12" customHeight="1"/>
    <row r="40375" ht="12" customHeight="1"/>
    <row r="40376" ht="12" customHeight="1"/>
    <row r="40377" ht="12" customHeight="1"/>
    <row r="40378" ht="12" customHeight="1"/>
    <row r="40379" ht="12" customHeight="1"/>
    <row r="40380" ht="12" customHeight="1"/>
    <row r="40381" ht="12" customHeight="1"/>
    <row r="40382" ht="12" customHeight="1"/>
    <row r="40383" ht="12" customHeight="1"/>
    <row r="40384" ht="12" customHeight="1"/>
    <row r="40385" ht="12" customHeight="1"/>
    <row r="40386" ht="12" customHeight="1"/>
    <row r="40387" ht="12" customHeight="1"/>
    <row r="40388" ht="12" customHeight="1"/>
    <row r="40389" ht="12" customHeight="1"/>
    <row r="40390" ht="12" customHeight="1"/>
    <row r="40391" ht="12" customHeight="1"/>
    <row r="40392" ht="12" customHeight="1"/>
    <row r="40393" ht="12" customHeight="1"/>
    <row r="40394" ht="12" customHeight="1"/>
    <row r="40395" ht="12" customHeight="1"/>
    <row r="40396" ht="12" customHeight="1"/>
    <row r="40397" ht="12" customHeight="1"/>
    <row r="40398" ht="12" customHeight="1"/>
    <row r="40399" ht="12" customHeight="1"/>
    <row r="40400" ht="12" customHeight="1"/>
    <row r="40401" ht="12" customHeight="1"/>
    <row r="40402" ht="12" customHeight="1"/>
    <row r="40403" ht="12" customHeight="1"/>
    <row r="40404" ht="12" customHeight="1"/>
    <row r="40405" ht="12" customHeight="1"/>
    <row r="40406" ht="12" customHeight="1"/>
    <row r="40407" ht="12" customHeight="1"/>
    <row r="40408" ht="12" customHeight="1"/>
    <row r="40409" ht="12" customHeight="1"/>
    <row r="40410" ht="12" customHeight="1"/>
    <row r="40411" ht="12" customHeight="1"/>
    <row r="40412" ht="12" customHeight="1"/>
    <row r="40413" ht="12" customHeight="1"/>
    <row r="40414" ht="12" customHeight="1"/>
    <row r="40415" ht="12" customHeight="1"/>
    <row r="40416" ht="12" customHeight="1"/>
    <row r="40417" ht="12" customHeight="1"/>
    <row r="40418" ht="12" customHeight="1"/>
    <row r="40419" ht="12" customHeight="1"/>
    <row r="40420" ht="12" customHeight="1"/>
    <row r="40421" ht="12" customHeight="1"/>
    <row r="40422" ht="12" customHeight="1"/>
    <row r="40423" ht="12" customHeight="1"/>
    <row r="40424" ht="12" customHeight="1"/>
    <row r="40425" ht="12" customHeight="1"/>
    <row r="40426" ht="12" customHeight="1"/>
    <row r="40427" ht="12" customHeight="1"/>
    <row r="40428" ht="12" customHeight="1"/>
    <row r="40429" ht="12" customHeight="1"/>
    <row r="40430" ht="12" customHeight="1"/>
    <row r="40431" ht="12" customHeight="1"/>
    <row r="40432" ht="12" customHeight="1"/>
    <row r="40433" ht="12" customHeight="1"/>
    <row r="40434" ht="12" customHeight="1"/>
    <row r="40435" ht="12" customHeight="1"/>
    <row r="40436" ht="12" customHeight="1"/>
    <row r="40437" ht="12" customHeight="1"/>
    <row r="40438" ht="12" customHeight="1"/>
    <row r="40439" ht="12" customHeight="1"/>
    <row r="40440" ht="12" customHeight="1"/>
    <row r="40441" ht="12" customHeight="1"/>
    <row r="40442" ht="12" customHeight="1"/>
    <row r="40443" ht="12" customHeight="1"/>
    <row r="40444" ht="12" customHeight="1"/>
    <row r="40445" ht="12" customHeight="1"/>
    <row r="40446" ht="12" customHeight="1"/>
    <row r="40447" ht="12" customHeight="1"/>
    <row r="40448" ht="12" customHeight="1"/>
    <row r="40449" ht="12" customHeight="1"/>
    <row r="40450" ht="12" customHeight="1"/>
    <row r="40451" ht="12" customHeight="1"/>
    <row r="40452" ht="12" customHeight="1"/>
    <row r="40453" ht="12" customHeight="1"/>
    <row r="40454" ht="12" customHeight="1"/>
    <row r="40455" ht="12" customHeight="1"/>
    <row r="40456" ht="12" customHeight="1"/>
    <row r="40457" ht="12" customHeight="1"/>
    <row r="40458" ht="12" customHeight="1"/>
    <row r="40459" ht="12" customHeight="1"/>
    <row r="40460" ht="12" customHeight="1"/>
    <row r="40461" ht="12" customHeight="1"/>
    <row r="40462" ht="12" customHeight="1"/>
    <row r="40463" ht="12" customHeight="1"/>
    <row r="40464" ht="12" customHeight="1"/>
    <row r="40465" ht="12" customHeight="1"/>
    <row r="40466" ht="12" customHeight="1"/>
    <row r="40467" ht="12" customHeight="1"/>
    <row r="40468" ht="12" customHeight="1"/>
    <row r="40469" ht="12" customHeight="1"/>
    <row r="40470" ht="12" customHeight="1"/>
    <row r="40471" ht="12" customHeight="1"/>
    <row r="40472" ht="12" customHeight="1"/>
    <row r="40473" ht="12" customHeight="1"/>
    <row r="40474" ht="12" customHeight="1"/>
    <row r="40475" ht="12" customHeight="1"/>
    <row r="40476" ht="12" customHeight="1"/>
    <row r="40477" ht="12" customHeight="1"/>
    <row r="40478" ht="12" customHeight="1"/>
    <row r="40479" ht="12" customHeight="1"/>
    <row r="40480" ht="12" customHeight="1"/>
    <row r="40481" ht="12" customHeight="1"/>
    <row r="40482" ht="12" customHeight="1"/>
    <row r="40483" ht="12" customHeight="1"/>
    <row r="40484" ht="12" customHeight="1"/>
    <row r="40485" ht="12" customHeight="1"/>
    <row r="40486" ht="12" customHeight="1"/>
    <row r="40487" ht="12" customHeight="1"/>
    <row r="40488" ht="12" customHeight="1"/>
    <row r="40489" ht="12" customHeight="1"/>
    <row r="40490" ht="12" customHeight="1"/>
    <row r="40491" ht="12" customHeight="1"/>
    <row r="40492" ht="12" customHeight="1"/>
    <row r="40493" ht="12" customHeight="1"/>
    <row r="40494" ht="12" customHeight="1"/>
    <row r="40495" ht="12" customHeight="1"/>
    <row r="40496" ht="12" customHeight="1"/>
    <row r="40497" ht="12" customHeight="1"/>
    <row r="40498" ht="12" customHeight="1"/>
    <row r="40499" ht="12" customHeight="1"/>
    <row r="40500" ht="12" customHeight="1"/>
    <row r="40501" ht="12" customHeight="1"/>
    <row r="40502" ht="12" customHeight="1"/>
    <row r="40503" ht="12" customHeight="1"/>
    <row r="40504" ht="12" customHeight="1"/>
    <row r="40505" ht="12" customHeight="1"/>
    <row r="40506" ht="12" customHeight="1"/>
    <row r="40507" ht="12" customHeight="1"/>
    <row r="40508" ht="12" customHeight="1"/>
    <row r="40509" ht="12" customHeight="1"/>
    <row r="40510" ht="12" customHeight="1"/>
    <row r="40511" ht="12" customHeight="1"/>
    <row r="40512" ht="12" customHeight="1"/>
    <row r="40513" ht="12" customHeight="1"/>
    <row r="40514" ht="12" customHeight="1"/>
    <row r="40515" ht="12" customHeight="1"/>
    <row r="40516" ht="12" customHeight="1"/>
    <row r="40517" ht="12" customHeight="1"/>
    <row r="40518" ht="12" customHeight="1"/>
    <row r="40519" ht="12" customHeight="1"/>
    <row r="40520" ht="12" customHeight="1"/>
    <row r="40521" ht="12" customHeight="1"/>
    <row r="40522" ht="12" customHeight="1"/>
    <row r="40523" ht="12" customHeight="1"/>
    <row r="40524" ht="12" customHeight="1"/>
    <row r="40525" ht="12" customHeight="1"/>
    <row r="40526" ht="12" customHeight="1"/>
    <row r="40527" ht="12" customHeight="1"/>
    <row r="40528" ht="12" customHeight="1"/>
    <row r="40529" ht="12" customHeight="1"/>
    <row r="40530" ht="12" customHeight="1"/>
    <row r="40531" ht="12" customHeight="1"/>
    <row r="40532" ht="12" customHeight="1"/>
    <row r="40533" ht="12" customHeight="1"/>
    <row r="40534" ht="12" customHeight="1"/>
    <row r="40535" ht="12" customHeight="1"/>
    <row r="40536" ht="12" customHeight="1"/>
    <row r="40537" ht="12" customHeight="1"/>
    <row r="40538" ht="12" customHeight="1"/>
    <row r="40539" ht="12" customHeight="1"/>
    <row r="40540" ht="12" customHeight="1"/>
    <row r="40541" ht="12" customHeight="1"/>
    <row r="40542" ht="12" customHeight="1"/>
    <row r="40543" ht="12" customHeight="1"/>
    <row r="40544" ht="12" customHeight="1"/>
    <row r="40545" ht="12" customHeight="1"/>
    <row r="40546" ht="12" customHeight="1"/>
    <row r="40547" ht="12" customHeight="1"/>
    <row r="40548" ht="12" customHeight="1"/>
    <row r="40549" ht="12" customHeight="1"/>
    <row r="40550" ht="12" customHeight="1"/>
    <row r="40551" ht="12" customHeight="1"/>
    <row r="40552" ht="12" customHeight="1"/>
    <row r="40553" ht="12" customHeight="1"/>
    <row r="40554" ht="12" customHeight="1"/>
    <row r="40555" ht="12" customHeight="1"/>
    <row r="40556" ht="12" customHeight="1"/>
    <row r="40557" ht="12" customHeight="1"/>
    <row r="40558" ht="12" customHeight="1"/>
    <row r="40559" ht="12" customHeight="1"/>
    <row r="40560" ht="12" customHeight="1"/>
    <row r="40561" ht="12" customHeight="1"/>
    <row r="40562" ht="12" customHeight="1"/>
    <row r="40563" ht="12" customHeight="1"/>
    <row r="40564" ht="12" customHeight="1"/>
    <row r="40565" ht="12" customHeight="1"/>
    <row r="40566" ht="12" customHeight="1"/>
    <row r="40567" ht="12" customHeight="1"/>
    <row r="40568" ht="12" customHeight="1"/>
    <row r="40569" ht="12" customHeight="1"/>
    <row r="40570" ht="12" customHeight="1"/>
    <row r="40571" ht="12" customHeight="1"/>
    <row r="40572" ht="12" customHeight="1"/>
    <row r="40573" ht="12" customHeight="1"/>
    <row r="40574" ht="12" customHeight="1"/>
    <row r="40575" ht="12" customHeight="1"/>
    <row r="40576" ht="12" customHeight="1"/>
    <row r="40577" ht="12" customHeight="1"/>
    <row r="40578" ht="12" customHeight="1"/>
    <row r="40579" ht="12" customHeight="1"/>
    <row r="40580" ht="12" customHeight="1"/>
    <row r="40581" ht="12" customHeight="1"/>
    <row r="40582" ht="12" customHeight="1"/>
    <row r="40583" ht="12" customHeight="1"/>
    <row r="40584" ht="12" customHeight="1"/>
    <row r="40585" ht="12" customHeight="1"/>
    <row r="40586" ht="12" customHeight="1"/>
    <row r="40587" ht="12" customHeight="1"/>
    <row r="40588" ht="12" customHeight="1"/>
    <row r="40589" ht="12" customHeight="1"/>
    <row r="40590" ht="12" customHeight="1"/>
    <row r="40591" ht="12" customHeight="1"/>
    <row r="40592" ht="12" customHeight="1"/>
    <row r="40593" ht="12" customHeight="1"/>
    <row r="40594" ht="12" customHeight="1"/>
    <row r="40595" ht="12" customHeight="1"/>
    <row r="40596" ht="12" customHeight="1"/>
    <row r="40597" ht="12" customHeight="1"/>
    <row r="40598" ht="12" customHeight="1"/>
    <row r="40599" ht="12" customHeight="1"/>
    <row r="40600" ht="12" customHeight="1"/>
    <row r="40601" ht="12" customHeight="1"/>
    <row r="40602" ht="12" customHeight="1"/>
    <row r="40603" ht="12" customHeight="1"/>
    <row r="40604" ht="12" customHeight="1"/>
    <row r="40605" ht="12" customHeight="1"/>
    <row r="40606" ht="12" customHeight="1"/>
    <row r="40607" ht="12" customHeight="1"/>
    <row r="40608" ht="12" customHeight="1"/>
    <row r="40609" ht="12" customHeight="1"/>
    <row r="40610" ht="12" customHeight="1"/>
    <row r="40611" ht="12" customHeight="1"/>
    <row r="40612" ht="12" customHeight="1"/>
    <row r="40613" ht="12" customHeight="1"/>
    <row r="40614" ht="12" customHeight="1"/>
    <row r="40615" ht="12" customHeight="1"/>
    <row r="40616" ht="12" customHeight="1"/>
    <row r="40617" ht="12" customHeight="1"/>
    <row r="40618" ht="12" customHeight="1"/>
    <row r="40619" ht="12" customHeight="1"/>
    <row r="40620" ht="12" customHeight="1"/>
    <row r="40621" ht="12" customHeight="1"/>
    <row r="40622" ht="12" customHeight="1"/>
    <row r="40623" ht="12" customHeight="1"/>
    <row r="40624" ht="12" customHeight="1"/>
    <row r="40625" ht="12" customHeight="1"/>
    <row r="40626" ht="12" customHeight="1"/>
    <row r="40627" ht="12" customHeight="1"/>
    <row r="40628" ht="12" customHeight="1"/>
    <row r="40629" ht="12" customHeight="1"/>
    <row r="40630" ht="12" customHeight="1"/>
    <row r="40631" ht="12" customHeight="1"/>
    <row r="40632" ht="12" customHeight="1"/>
    <row r="40633" ht="12" customHeight="1"/>
    <row r="40634" ht="12" customHeight="1"/>
    <row r="40635" ht="12" customHeight="1"/>
    <row r="40636" ht="12" customHeight="1"/>
    <row r="40637" ht="12" customHeight="1"/>
    <row r="40638" ht="12" customHeight="1"/>
    <row r="40639" ht="12" customHeight="1"/>
    <row r="40640" ht="12" customHeight="1"/>
    <row r="40641" ht="12" customHeight="1"/>
    <row r="40642" ht="12" customHeight="1"/>
    <row r="40643" ht="12" customHeight="1"/>
    <row r="40644" ht="12" customHeight="1"/>
    <row r="40645" ht="12" customHeight="1"/>
    <row r="40646" ht="12" customHeight="1"/>
    <row r="40647" ht="12" customHeight="1"/>
    <row r="40648" ht="12" customHeight="1"/>
    <row r="40649" ht="12" customHeight="1"/>
    <row r="40650" ht="12" customHeight="1"/>
    <row r="40651" ht="12" customHeight="1"/>
    <row r="40652" ht="12" customHeight="1"/>
    <row r="40653" ht="12" customHeight="1"/>
    <row r="40654" ht="12" customHeight="1"/>
    <row r="40655" ht="12" customHeight="1"/>
    <row r="40656" ht="12" customHeight="1"/>
    <row r="40657" ht="12" customHeight="1"/>
    <row r="40658" ht="12" customHeight="1"/>
    <row r="40659" ht="12" customHeight="1"/>
    <row r="40660" ht="12" customHeight="1"/>
    <row r="40661" ht="12" customHeight="1"/>
    <row r="40662" ht="12" customHeight="1"/>
    <row r="40663" ht="12" customHeight="1"/>
    <row r="40664" ht="12" customHeight="1"/>
    <row r="40665" ht="12" customHeight="1"/>
    <row r="40666" ht="12" customHeight="1"/>
    <row r="40667" ht="12" customHeight="1"/>
    <row r="40668" ht="12" customHeight="1"/>
    <row r="40669" ht="12" customHeight="1"/>
    <row r="40670" ht="12" customHeight="1"/>
    <row r="40671" ht="12" customHeight="1"/>
    <row r="40672" ht="12" customHeight="1"/>
    <row r="40673" ht="12" customHeight="1"/>
    <row r="40674" ht="12" customHeight="1"/>
    <row r="40675" ht="12" customHeight="1"/>
    <row r="40676" ht="12" customHeight="1"/>
    <row r="40677" ht="12" customHeight="1"/>
    <row r="40678" ht="12" customHeight="1"/>
    <row r="40679" ht="12" customHeight="1"/>
    <row r="40680" ht="12" customHeight="1"/>
    <row r="40681" ht="12" customHeight="1"/>
    <row r="40682" ht="12" customHeight="1"/>
    <row r="40683" ht="12" customHeight="1"/>
    <row r="40684" ht="12" customHeight="1"/>
    <row r="40685" ht="12" customHeight="1"/>
    <row r="40686" ht="12" customHeight="1"/>
    <row r="40687" ht="12" customHeight="1"/>
    <row r="40688" ht="12" customHeight="1"/>
    <row r="40689" ht="12" customHeight="1"/>
    <row r="40690" ht="12" customHeight="1"/>
    <row r="40691" ht="12" customHeight="1"/>
    <row r="40692" ht="12" customHeight="1"/>
    <row r="40693" ht="12" customHeight="1"/>
    <row r="40694" ht="12" customHeight="1"/>
    <row r="40695" ht="12" customHeight="1"/>
    <row r="40696" ht="12" customHeight="1"/>
    <row r="40697" ht="12" customHeight="1"/>
    <row r="40698" ht="12" customHeight="1"/>
    <row r="40699" ht="12" customHeight="1"/>
    <row r="40700" ht="12" customHeight="1"/>
    <row r="40701" ht="12" customHeight="1"/>
    <row r="40702" ht="12" customHeight="1"/>
    <row r="40703" ht="12" customHeight="1"/>
    <row r="40704" ht="12" customHeight="1"/>
    <row r="40705" ht="12" customHeight="1"/>
    <row r="40706" ht="12" customHeight="1"/>
    <row r="40707" ht="12" customHeight="1"/>
    <row r="40708" ht="12" customHeight="1"/>
    <row r="40709" ht="12" customHeight="1"/>
    <row r="40710" ht="12" customHeight="1"/>
    <row r="40711" ht="12" customHeight="1"/>
    <row r="40712" ht="12" customHeight="1"/>
    <row r="40713" ht="12" customHeight="1"/>
    <row r="40714" ht="12" customHeight="1"/>
    <row r="40715" ht="12" customHeight="1"/>
    <row r="40716" ht="12" customHeight="1"/>
    <row r="40717" ht="12" customHeight="1"/>
    <row r="40718" ht="12" customHeight="1"/>
    <row r="40719" ht="12" customHeight="1"/>
    <row r="40720" ht="12" customHeight="1"/>
    <row r="40721" ht="12" customHeight="1"/>
    <row r="40722" ht="12" customHeight="1"/>
    <row r="40723" ht="12" customHeight="1"/>
    <row r="40724" ht="12" customHeight="1"/>
    <row r="40725" ht="12" customHeight="1"/>
    <row r="40726" ht="12" customHeight="1"/>
    <row r="40727" ht="12" customHeight="1"/>
    <row r="40728" ht="12" customHeight="1"/>
    <row r="40729" ht="12" customHeight="1"/>
    <row r="40730" ht="12" customHeight="1"/>
    <row r="40731" ht="12" customHeight="1"/>
    <row r="40732" ht="12" customHeight="1"/>
    <row r="40733" ht="12" customHeight="1"/>
    <row r="40734" ht="12" customHeight="1"/>
    <row r="40735" ht="12" customHeight="1"/>
    <row r="40736" ht="12" customHeight="1"/>
    <row r="40737" ht="12" customHeight="1"/>
    <row r="40738" ht="12" customHeight="1"/>
    <row r="40739" ht="12" customHeight="1"/>
    <row r="40740" ht="12" customHeight="1"/>
    <row r="40741" ht="12" customHeight="1"/>
    <row r="40742" ht="12" customHeight="1"/>
    <row r="40743" ht="12" customHeight="1"/>
    <row r="40744" ht="12" customHeight="1"/>
    <row r="40745" ht="12" customHeight="1"/>
    <row r="40746" ht="12" customHeight="1"/>
    <row r="40747" ht="12" customHeight="1"/>
    <row r="40748" ht="12" customHeight="1"/>
    <row r="40749" ht="12" customHeight="1"/>
    <row r="40750" ht="12" customHeight="1"/>
    <row r="40751" ht="12" customHeight="1"/>
    <row r="40752" ht="12" customHeight="1"/>
    <row r="40753" ht="12" customHeight="1"/>
    <row r="40754" ht="12" customHeight="1"/>
    <row r="40755" ht="12" customHeight="1"/>
    <row r="40756" ht="12" customHeight="1"/>
    <row r="40757" ht="12" customHeight="1"/>
    <row r="40758" ht="12" customHeight="1"/>
    <row r="40759" ht="12" customHeight="1"/>
    <row r="40760" ht="12" customHeight="1"/>
    <row r="40761" ht="12" customHeight="1"/>
    <row r="40762" ht="12" customHeight="1"/>
    <row r="40763" ht="12" customHeight="1"/>
    <row r="40764" ht="12" customHeight="1"/>
    <row r="40765" ht="12" customHeight="1"/>
    <row r="40766" ht="12" customHeight="1"/>
    <row r="40767" ht="12" customHeight="1"/>
    <row r="40768" ht="12" customHeight="1"/>
    <row r="40769" ht="12" customHeight="1"/>
    <row r="40770" ht="12" customHeight="1"/>
    <row r="40771" ht="12" customHeight="1"/>
    <row r="40772" ht="12" customHeight="1"/>
    <row r="40773" ht="12" customHeight="1"/>
    <row r="40774" ht="12" customHeight="1"/>
    <row r="40775" ht="12" customHeight="1"/>
    <row r="40776" ht="12" customHeight="1"/>
    <row r="40777" ht="12" customHeight="1"/>
    <row r="40778" ht="12" customHeight="1"/>
    <row r="40779" ht="12" customHeight="1"/>
    <row r="40780" ht="12" customHeight="1"/>
    <row r="40781" ht="12" customHeight="1"/>
    <row r="40782" ht="12" customHeight="1"/>
    <row r="40783" ht="12" customHeight="1"/>
    <row r="40784" ht="12" customHeight="1"/>
    <row r="40785" ht="12" customHeight="1"/>
    <row r="40786" ht="12" customHeight="1"/>
    <row r="40787" ht="12" customHeight="1"/>
    <row r="40788" ht="12" customHeight="1"/>
    <row r="40789" ht="12" customHeight="1"/>
    <row r="40790" ht="12" customHeight="1"/>
    <row r="40791" ht="12" customHeight="1"/>
    <row r="40792" ht="12" customHeight="1"/>
    <row r="40793" ht="12" customHeight="1"/>
    <row r="40794" ht="12" customHeight="1"/>
    <row r="40795" ht="12" customHeight="1"/>
    <row r="40796" ht="12" customHeight="1"/>
    <row r="40797" ht="12" customHeight="1"/>
    <row r="40798" ht="12" customHeight="1"/>
    <row r="40799" ht="12" customHeight="1"/>
    <row r="40800" ht="12" customHeight="1"/>
    <row r="40801" ht="12" customHeight="1"/>
    <row r="40802" ht="12" customHeight="1"/>
    <row r="40803" ht="12" customHeight="1"/>
    <row r="40804" ht="12" customHeight="1"/>
    <row r="40805" ht="12" customHeight="1"/>
    <row r="40806" ht="12" customHeight="1"/>
    <row r="40807" ht="12" customHeight="1"/>
    <row r="40808" ht="12" customHeight="1"/>
    <row r="40809" ht="12" customHeight="1"/>
    <row r="40810" ht="12" customHeight="1"/>
    <row r="40811" ht="12" customHeight="1"/>
    <row r="40812" ht="12" customHeight="1"/>
    <row r="40813" ht="12" customHeight="1"/>
    <row r="40814" ht="12" customHeight="1"/>
    <row r="40815" ht="12" customHeight="1"/>
    <row r="40816" ht="12" customHeight="1"/>
    <row r="40817" ht="12" customHeight="1"/>
    <row r="40818" ht="12" customHeight="1"/>
    <row r="40819" ht="12" customHeight="1"/>
    <row r="40820" ht="12" customHeight="1"/>
    <row r="40821" ht="12" customHeight="1"/>
    <row r="40822" ht="12" customHeight="1"/>
    <row r="40823" ht="12" customHeight="1"/>
    <row r="40824" ht="12" customHeight="1"/>
    <row r="40825" ht="12" customHeight="1"/>
    <row r="40826" ht="12" customHeight="1"/>
    <row r="40827" ht="12" customHeight="1"/>
    <row r="40828" ht="12" customHeight="1"/>
    <row r="40829" ht="12" customHeight="1"/>
    <row r="40830" ht="12" customHeight="1"/>
    <row r="40831" ht="12" customHeight="1"/>
    <row r="40832" ht="12" customHeight="1"/>
    <row r="40833" ht="12" customHeight="1"/>
    <row r="40834" ht="12" customHeight="1"/>
    <row r="40835" ht="12" customHeight="1"/>
    <row r="40836" ht="12" customHeight="1"/>
    <row r="40837" ht="12" customHeight="1"/>
    <row r="40838" ht="12" customHeight="1"/>
    <row r="40839" ht="12" customHeight="1"/>
    <row r="40840" ht="12" customHeight="1"/>
    <row r="40841" ht="12" customHeight="1"/>
    <row r="40842" ht="12" customHeight="1"/>
    <row r="40843" ht="12" customHeight="1"/>
    <row r="40844" ht="12" customHeight="1"/>
    <row r="40845" ht="12" customHeight="1"/>
    <row r="40846" ht="12" customHeight="1"/>
    <row r="40847" ht="12" customHeight="1"/>
    <row r="40848" ht="12" customHeight="1"/>
    <row r="40849" ht="12" customHeight="1"/>
    <row r="40850" ht="12" customHeight="1"/>
    <row r="40851" ht="12" customHeight="1"/>
    <row r="40852" ht="12" customHeight="1"/>
    <row r="40853" ht="12" customHeight="1"/>
    <row r="40854" ht="12" customHeight="1"/>
    <row r="40855" ht="12" customHeight="1"/>
    <row r="40856" ht="12" customHeight="1"/>
    <row r="40857" ht="12" customHeight="1"/>
    <row r="40858" ht="12" customHeight="1"/>
    <row r="40859" ht="12" customHeight="1"/>
    <row r="40860" ht="12" customHeight="1"/>
    <row r="40861" ht="12" customHeight="1"/>
    <row r="40862" ht="12" customHeight="1"/>
    <row r="40863" ht="12" customHeight="1"/>
    <row r="40864" ht="12" customHeight="1"/>
    <row r="40865" ht="12" customHeight="1"/>
    <row r="40866" ht="12" customHeight="1"/>
    <row r="40867" ht="12" customHeight="1"/>
    <row r="40868" ht="12" customHeight="1"/>
    <row r="40869" ht="12" customHeight="1"/>
    <row r="40870" ht="12" customHeight="1"/>
    <row r="40871" ht="12" customHeight="1"/>
    <row r="40872" ht="12" customHeight="1"/>
    <row r="40873" ht="12" customHeight="1"/>
    <row r="40874" ht="12" customHeight="1"/>
    <row r="40875" ht="12" customHeight="1"/>
    <row r="40876" ht="12" customHeight="1"/>
    <row r="40877" ht="12" customHeight="1"/>
    <row r="40878" ht="12" customHeight="1"/>
    <row r="40879" ht="12" customHeight="1"/>
    <row r="40880" ht="12" customHeight="1"/>
    <row r="40881" ht="12" customHeight="1"/>
    <row r="40882" ht="12" customHeight="1"/>
    <row r="40883" ht="12" customHeight="1"/>
    <row r="40884" ht="12" customHeight="1"/>
    <row r="40885" ht="12" customHeight="1"/>
    <row r="40886" ht="12" customHeight="1"/>
    <row r="40887" ht="12" customHeight="1"/>
    <row r="40888" ht="12" customHeight="1"/>
    <row r="40889" ht="12" customHeight="1"/>
    <row r="40890" ht="12" customHeight="1"/>
    <row r="40891" ht="12" customHeight="1"/>
    <row r="40892" ht="12" customHeight="1"/>
    <row r="40893" ht="12" customHeight="1"/>
    <row r="40894" ht="12" customHeight="1"/>
    <row r="40895" ht="12" customHeight="1"/>
    <row r="40896" ht="12" customHeight="1"/>
    <row r="40897" ht="12" customHeight="1"/>
    <row r="40898" ht="12" customHeight="1"/>
    <row r="40899" ht="12" customHeight="1"/>
    <row r="40900" ht="12" customHeight="1"/>
    <row r="40901" ht="12" customHeight="1"/>
    <row r="40902" ht="12" customHeight="1"/>
    <row r="40903" ht="12" customHeight="1"/>
    <row r="40904" ht="12" customHeight="1"/>
    <row r="40905" ht="12" customHeight="1"/>
    <row r="40906" ht="12" customHeight="1"/>
    <row r="40907" ht="12" customHeight="1"/>
    <row r="40908" ht="12" customHeight="1"/>
    <row r="40909" ht="12" customHeight="1"/>
    <row r="40910" ht="12" customHeight="1"/>
    <row r="40911" ht="12" customHeight="1"/>
    <row r="40912" ht="12" customHeight="1"/>
    <row r="40913" ht="12" customHeight="1"/>
    <row r="40914" ht="12" customHeight="1"/>
    <row r="40915" ht="12" customHeight="1"/>
    <row r="40916" ht="12" customHeight="1"/>
    <row r="40917" ht="12" customHeight="1"/>
    <row r="40918" ht="12" customHeight="1"/>
    <row r="40919" ht="12" customHeight="1"/>
    <row r="40920" ht="12" customHeight="1"/>
    <row r="40921" ht="12" customHeight="1"/>
    <row r="40922" ht="12" customHeight="1"/>
    <row r="40923" ht="12" customHeight="1"/>
    <row r="40924" ht="12" customHeight="1"/>
    <row r="40925" ht="12" customHeight="1"/>
    <row r="40926" ht="12" customHeight="1"/>
    <row r="40927" ht="12" customHeight="1"/>
    <row r="40928" ht="12" customHeight="1"/>
    <row r="40929" ht="12" customHeight="1"/>
    <row r="40930" ht="12" customHeight="1"/>
    <row r="40931" ht="12" customHeight="1"/>
    <row r="40932" ht="12" customHeight="1"/>
    <row r="40933" ht="12" customHeight="1"/>
    <row r="40934" ht="12" customHeight="1"/>
    <row r="40935" ht="12" customHeight="1"/>
    <row r="40936" ht="12" customHeight="1"/>
    <row r="40937" ht="12" customHeight="1"/>
    <row r="40938" ht="12" customHeight="1"/>
    <row r="40939" ht="12" customHeight="1"/>
    <row r="40940" ht="12" customHeight="1"/>
    <row r="40941" ht="12" customHeight="1"/>
    <row r="40942" ht="12" customHeight="1"/>
    <row r="40943" ht="12" customHeight="1"/>
    <row r="40944" ht="12" customHeight="1"/>
    <row r="40945" ht="12" customHeight="1"/>
    <row r="40946" ht="12" customHeight="1"/>
    <row r="40947" ht="12" customHeight="1"/>
    <row r="40948" ht="12" customHeight="1"/>
    <row r="40949" ht="12" customHeight="1"/>
    <row r="40950" ht="12" customHeight="1"/>
    <row r="40951" ht="12" customHeight="1"/>
    <row r="40952" ht="12" customHeight="1"/>
    <row r="40953" ht="12" customHeight="1"/>
    <row r="40954" ht="12" customHeight="1"/>
    <row r="40955" ht="12" customHeight="1"/>
    <row r="40956" ht="12" customHeight="1"/>
    <row r="40957" ht="12" customHeight="1"/>
    <row r="40958" ht="12" customHeight="1"/>
    <row r="40959" ht="12" customHeight="1"/>
    <row r="40960" ht="12" customHeight="1"/>
    <row r="40961" ht="12" customHeight="1"/>
    <row r="40962" ht="12" customHeight="1"/>
    <row r="40963" ht="12" customHeight="1"/>
    <row r="40964" ht="12" customHeight="1"/>
    <row r="40965" ht="12" customHeight="1"/>
    <row r="40966" ht="12" customHeight="1"/>
    <row r="40967" ht="12" customHeight="1"/>
    <row r="40968" ht="12" customHeight="1"/>
    <row r="40969" ht="12" customHeight="1"/>
    <row r="40970" ht="12" customHeight="1"/>
    <row r="40971" ht="12" customHeight="1"/>
    <row r="40972" ht="12" customHeight="1"/>
    <row r="40973" ht="12" customHeight="1"/>
    <row r="40974" ht="12" customHeight="1"/>
    <row r="40975" ht="12" customHeight="1"/>
    <row r="40976" ht="12" customHeight="1"/>
    <row r="40977" ht="12" customHeight="1"/>
    <row r="40978" ht="12" customHeight="1"/>
    <row r="40979" ht="12" customHeight="1"/>
    <row r="40980" ht="12" customHeight="1"/>
    <row r="40981" ht="12" customHeight="1"/>
    <row r="40982" ht="12" customHeight="1"/>
    <row r="40983" ht="12" customHeight="1"/>
    <row r="40984" ht="12" customHeight="1"/>
    <row r="40985" ht="12" customHeight="1"/>
    <row r="40986" ht="12" customHeight="1"/>
    <row r="40987" ht="12" customHeight="1"/>
    <row r="40988" ht="12" customHeight="1"/>
    <row r="40989" ht="12" customHeight="1"/>
    <row r="40990" ht="12" customHeight="1"/>
    <row r="40991" ht="12" customHeight="1"/>
    <row r="40992" ht="12" customHeight="1"/>
    <row r="40993" ht="12" customHeight="1"/>
    <row r="40994" ht="12" customHeight="1"/>
    <row r="40995" ht="12" customHeight="1"/>
    <row r="40996" ht="12" customHeight="1"/>
    <row r="40997" ht="12" customHeight="1"/>
    <row r="40998" ht="12" customHeight="1"/>
    <row r="40999" ht="12" customHeight="1"/>
    <row r="41000" ht="12" customHeight="1"/>
    <row r="41001" ht="12" customHeight="1"/>
    <row r="41002" ht="12" customHeight="1"/>
    <row r="41003" ht="12" customHeight="1"/>
    <row r="41004" ht="12" customHeight="1"/>
    <row r="41005" ht="12" customHeight="1"/>
    <row r="41006" ht="12" customHeight="1"/>
    <row r="41007" ht="12" customHeight="1"/>
    <row r="41008" ht="12" customHeight="1"/>
    <row r="41009" ht="12" customHeight="1"/>
    <row r="41010" ht="12" customHeight="1"/>
    <row r="41011" ht="12" customHeight="1"/>
    <row r="41012" ht="12" customHeight="1"/>
    <row r="41013" ht="12" customHeight="1"/>
    <row r="41014" ht="12" customHeight="1"/>
    <row r="41015" ht="12" customHeight="1"/>
    <row r="41016" ht="12" customHeight="1"/>
    <row r="41017" ht="12" customHeight="1"/>
    <row r="41018" ht="12" customHeight="1"/>
    <row r="41019" ht="12" customHeight="1"/>
    <row r="41020" ht="12" customHeight="1"/>
    <row r="41021" ht="12" customHeight="1"/>
    <row r="41022" ht="12" customHeight="1"/>
    <row r="41023" ht="12" customHeight="1"/>
    <row r="41024" ht="12" customHeight="1"/>
    <row r="41025" ht="12" customHeight="1"/>
    <row r="41026" ht="12" customHeight="1"/>
    <row r="41027" ht="12" customHeight="1"/>
    <row r="41028" ht="12" customHeight="1"/>
    <row r="41029" ht="12" customHeight="1"/>
    <row r="41030" ht="12" customHeight="1"/>
    <row r="41031" ht="12" customHeight="1"/>
    <row r="41032" ht="12" customHeight="1"/>
    <row r="41033" ht="12" customHeight="1"/>
    <row r="41034" ht="12" customHeight="1"/>
    <row r="41035" ht="12" customHeight="1"/>
    <row r="41036" ht="12" customHeight="1"/>
    <row r="41037" ht="12" customHeight="1"/>
    <row r="41038" ht="12" customHeight="1"/>
    <row r="41039" ht="12" customHeight="1"/>
    <row r="41040" ht="12" customHeight="1"/>
    <row r="41041" ht="12" customHeight="1"/>
    <row r="41042" ht="12" customHeight="1"/>
    <row r="41043" ht="12" customHeight="1"/>
    <row r="41044" ht="12" customHeight="1"/>
    <row r="41045" ht="12" customHeight="1"/>
    <row r="41046" ht="12" customHeight="1"/>
    <row r="41047" ht="12" customHeight="1"/>
    <row r="41048" ht="12" customHeight="1"/>
    <row r="41049" ht="12" customHeight="1"/>
    <row r="41050" ht="12" customHeight="1"/>
    <row r="41051" ht="12" customHeight="1"/>
    <row r="41052" ht="12" customHeight="1"/>
    <row r="41053" ht="12" customHeight="1"/>
    <row r="41054" ht="12" customHeight="1"/>
    <row r="41055" ht="12" customHeight="1"/>
    <row r="41056" ht="12" customHeight="1"/>
    <row r="41057" ht="12" customHeight="1"/>
    <row r="41058" ht="12" customHeight="1"/>
    <row r="41059" ht="12" customHeight="1"/>
    <row r="41060" ht="12" customHeight="1"/>
    <row r="41061" ht="12" customHeight="1"/>
    <row r="41062" ht="12" customHeight="1"/>
    <row r="41063" ht="12" customHeight="1"/>
    <row r="41064" ht="12" customHeight="1"/>
    <row r="41065" ht="12" customHeight="1"/>
    <row r="41066" ht="12" customHeight="1"/>
    <row r="41067" ht="12" customHeight="1"/>
    <row r="41068" ht="12" customHeight="1"/>
    <row r="41069" ht="12" customHeight="1"/>
    <row r="41070" ht="12" customHeight="1"/>
    <row r="41071" ht="12" customHeight="1"/>
    <row r="41072" ht="12" customHeight="1"/>
    <row r="41073" ht="12" customHeight="1"/>
    <row r="41074" ht="12" customHeight="1"/>
    <row r="41075" ht="12" customHeight="1"/>
    <row r="41076" ht="12" customHeight="1"/>
    <row r="41077" ht="12" customHeight="1"/>
    <row r="41078" ht="12" customHeight="1"/>
    <row r="41079" ht="12" customHeight="1"/>
    <row r="41080" ht="12" customHeight="1"/>
    <row r="41081" ht="12" customHeight="1"/>
    <row r="41082" ht="12" customHeight="1"/>
    <row r="41083" ht="12" customHeight="1"/>
    <row r="41084" ht="12" customHeight="1"/>
    <row r="41085" ht="12" customHeight="1"/>
    <row r="41086" ht="12" customHeight="1"/>
    <row r="41087" ht="12" customHeight="1"/>
    <row r="41088" ht="12" customHeight="1"/>
    <row r="41089" ht="12" customHeight="1"/>
    <row r="41090" ht="12" customHeight="1"/>
    <row r="41091" ht="12" customHeight="1"/>
    <row r="41092" ht="12" customHeight="1"/>
    <row r="41093" ht="12" customHeight="1"/>
    <row r="41094" ht="12" customHeight="1"/>
    <row r="41095" ht="12" customHeight="1"/>
    <row r="41096" ht="12" customHeight="1"/>
    <row r="41097" ht="12" customHeight="1"/>
    <row r="41098" ht="12" customHeight="1"/>
    <row r="41099" ht="12" customHeight="1"/>
    <row r="41100" ht="12" customHeight="1"/>
    <row r="41101" ht="12" customHeight="1"/>
    <row r="41102" ht="12" customHeight="1"/>
    <row r="41103" ht="12" customHeight="1"/>
    <row r="41104" ht="12" customHeight="1"/>
    <row r="41105" ht="12" customHeight="1"/>
    <row r="41106" ht="12" customHeight="1"/>
    <row r="41107" ht="12" customHeight="1"/>
    <row r="41108" ht="12" customHeight="1"/>
    <row r="41109" ht="12" customHeight="1"/>
    <row r="41110" ht="12" customHeight="1"/>
    <row r="41111" ht="12" customHeight="1"/>
    <row r="41112" ht="12" customHeight="1"/>
    <row r="41113" ht="12" customHeight="1"/>
    <row r="41114" ht="12" customHeight="1"/>
    <row r="41115" ht="12" customHeight="1"/>
    <row r="41116" ht="12" customHeight="1"/>
    <row r="41117" ht="12" customHeight="1"/>
    <row r="41118" ht="12" customHeight="1"/>
    <row r="41119" ht="12" customHeight="1"/>
    <row r="41120" ht="12" customHeight="1"/>
    <row r="41121" ht="12" customHeight="1"/>
    <row r="41122" ht="12" customHeight="1"/>
    <row r="41123" ht="12" customHeight="1"/>
    <row r="41124" ht="12" customHeight="1"/>
    <row r="41125" ht="12" customHeight="1"/>
    <row r="41126" ht="12" customHeight="1"/>
    <row r="41127" ht="12" customHeight="1"/>
    <row r="41128" ht="12" customHeight="1"/>
    <row r="41129" ht="12" customHeight="1"/>
    <row r="41130" ht="12" customHeight="1"/>
    <row r="41131" ht="12" customHeight="1"/>
    <row r="41132" ht="12" customHeight="1"/>
    <row r="41133" ht="12" customHeight="1"/>
    <row r="41134" ht="12" customHeight="1"/>
    <row r="41135" ht="12" customHeight="1"/>
    <row r="41136" ht="12" customHeight="1"/>
    <row r="41137" ht="12" customHeight="1"/>
    <row r="41138" ht="12" customHeight="1"/>
    <row r="41139" ht="12" customHeight="1"/>
    <row r="41140" ht="12" customHeight="1"/>
    <row r="41141" ht="12" customHeight="1"/>
    <row r="41142" ht="12" customHeight="1"/>
    <row r="41143" ht="12" customHeight="1"/>
    <row r="41144" ht="12" customHeight="1"/>
    <row r="41145" ht="12" customHeight="1"/>
    <row r="41146" ht="12" customHeight="1"/>
    <row r="41147" ht="12" customHeight="1"/>
    <row r="41148" ht="12" customHeight="1"/>
    <row r="41149" ht="12" customHeight="1"/>
    <row r="41150" ht="12" customHeight="1"/>
    <row r="41151" ht="12" customHeight="1"/>
    <row r="41152" ht="12" customHeight="1"/>
    <row r="41153" ht="12" customHeight="1"/>
    <row r="41154" ht="12" customHeight="1"/>
    <row r="41155" ht="12" customHeight="1"/>
    <row r="41156" ht="12" customHeight="1"/>
    <row r="41157" ht="12" customHeight="1"/>
    <row r="41158" ht="12" customHeight="1"/>
    <row r="41159" ht="12" customHeight="1"/>
    <row r="41160" ht="12" customHeight="1"/>
    <row r="41161" ht="12" customHeight="1"/>
    <row r="41162" ht="12" customHeight="1"/>
    <row r="41163" ht="12" customHeight="1"/>
    <row r="41164" ht="12" customHeight="1"/>
    <row r="41165" ht="12" customHeight="1"/>
    <row r="41166" ht="12" customHeight="1"/>
    <row r="41167" ht="12" customHeight="1"/>
    <row r="41168" ht="12" customHeight="1"/>
    <row r="41169" ht="12" customHeight="1"/>
    <row r="41170" ht="12" customHeight="1"/>
    <row r="41171" ht="12" customHeight="1"/>
    <row r="41172" ht="12" customHeight="1"/>
    <row r="41173" ht="12" customHeight="1"/>
    <row r="41174" ht="12" customHeight="1"/>
    <row r="41175" ht="12" customHeight="1"/>
    <row r="41176" ht="12" customHeight="1"/>
    <row r="41177" ht="12" customHeight="1"/>
    <row r="41178" ht="12" customHeight="1"/>
    <row r="41179" ht="12" customHeight="1"/>
    <row r="41180" ht="12" customHeight="1"/>
    <row r="41181" ht="12" customHeight="1"/>
    <row r="41182" ht="12" customHeight="1"/>
    <row r="41183" ht="12" customHeight="1"/>
    <row r="41184" ht="12" customHeight="1"/>
    <row r="41185" ht="12" customHeight="1"/>
    <row r="41186" ht="12" customHeight="1"/>
    <row r="41187" ht="12" customHeight="1"/>
    <row r="41188" ht="12" customHeight="1"/>
    <row r="41189" ht="12" customHeight="1"/>
    <row r="41190" ht="12" customHeight="1"/>
    <row r="41191" ht="12" customHeight="1"/>
    <row r="41192" ht="12" customHeight="1"/>
    <row r="41193" ht="12" customHeight="1"/>
    <row r="41194" ht="12" customHeight="1"/>
    <row r="41195" ht="12" customHeight="1"/>
    <row r="41196" ht="12" customHeight="1"/>
    <row r="41197" ht="12" customHeight="1"/>
    <row r="41198" ht="12" customHeight="1"/>
    <row r="41199" ht="12" customHeight="1"/>
    <row r="41200" ht="12" customHeight="1"/>
    <row r="41201" ht="12" customHeight="1"/>
    <row r="41202" ht="12" customHeight="1"/>
    <row r="41203" ht="12" customHeight="1"/>
    <row r="41204" ht="12" customHeight="1"/>
    <row r="41205" ht="12" customHeight="1"/>
    <row r="41206" ht="12" customHeight="1"/>
    <row r="41207" ht="12" customHeight="1"/>
    <row r="41208" ht="12" customHeight="1"/>
    <row r="41209" ht="12" customHeight="1"/>
    <row r="41210" ht="12" customHeight="1"/>
    <row r="41211" ht="12" customHeight="1"/>
    <row r="41212" ht="12" customHeight="1"/>
    <row r="41213" ht="12" customHeight="1"/>
    <row r="41214" ht="12" customHeight="1"/>
    <row r="41215" ht="12" customHeight="1"/>
    <row r="41216" ht="12" customHeight="1"/>
    <row r="41217" ht="12" customHeight="1"/>
    <row r="41218" ht="12" customHeight="1"/>
    <row r="41219" ht="12" customHeight="1"/>
    <row r="41220" ht="12" customHeight="1"/>
    <row r="41221" ht="12" customHeight="1"/>
    <row r="41222" ht="12" customHeight="1"/>
    <row r="41223" ht="12" customHeight="1"/>
    <row r="41224" ht="12" customHeight="1"/>
    <row r="41225" ht="12" customHeight="1"/>
    <row r="41226" ht="12" customHeight="1"/>
    <row r="41227" ht="12" customHeight="1"/>
    <row r="41228" ht="12" customHeight="1"/>
    <row r="41229" ht="12" customHeight="1"/>
    <row r="41230" ht="12" customHeight="1"/>
    <row r="41231" ht="12" customHeight="1"/>
    <row r="41232" ht="12" customHeight="1"/>
    <row r="41233" ht="12" customHeight="1"/>
    <row r="41234" ht="12" customHeight="1"/>
    <row r="41235" ht="12" customHeight="1"/>
    <row r="41236" ht="12" customHeight="1"/>
    <row r="41237" ht="12" customHeight="1"/>
    <row r="41238" ht="12" customHeight="1"/>
    <row r="41239" ht="12" customHeight="1"/>
    <row r="41240" ht="12" customHeight="1"/>
    <row r="41241" ht="12" customHeight="1"/>
    <row r="41242" ht="12" customHeight="1"/>
    <row r="41243" ht="12" customHeight="1"/>
    <row r="41244" ht="12" customHeight="1"/>
    <row r="41245" ht="12" customHeight="1"/>
    <row r="41246" ht="12" customHeight="1"/>
    <row r="41247" ht="12" customHeight="1"/>
    <row r="41248" ht="12" customHeight="1"/>
    <row r="41249" ht="12" customHeight="1"/>
    <row r="41250" ht="12" customHeight="1"/>
    <row r="41251" ht="12" customHeight="1"/>
    <row r="41252" ht="12" customHeight="1"/>
    <row r="41253" ht="12" customHeight="1"/>
    <row r="41254" ht="12" customHeight="1"/>
    <row r="41255" ht="12" customHeight="1"/>
    <row r="41256" ht="12" customHeight="1"/>
    <row r="41257" ht="12" customHeight="1"/>
    <row r="41258" ht="12" customHeight="1"/>
    <row r="41259" ht="12" customHeight="1"/>
    <row r="41260" ht="12" customHeight="1"/>
    <row r="41261" ht="12" customHeight="1"/>
    <row r="41262" ht="12" customHeight="1"/>
    <row r="41263" ht="12" customHeight="1"/>
    <row r="41264" ht="12" customHeight="1"/>
    <row r="41265" ht="12" customHeight="1"/>
    <row r="41266" ht="12" customHeight="1"/>
    <row r="41267" ht="12" customHeight="1"/>
    <row r="41268" ht="12" customHeight="1"/>
    <row r="41269" ht="12" customHeight="1"/>
    <row r="41270" ht="12" customHeight="1"/>
    <row r="41271" ht="12" customHeight="1"/>
    <row r="41272" ht="12" customHeight="1"/>
    <row r="41273" ht="12" customHeight="1"/>
    <row r="41274" ht="12" customHeight="1"/>
    <row r="41275" ht="12" customHeight="1"/>
    <row r="41276" ht="12" customHeight="1"/>
    <row r="41277" ht="12" customHeight="1"/>
    <row r="41278" ht="12" customHeight="1"/>
    <row r="41279" ht="12" customHeight="1"/>
    <row r="41280" ht="12" customHeight="1"/>
    <row r="41281" ht="12" customHeight="1"/>
    <row r="41282" ht="12" customHeight="1"/>
    <row r="41283" ht="12" customHeight="1"/>
    <row r="41284" ht="12" customHeight="1"/>
    <row r="41285" ht="12" customHeight="1"/>
    <row r="41286" ht="12" customHeight="1"/>
    <row r="41287" ht="12" customHeight="1"/>
    <row r="41288" ht="12" customHeight="1"/>
    <row r="41289" ht="12" customHeight="1"/>
    <row r="41290" ht="12" customHeight="1"/>
    <row r="41291" ht="12" customHeight="1"/>
    <row r="41292" ht="12" customHeight="1"/>
    <row r="41293" ht="12" customHeight="1"/>
    <row r="41294" ht="12" customHeight="1"/>
    <row r="41295" ht="12" customHeight="1"/>
    <row r="41296" ht="12" customHeight="1"/>
    <row r="41297" ht="12" customHeight="1"/>
    <row r="41298" ht="12" customHeight="1"/>
    <row r="41299" ht="12" customHeight="1"/>
    <row r="41300" ht="12" customHeight="1"/>
    <row r="41301" ht="12" customHeight="1"/>
    <row r="41302" ht="12" customHeight="1"/>
    <row r="41303" ht="12" customHeight="1"/>
    <row r="41304" ht="12" customHeight="1"/>
    <row r="41305" ht="12" customHeight="1"/>
    <row r="41306" ht="12" customHeight="1"/>
    <row r="41307" ht="12" customHeight="1"/>
    <row r="41308" ht="12" customHeight="1"/>
    <row r="41309" ht="12" customHeight="1"/>
    <row r="41310" ht="12" customHeight="1"/>
    <row r="41311" ht="12" customHeight="1"/>
    <row r="41312" ht="12" customHeight="1"/>
    <row r="41313" ht="12" customHeight="1"/>
    <row r="41314" ht="12" customHeight="1"/>
    <row r="41315" ht="12" customHeight="1"/>
    <row r="41316" ht="12" customHeight="1"/>
    <row r="41317" ht="12" customHeight="1"/>
    <row r="41318" ht="12" customHeight="1"/>
    <row r="41319" ht="12" customHeight="1"/>
    <row r="41320" ht="12" customHeight="1"/>
    <row r="41321" ht="12" customHeight="1"/>
    <row r="41322" ht="12" customHeight="1"/>
    <row r="41323" ht="12" customHeight="1"/>
    <row r="41324" ht="12" customHeight="1"/>
    <row r="41325" ht="12" customHeight="1"/>
    <row r="41326" ht="12" customHeight="1"/>
    <row r="41327" ht="12" customHeight="1"/>
    <row r="41328" ht="12" customHeight="1"/>
    <row r="41329" ht="12" customHeight="1"/>
    <row r="41330" ht="12" customHeight="1"/>
    <row r="41331" ht="12" customHeight="1"/>
    <row r="41332" ht="12" customHeight="1"/>
    <row r="41333" ht="12" customHeight="1"/>
    <row r="41334" ht="12" customHeight="1"/>
    <row r="41335" ht="12" customHeight="1"/>
    <row r="41336" ht="12" customHeight="1"/>
    <row r="41337" ht="12" customHeight="1"/>
    <row r="41338" ht="12" customHeight="1"/>
    <row r="41339" ht="12" customHeight="1"/>
    <row r="41340" ht="12" customHeight="1"/>
    <row r="41341" ht="12" customHeight="1"/>
    <row r="41342" ht="12" customHeight="1"/>
    <row r="41343" ht="12" customHeight="1"/>
    <row r="41344" ht="12" customHeight="1"/>
    <row r="41345" ht="12" customHeight="1"/>
    <row r="41346" ht="12" customHeight="1"/>
    <row r="41347" ht="12" customHeight="1"/>
    <row r="41348" ht="12" customHeight="1"/>
    <row r="41349" ht="12" customHeight="1"/>
    <row r="41350" ht="12" customHeight="1"/>
    <row r="41351" ht="12" customHeight="1"/>
    <row r="41352" ht="12" customHeight="1"/>
    <row r="41353" ht="12" customHeight="1"/>
    <row r="41354" ht="12" customHeight="1"/>
    <row r="41355" ht="12" customHeight="1"/>
    <row r="41356" ht="12" customHeight="1"/>
    <row r="41357" ht="12" customHeight="1"/>
    <row r="41358" ht="12" customHeight="1"/>
    <row r="41359" ht="12" customHeight="1"/>
    <row r="41360" ht="12" customHeight="1"/>
    <row r="41361" ht="12" customHeight="1"/>
    <row r="41362" ht="12" customHeight="1"/>
    <row r="41363" ht="12" customHeight="1"/>
    <row r="41364" ht="12" customHeight="1"/>
    <row r="41365" ht="12" customHeight="1"/>
    <row r="41366" ht="12" customHeight="1"/>
    <row r="41367" ht="12" customHeight="1"/>
    <row r="41368" ht="12" customHeight="1"/>
    <row r="41369" ht="12" customHeight="1"/>
    <row r="41370" ht="12" customHeight="1"/>
    <row r="41371" ht="12" customHeight="1"/>
    <row r="41372" ht="12" customHeight="1"/>
    <row r="41373" ht="12" customHeight="1"/>
    <row r="41374" ht="12" customHeight="1"/>
    <row r="41375" ht="12" customHeight="1"/>
    <row r="41376" ht="12" customHeight="1"/>
    <row r="41377" ht="12" customHeight="1"/>
    <row r="41378" ht="12" customHeight="1"/>
    <row r="41379" ht="12" customHeight="1"/>
    <row r="41380" ht="12" customHeight="1"/>
    <row r="41381" ht="12" customHeight="1"/>
    <row r="41382" ht="12" customHeight="1"/>
    <row r="41383" ht="12" customHeight="1"/>
    <row r="41384" ht="12" customHeight="1"/>
    <row r="41385" ht="12" customHeight="1"/>
    <row r="41386" ht="12" customHeight="1"/>
    <row r="41387" ht="12" customHeight="1"/>
    <row r="41388" ht="12" customHeight="1"/>
    <row r="41389" ht="12" customHeight="1"/>
    <row r="41390" ht="12" customHeight="1"/>
    <row r="41391" ht="12" customHeight="1"/>
    <row r="41392" ht="12" customHeight="1"/>
    <row r="41393" ht="12" customHeight="1"/>
    <row r="41394" ht="12" customHeight="1"/>
    <row r="41395" ht="12" customHeight="1"/>
    <row r="41396" ht="12" customHeight="1"/>
    <row r="41397" ht="12" customHeight="1"/>
    <row r="41398" ht="12" customHeight="1"/>
    <row r="41399" ht="12" customHeight="1"/>
    <row r="41400" ht="12" customHeight="1"/>
    <row r="41401" ht="12" customHeight="1"/>
    <row r="41402" ht="12" customHeight="1"/>
    <row r="41403" ht="12" customHeight="1"/>
    <row r="41404" ht="12" customHeight="1"/>
    <row r="41405" ht="12" customHeight="1"/>
    <row r="41406" ht="12" customHeight="1"/>
    <row r="41407" ht="12" customHeight="1"/>
    <row r="41408" ht="12" customHeight="1"/>
    <row r="41409" ht="12" customHeight="1"/>
    <row r="41410" ht="12" customHeight="1"/>
    <row r="41411" ht="12" customHeight="1"/>
    <row r="41412" ht="12" customHeight="1"/>
    <row r="41413" ht="12" customHeight="1"/>
    <row r="41414" ht="12" customHeight="1"/>
    <row r="41415" ht="12" customHeight="1"/>
    <row r="41416" ht="12" customHeight="1"/>
    <row r="41417" ht="12" customHeight="1"/>
    <row r="41418" ht="12" customHeight="1"/>
    <row r="41419" ht="12" customHeight="1"/>
    <row r="41420" ht="12" customHeight="1"/>
    <row r="41421" ht="12" customHeight="1"/>
    <row r="41422" ht="12" customHeight="1"/>
    <row r="41423" ht="12" customHeight="1"/>
    <row r="41424" ht="12" customHeight="1"/>
    <row r="41425" ht="12" customHeight="1"/>
    <row r="41426" ht="12" customHeight="1"/>
    <row r="41427" ht="12" customHeight="1"/>
    <row r="41428" ht="12" customHeight="1"/>
    <row r="41429" ht="12" customHeight="1"/>
    <row r="41430" ht="12" customHeight="1"/>
    <row r="41431" ht="12" customHeight="1"/>
    <row r="41432" ht="12" customHeight="1"/>
    <row r="41433" ht="12" customHeight="1"/>
    <row r="41434" ht="12" customHeight="1"/>
    <row r="41435" ht="12" customHeight="1"/>
    <row r="41436" ht="12" customHeight="1"/>
    <row r="41437" ht="12" customHeight="1"/>
    <row r="41438" ht="12" customHeight="1"/>
    <row r="41439" ht="12" customHeight="1"/>
    <row r="41440" ht="12" customHeight="1"/>
    <row r="41441" ht="12" customHeight="1"/>
    <row r="41442" ht="12" customHeight="1"/>
    <row r="41443" ht="12" customHeight="1"/>
    <row r="41444" ht="12" customHeight="1"/>
    <row r="41445" ht="12" customHeight="1"/>
    <row r="41446" ht="12" customHeight="1"/>
    <row r="41447" ht="12" customHeight="1"/>
    <row r="41448" ht="12" customHeight="1"/>
    <row r="41449" ht="12" customHeight="1"/>
    <row r="41450" ht="12" customHeight="1"/>
    <row r="41451" ht="12" customHeight="1"/>
    <row r="41452" ht="12" customHeight="1"/>
    <row r="41453" ht="12" customHeight="1"/>
    <row r="41454" ht="12" customHeight="1"/>
    <row r="41455" ht="12" customHeight="1"/>
    <row r="41456" ht="12" customHeight="1"/>
    <row r="41457" ht="12" customHeight="1"/>
    <row r="41458" ht="12" customHeight="1"/>
    <row r="41459" ht="12" customHeight="1"/>
    <row r="41460" ht="12" customHeight="1"/>
    <row r="41461" ht="12" customHeight="1"/>
    <row r="41462" ht="12" customHeight="1"/>
    <row r="41463" ht="12" customHeight="1"/>
    <row r="41464" ht="12" customHeight="1"/>
    <row r="41465" ht="12" customHeight="1"/>
    <row r="41466" ht="12" customHeight="1"/>
    <row r="41467" ht="12" customHeight="1"/>
    <row r="41468" ht="12" customHeight="1"/>
    <row r="41469" ht="12" customHeight="1"/>
    <row r="41470" ht="12" customHeight="1"/>
    <row r="41471" ht="12" customHeight="1"/>
    <row r="41472" ht="12" customHeight="1"/>
    <row r="41473" ht="12" customHeight="1"/>
    <row r="41474" ht="12" customHeight="1"/>
    <row r="41475" ht="12" customHeight="1"/>
    <row r="41476" ht="12" customHeight="1"/>
    <row r="41477" ht="12" customHeight="1"/>
    <row r="41478" ht="12" customHeight="1"/>
    <row r="41479" ht="12" customHeight="1"/>
    <row r="41480" ht="12" customHeight="1"/>
    <row r="41481" ht="12" customHeight="1"/>
    <row r="41482" ht="12" customHeight="1"/>
    <row r="41483" ht="12" customHeight="1"/>
    <row r="41484" ht="12" customHeight="1"/>
    <row r="41485" ht="12" customHeight="1"/>
    <row r="41486" ht="12" customHeight="1"/>
    <row r="41487" ht="12" customHeight="1"/>
    <row r="41488" ht="12" customHeight="1"/>
    <row r="41489" ht="12" customHeight="1"/>
    <row r="41490" ht="12" customHeight="1"/>
    <row r="41491" ht="12" customHeight="1"/>
    <row r="41492" ht="12" customHeight="1"/>
    <row r="41493" ht="12" customHeight="1"/>
    <row r="41494" ht="12" customHeight="1"/>
    <row r="41495" ht="12" customHeight="1"/>
    <row r="41496" ht="12" customHeight="1"/>
    <row r="41497" ht="12" customHeight="1"/>
    <row r="41498" ht="12" customHeight="1"/>
    <row r="41499" ht="12" customHeight="1"/>
    <row r="41500" ht="12" customHeight="1"/>
    <row r="41501" ht="12" customHeight="1"/>
    <row r="41502" ht="12" customHeight="1"/>
    <row r="41503" ht="12" customHeight="1"/>
    <row r="41504" ht="12" customHeight="1"/>
    <row r="41505" ht="12" customHeight="1"/>
    <row r="41506" ht="12" customHeight="1"/>
    <row r="41507" ht="12" customHeight="1"/>
    <row r="41508" ht="12" customHeight="1"/>
    <row r="41509" ht="12" customHeight="1"/>
    <row r="41510" ht="12" customHeight="1"/>
    <row r="41511" ht="12" customHeight="1"/>
    <row r="41512" ht="12" customHeight="1"/>
    <row r="41513" ht="12" customHeight="1"/>
    <row r="41514" ht="12" customHeight="1"/>
    <row r="41515" ht="12" customHeight="1"/>
    <row r="41516" ht="12" customHeight="1"/>
    <row r="41517" ht="12" customHeight="1"/>
    <row r="41518" ht="12" customHeight="1"/>
    <row r="41519" ht="12" customHeight="1"/>
    <row r="41520" ht="12" customHeight="1"/>
    <row r="41521" ht="12" customHeight="1"/>
    <row r="41522" ht="12" customHeight="1"/>
    <row r="41523" ht="12" customHeight="1"/>
    <row r="41524" ht="12" customHeight="1"/>
    <row r="41525" ht="12" customHeight="1"/>
    <row r="41526" ht="12" customHeight="1"/>
    <row r="41527" ht="12" customHeight="1"/>
    <row r="41528" ht="12" customHeight="1"/>
    <row r="41529" ht="12" customHeight="1"/>
    <row r="41530" ht="12" customHeight="1"/>
    <row r="41531" ht="12" customHeight="1"/>
    <row r="41532" ht="12" customHeight="1"/>
    <row r="41533" ht="12" customHeight="1"/>
    <row r="41534" ht="12" customHeight="1"/>
    <row r="41535" ht="12" customHeight="1"/>
    <row r="41536" ht="12" customHeight="1"/>
    <row r="41537" ht="12" customHeight="1"/>
    <row r="41538" ht="12" customHeight="1"/>
    <row r="41539" ht="12" customHeight="1"/>
    <row r="41540" ht="12" customHeight="1"/>
    <row r="41541" ht="12" customHeight="1"/>
    <row r="41542" ht="12" customHeight="1"/>
    <row r="41543" ht="12" customHeight="1"/>
    <row r="41544" ht="12" customHeight="1"/>
    <row r="41545" ht="12" customHeight="1"/>
    <row r="41546" ht="12" customHeight="1"/>
    <row r="41547" ht="12" customHeight="1"/>
    <row r="41548" ht="12" customHeight="1"/>
    <row r="41549" ht="12" customHeight="1"/>
    <row r="41550" ht="12" customHeight="1"/>
    <row r="41551" ht="12" customHeight="1"/>
    <row r="41552" ht="12" customHeight="1"/>
    <row r="41553" ht="12" customHeight="1"/>
    <row r="41554" ht="12" customHeight="1"/>
    <row r="41555" ht="12" customHeight="1"/>
    <row r="41556" ht="12" customHeight="1"/>
    <row r="41557" ht="12" customHeight="1"/>
    <row r="41558" ht="12" customHeight="1"/>
    <row r="41559" ht="12" customHeight="1"/>
    <row r="41560" ht="12" customHeight="1"/>
    <row r="41561" ht="12" customHeight="1"/>
    <row r="41562" ht="12" customHeight="1"/>
    <row r="41563" ht="12" customHeight="1"/>
    <row r="41564" ht="12" customHeight="1"/>
    <row r="41565" ht="12" customHeight="1"/>
    <row r="41566" ht="12" customHeight="1"/>
    <row r="41567" ht="12" customHeight="1"/>
    <row r="41568" ht="12" customHeight="1"/>
    <row r="41569" ht="12" customHeight="1"/>
    <row r="41570" ht="12" customHeight="1"/>
    <row r="41571" ht="12" customHeight="1"/>
    <row r="41572" ht="12" customHeight="1"/>
    <row r="41573" ht="12" customHeight="1"/>
    <row r="41574" ht="12" customHeight="1"/>
    <row r="41575" ht="12" customHeight="1"/>
    <row r="41576" ht="12" customHeight="1"/>
    <row r="41577" ht="12" customHeight="1"/>
    <row r="41578" ht="12" customHeight="1"/>
    <row r="41579" ht="12" customHeight="1"/>
    <row r="41580" ht="12" customHeight="1"/>
    <row r="41581" ht="12" customHeight="1"/>
    <row r="41582" ht="12" customHeight="1"/>
    <row r="41583" ht="12" customHeight="1"/>
    <row r="41584" ht="12" customHeight="1"/>
    <row r="41585" ht="12" customHeight="1"/>
    <row r="41586" ht="12" customHeight="1"/>
    <row r="41587" ht="12" customHeight="1"/>
    <row r="41588" ht="12" customHeight="1"/>
    <row r="41589" ht="12" customHeight="1"/>
    <row r="41590" ht="12" customHeight="1"/>
    <row r="41591" ht="12" customHeight="1"/>
    <row r="41592" ht="12" customHeight="1"/>
    <row r="41593" ht="12" customHeight="1"/>
    <row r="41594" ht="12" customHeight="1"/>
    <row r="41595" ht="12" customHeight="1"/>
    <row r="41596" ht="12" customHeight="1"/>
    <row r="41597" ht="12" customHeight="1"/>
    <row r="41598" ht="12" customHeight="1"/>
    <row r="41599" ht="12" customHeight="1"/>
    <row r="41600" ht="12" customHeight="1"/>
    <row r="41601" ht="12" customHeight="1"/>
    <row r="41602" ht="12" customHeight="1"/>
    <row r="41603" ht="12" customHeight="1"/>
    <row r="41604" ht="12" customHeight="1"/>
    <row r="41605" ht="12" customHeight="1"/>
    <row r="41606" ht="12" customHeight="1"/>
    <row r="41607" ht="12" customHeight="1"/>
    <row r="41608" ht="12" customHeight="1"/>
    <row r="41609" ht="12" customHeight="1"/>
    <row r="41610" ht="12" customHeight="1"/>
    <row r="41611" ht="12" customHeight="1"/>
    <row r="41612" ht="12" customHeight="1"/>
    <row r="41613" ht="12" customHeight="1"/>
    <row r="41614" ht="12" customHeight="1"/>
    <row r="41615" ht="12" customHeight="1"/>
    <row r="41616" ht="12" customHeight="1"/>
    <row r="41617" ht="12" customHeight="1"/>
    <row r="41618" ht="12" customHeight="1"/>
    <row r="41619" ht="12" customHeight="1"/>
    <row r="41620" ht="12" customHeight="1"/>
    <row r="41621" ht="12" customHeight="1"/>
    <row r="41622" ht="12" customHeight="1"/>
    <row r="41623" ht="12" customHeight="1"/>
    <row r="41624" ht="12" customHeight="1"/>
    <row r="41625" ht="12" customHeight="1"/>
    <row r="41626" ht="12" customHeight="1"/>
    <row r="41627" ht="12" customHeight="1"/>
    <row r="41628" ht="12" customHeight="1"/>
    <row r="41629" ht="12" customHeight="1"/>
    <row r="41630" ht="12" customHeight="1"/>
    <row r="41631" ht="12" customHeight="1"/>
    <row r="41632" ht="12" customHeight="1"/>
    <row r="41633" ht="12" customHeight="1"/>
    <row r="41634" ht="12" customHeight="1"/>
    <row r="41635" ht="12" customHeight="1"/>
    <row r="41636" ht="12" customHeight="1"/>
    <row r="41637" ht="12" customHeight="1"/>
    <row r="41638" ht="12" customHeight="1"/>
    <row r="41639" ht="12" customHeight="1"/>
    <row r="41640" ht="12" customHeight="1"/>
    <row r="41641" ht="12" customHeight="1"/>
    <row r="41642" ht="12" customHeight="1"/>
    <row r="41643" ht="12" customHeight="1"/>
    <row r="41644" ht="12" customHeight="1"/>
    <row r="41645" ht="12" customHeight="1"/>
    <row r="41646" ht="12" customHeight="1"/>
    <row r="41647" ht="12" customHeight="1"/>
    <row r="41648" ht="12" customHeight="1"/>
    <row r="41649" ht="12" customHeight="1"/>
    <row r="41650" ht="12" customHeight="1"/>
    <row r="41651" ht="12" customHeight="1"/>
    <row r="41652" ht="12" customHeight="1"/>
    <row r="41653" ht="12" customHeight="1"/>
    <row r="41654" ht="12" customHeight="1"/>
    <row r="41655" ht="12" customHeight="1"/>
    <row r="41656" ht="12" customHeight="1"/>
    <row r="41657" ht="12" customHeight="1"/>
    <row r="41658" ht="12" customHeight="1"/>
    <row r="41659" ht="12" customHeight="1"/>
    <row r="41660" ht="12" customHeight="1"/>
    <row r="41661" ht="12" customHeight="1"/>
    <row r="41662" ht="12" customHeight="1"/>
    <row r="41663" ht="12" customHeight="1"/>
    <row r="41664" ht="12" customHeight="1"/>
    <row r="41665" ht="12" customHeight="1"/>
    <row r="41666" ht="12" customHeight="1"/>
    <row r="41667" ht="12" customHeight="1"/>
    <row r="41668" ht="12" customHeight="1"/>
    <row r="41669" ht="12" customHeight="1"/>
    <row r="41670" ht="12" customHeight="1"/>
    <row r="41671" ht="12" customHeight="1"/>
    <row r="41672" ht="12" customHeight="1"/>
    <row r="41673" ht="12" customHeight="1"/>
    <row r="41674" ht="12" customHeight="1"/>
    <row r="41675" ht="12" customHeight="1"/>
    <row r="41676" ht="12" customHeight="1"/>
    <row r="41677" ht="12" customHeight="1"/>
    <row r="41678" ht="12" customHeight="1"/>
    <row r="41679" ht="12" customHeight="1"/>
    <row r="41680" ht="12" customHeight="1"/>
    <row r="41681" ht="12" customHeight="1"/>
    <row r="41682" ht="12" customHeight="1"/>
    <row r="41683" ht="12" customHeight="1"/>
    <row r="41684" ht="12" customHeight="1"/>
    <row r="41685" ht="12" customHeight="1"/>
    <row r="41686" ht="12" customHeight="1"/>
    <row r="41687" ht="12" customHeight="1"/>
    <row r="41688" ht="12" customHeight="1"/>
    <row r="41689" ht="12" customHeight="1"/>
    <row r="41690" ht="12" customHeight="1"/>
    <row r="41691" ht="12" customHeight="1"/>
    <row r="41692" ht="12" customHeight="1"/>
    <row r="41693" ht="12" customHeight="1"/>
    <row r="41694" ht="12" customHeight="1"/>
    <row r="41695" ht="12" customHeight="1"/>
    <row r="41696" ht="12" customHeight="1"/>
    <row r="41697" ht="12" customHeight="1"/>
    <row r="41698" ht="12" customHeight="1"/>
    <row r="41699" ht="12" customHeight="1"/>
    <row r="41700" ht="12" customHeight="1"/>
    <row r="41701" ht="12" customHeight="1"/>
    <row r="41702" ht="12" customHeight="1"/>
    <row r="41703" ht="12" customHeight="1"/>
    <row r="41704" ht="12" customHeight="1"/>
    <row r="41705" ht="12" customHeight="1"/>
    <row r="41706" ht="12" customHeight="1"/>
    <row r="41707" ht="12" customHeight="1"/>
    <row r="41708" ht="12" customHeight="1"/>
    <row r="41709" ht="12" customHeight="1"/>
    <row r="41710" ht="12" customHeight="1"/>
    <row r="41711" ht="12" customHeight="1"/>
    <row r="41712" ht="12" customHeight="1"/>
    <row r="41713" ht="12" customHeight="1"/>
    <row r="41714" ht="12" customHeight="1"/>
    <row r="41715" ht="12" customHeight="1"/>
    <row r="41716" ht="12" customHeight="1"/>
    <row r="41717" ht="12" customHeight="1"/>
    <row r="41718" ht="12" customHeight="1"/>
    <row r="41719" ht="12" customHeight="1"/>
    <row r="41720" ht="12" customHeight="1"/>
    <row r="41721" ht="12" customHeight="1"/>
    <row r="41722" ht="12" customHeight="1"/>
    <row r="41723" ht="12" customHeight="1"/>
    <row r="41724" ht="12" customHeight="1"/>
    <row r="41725" ht="12" customHeight="1"/>
    <row r="41726" ht="12" customHeight="1"/>
    <row r="41727" ht="12" customHeight="1"/>
    <row r="41728" ht="12" customHeight="1"/>
    <row r="41729" ht="12" customHeight="1"/>
    <row r="41730" ht="12" customHeight="1"/>
    <row r="41731" ht="12" customHeight="1"/>
    <row r="41732" ht="12" customHeight="1"/>
    <row r="41733" ht="12" customHeight="1"/>
    <row r="41734" ht="12" customHeight="1"/>
    <row r="41735" ht="12" customHeight="1"/>
    <row r="41736" ht="12" customHeight="1"/>
    <row r="41737" ht="12" customHeight="1"/>
    <row r="41738" ht="12" customHeight="1"/>
    <row r="41739" ht="12" customHeight="1"/>
    <row r="41740" ht="12" customHeight="1"/>
    <row r="41741" ht="12" customHeight="1"/>
    <row r="41742" ht="12" customHeight="1"/>
    <row r="41743" ht="12" customHeight="1"/>
    <row r="41744" ht="12" customHeight="1"/>
    <row r="41745" ht="12" customHeight="1"/>
    <row r="41746" ht="12" customHeight="1"/>
    <row r="41747" ht="12" customHeight="1"/>
    <row r="41748" ht="12" customHeight="1"/>
    <row r="41749" ht="12" customHeight="1"/>
    <row r="41750" ht="12" customHeight="1"/>
    <row r="41751" ht="12" customHeight="1"/>
    <row r="41752" ht="12" customHeight="1"/>
    <row r="41753" ht="12" customHeight="1"/>
    <row r="41754" ht="12" customHeight="1"/>
    <row r="41755" ht="12" customHeight="1"/>
    <row r="41756" ht="12" customHeight="1"/>
    <row r="41757" ht="12" customHeight="1"/>
    <row r="41758" ht="12" customHeight="1"/>
    <row r="41759" ht="12" customHeight="1"/>
    <row r="41760" ht="12" customHeight="1"/>
    <row r="41761" ht="12" customHeight="1"/>
    <row r="41762" ht="12" customHeight="1"/>
    <row r="41763" ht="12" customHeight="1"/>
    <row r="41764" ht="12" customHeight="1"/>
    <row r="41765" ht="12" customHeight="1"/>
    <row r="41766" ht="12" customHeight="1"/>
    <row r="41767" ht="12" customHeight="1"/>
    <row r="41768" ht="12" customHeight="1"/>
    <row r="41769" ht="12" customHeight="1"/>
    <row r="41770" ht="12" customHeight="1"/>
    <row r="41771" ht="12" customHeight="1"/>
    <row r="41772" ht="12" customHeight="1"/>
    <row r="41773" ht="12" customHeight="1"/>
    <row r="41774" ht="12" customHeight="1"/>
    <row r="41775" ht="12" customHeight="1"/>
    <row r="41776" ht="12" customHeight="1"/>
    <row r="41777" ht="12" customHeight="1"/>
    <row r="41778" ht="12" customHeight="1"/>
    <row r="41779" ht="12" customHeight="1"/>
    <row r="41780" ht="12" customHeight="1"/>
    <row r="41781" ht="12" customHeight="1"/>
    <row r="41782" ht="12" customHeight="1"/>
    <row r="41783" ht="12" customHeight="1"/>
    <row r="41784" ht="12" customHeight="1"/>
    <row r="41785" ht="12" customHeight="1"/>
    <row r="41786" ht="12" customHeight="1"/>
    <row r="41787" ht="12" customHeight="1"/>
    <row r="41788" ht="12" customHeight="1"/>
    <row r="41789" ht="12" customHeight="1"/>
    <row r="41790" ht="12" customHeight="1"/>
    <row r="41791" ht="12" customHeight="1"/>
    <row r="41792" ht="12" customHeight="1"/>
    <row r="41793" ht="12" customHeight="1"/>
    <row r="41794" ht="12" customHeight="1"/>
    <row r="41795" ht="12" customHeight="1"/>
    <row r="41796" ht="12" customHeight="1"/>
    <row r="41797" ht="12" customHeight="1"/>
    <row r="41798" ht="12" customHeight="1"/>
    <row r="41799" ht="12" customHeight="1"/>
    <row r="41800" ht="12" customHeight="1"/>
    <row r="41801" ht="12" customHeight="1"/>
    <row r="41802" ht="12" customHeight="1"/>
    <row r="41803" ht="12" customHeight="1"/>
    <row r="41804" ht="12" customHeight="1"/>
    <row r="41805" ht="12" customHeight="1"/>
    <row r="41806" ht="12" customHeight="1"/>
    <row r="41807" ht="12" customHeight="1"/>
    <row r="41808" ht="12" customHeight="1"/>
    <row r="41809" ht="12" customHeight="1"/>
    <row r="41810" ht="12" customHeight="1"/>
    <row r="41811" ht="12" customHeight="1"/>
    <row r="41812" ht="12" customHeight="1"/>
    <row r="41813" ht="12" customHeight="1"/>
    <row r="41814" ht="12" customHeight="1"/>
    <row r="41815" ht="12" customHeight="1"/>
    <row r="41816" ht="12" customHeight="1"/>
    <row r="41817" ht="12" customHeight="1"/>
    <row r="41818" ht="12" customHeight="1"/>
    <row r="41819" ht="12" customHeight="1"/>
    <row r="41820" ht="12" customHeight="1"/>
    <row r="41821" ht="12" customHeight="1"/>
    <row r="41822" ht="12" customHeight="1"/>
    <row r="41823" ht="12" customHeight="1"/>
    <row r="41824" ht="12" customHeight="1"/>
    <row r="41825" ht="12" customHeight="1"/>
    <row r="41826" ht="12" customHeight="1"/>
    <row r="41827" ht="12" customHeight="1"/>
    <row r="41828" ht="12" customHeight="1"/>
    <row r="41829" ht="12" customHeight="1"/>
    <row r="41830" ht="12" customHeight="1"/>
    <row r="41831" ht="12" customHeight="1"/>
    <row r="41832" ht="12" customHeight="1"/>
    <row r="41833" ht="12" customHeight="1"/>
    <row r="41834" ht="12" customHeight="1"/>
    <row r="41835" ht="12" customHeight="1"/>
    <row r="41836" ht="12" customHeight="1"/>
    <row r="41837" ht="12" customHeight="1"/>
    <row r="41838" ht="12" customHeight="1"/>
    <row r="41839" ht="12" customHeight="1"/>
    <row r="41840" ht="12" customHeight="1"/>
    <row r="41841" ht="12" customHeight="1"/>
    <row r="41842" ht="12" customHeight="1"/>
    <row r="41843" ht="12" customHeight="1"/>
    <row r="41844" ht="12" customHeight="1"/>
    <row r="41845" ht="12" customHeight="1"/>
    <row r="41846" ht="12" customHeight="1"/>
    <row r="41847" ht="12" customHeight="1"/>
    <row r="41848" ht="12" customHeight="1"/>
    <row r="41849" ht="12" customHeight="1"/>
    <row r="41850" ht="12" customHeight="1"/>
    <row r="41851" ht="12" customHeight="1"/>
    <row r="41852" ht="12" customHeight="1"/>
    <row r="41853" ht="12" customHeight="1"/>
    <row r="41854" ht="12" customHeight="1"/>
    <row r="41855" ht="12" customHeight="1"/>
    <row r="41856" ht="12" customHeight="1"/>
    <row r="41857" ht="12" customHeight="1"/>
    <row r="41858" ht="12" customHeight="1"/>
    <row r="41859" ht="12" customHeight="1"/>
    <row r="41860" ht="12" customHeight="1"/>
    <row r="41861" ht="12" customHeight="1"/>
    <row r="41862" ht="12" customHeight="1"/>
    <row r="41863" ht="12" customHeight="1"/>
    <row r="41864" ht="12" customHeight="1"/>
    <row r="41865" ht="12" customHeight="1"/>
    <row r="41866" ht="12" customHeight="1"/>
    <row r="41867" ht="12" customHeight="1"/>
    <row r="41868" ht="12" customHeight="1"/>
    <row r="41869" ht="12" customHeight="1"/>
    <row r="41870" ht="12" customHeight="1"/>
    <row r="41871" ht="12" customHeight="1"/>
    <row r="41872" ht="12" customHeight="1"/>
    <row r="41873" ht="12" customHeight="1"/>
    <row r="41874" ht="12" customHeight="1"/>
    <row r="41875" ht="12" customHeight="1"/>
    <row r="41876" ht="12" customHeight="1"/>
    <row r="41877" ht="12" customHeight="1"/>
    <row r="41878" ht="12" customHeight="1"/>
    <row r="41879" ht="12" customHeight="1"/>
    <row r="41880" ht="12" customHeight="1"/>
    <row r="41881" ht="12" customHeight="1"/>
    <row r="41882" ht="12" customHeight="1"/>
    <row r="41883" ht="12" customHeight="1"/>
    <row r="41884" ht="12" customHeight="1"/>
    <row r="41885" ht="12" customHeight="1"/>
    <row r="41886" ht="12" customHeight="1"/>
    <row r="41887" ht="12" customHeight="1"/>
    <row r="41888" ht="12" customHeight="1"/>
    <row r="41889" ht="12" customHeight="1"/>
    <row r="41890" ht="12" customHeight="1"/>
    <row r="41891" ht="12" customHeight="1"/>
    <row r="41892" ht="12" customHeight="1"/>
    <row r="41893" ht="12" customHeight="1"/>
    <row r="41894" ht="12" customHeight="1"/>
    <row r="41895" ht="12" customHeight="1"/>
    <row r="41896" ht="12" customHeight="1"/>
    <row r="41897" ht="12" customHeight="1"/>
    <row r="41898" ht="12" customHeight="1"/>
    <row r="41899" ht="12" customHeight="1"/>
    <row r="41900" ht="12" customHeight="1"/>
    <row r="41901" ht="12" customHeight="1"/>
    <row r="41902" ht="12" customHeight="1"/>
    <row r="41903" ht="12" customHeight="1"/>
    <row r="41904" ht="12" customHeight="1"/>
    <row r="41905" ht="12" customHeight="1"/>
    <row r="41906" ht="12" customHeight="1"/>
    <row r="41907" ht="12" customHeight="1"/>
    <row r="41908" ht="12" customHeight="1"/>
    <row r="41909" ht="12" customHeight="1"/>
    <row r="41910" ht="12" customHeight="1"/>
    <row r="41911" ht="12" customHeight="1"/>
    <row r="41912" ht="12" customHeight="1"/>
    <row r="41913" ht="12" customHeight="1"/>
    <row r="41914" ht="12" customHeight="1"/>
    <row r="41915" ht="12" customHeight="1"/>
    <row r="41916" ht="12" customHeight="1"/>
    <row r="41917" ht="12" customHeight="1"/>
    <row r="41918" ht="12" customHeight="1"/>
    <row r="41919" ht="12" customHeight="1"/>
    <row r="41920" ht="12" customHeight="1"/>
    <row r="41921" ht="12" customHeight="1"/>
    <row r="41922" ht="12" customHeight="1"/>
    <row r="41923" ht="12" customHeight="1"/>
    <row r="41924" ht="12" customHeight="1"/>
    <row r="41925" ht="12" customHeight="1"/>
    <row r="41926" ht="12" customHeight="1"/>
    <row r="41927" ht="12" customHeight="1"/>
    <row r="41928" ht="12" customHeight="1"/>
    <row r="41929" ht="12" customHeight="1"/>
    <row r="41930" ht="12" customHeight="1"/>
    <row r="41931" ht="12" customHeight="1"/>
    <row r="41932" ht="12" customHeight="1"/>
    <row r="41933" ht="12" customHeight="1"/>
    <row r="41934" ht="12" customHeight="1"/>
    <row r="41935" ht="12" customHeight="1"/>
    <row r="41936" ht="12" customHeight="1"/>
    <row r="41937" ht="12" customHeight="1"/>
    <row r="41938" ht="12" customHeight="1"/>
    <row r="41939" ht="12" customHeight="1"/>
    <row r="41940" ht="12" customHeight="1"/>
    <row r="41941" ht="12" customHeight="1"/>
    <row r="41942" ht="12" customHeight="1"/>
    <row r="41943" ht="12" customHeight="1"/>
    <row r="41944" ht="12" customHeight="1"/>
    <row r="41945" ht="12" customHeight="1"/>
    <row r="41946" ht="12" customHeight="1"/>
    <row r="41947" ht="12" customHeight="1"/>
    <row r="41948" ht="12" customHeight="1"/>
    <row r="41949" ht="12" customHeight="1"/>
    <row r="41950" ht="12" customHeight="1"/>
    <row r="41951" ht="12" customHeight="1"/>
    <row r="41952" ht="12" customHeight="1"/>
    <row r="41953" ht="12" customHeight="1"/>
    <row r="41954" ht="12" customHeight="1"/>
    <row r="41955" ht="12" customHeight="1"/>
    <row r="41956" ht="12" customHeight="1"/>
    <row r="41957" ht="12" customHeight="1"/>
    <row r="41958" ht="12" customHeight="1"/>
    <row r="41959" ht="12" customHeight="1"/>
    <row r="41960" ht="12" customHeight="1"/>
    <row r="41961" ht="12" customHeight="1"/>
    <row r="41962" ht="12" customHeight="1"/>
    <row r="41963" ht="12" customHeight="1"/>
    <row r="41964" ht="12" customHeight="1"/>
    <row r="41965" ht="12" customHeight="1"/>
    <row r="41966" ht="12" customHeight="1"/>
    <row r="41967" ht="12" customHeight="1"/>
    <row r="41968" ht="12" customHeight="1"/>
    <row r="41969" ht="12" customHeight="1"/>
    <row r="41970" ht="12" customHeight="1"/>
    <row r="41971" ht="12" customHeight="1"/>
    <row r="41972" ht="12" customHeight="1"/>
    <row r="41973" ht="12" customHeight="1"/>
    <row r="41974" ht="12" customHeight="1"/>
    <row r="41975" ht="12" customHeight="1"/>
    <row r="41976" ht="12" customHeight="1"/>
    <row r="41977" ht="12" customHeight="1"/>
    <row r="41978" ht="12" customHeight="1"/>
    <row r="41979" ht="12" customHeight="1"/>
    <row r="41980" ht="12" customHeight="1"/>
    <row r="41981" ht="12" customHeight="1"/>
    <row r="41982" ht="12" customHeight="1"/>
    <row r="41983" ht="12" customHeight="1"/>
    <row r="41984" ht="12" customHeight="1"/>
    <row r="41985" ht="12" customHeight="1"/>
    <row r="41986" ht="12" customHeight="1"/>
    <row r="41987" ht="12" customHeight="1"/>
    <row r="41988" ht="12" customHeight="1"/>
    <row r="41989" ht="12" customHeight="1"/>
    <row r="41990" ht="12" customHeight="1"/>
    <row r="41991" ht="12" customHeight="1"/>
    <row r="41992" ht="12" customHeight="1"/>
    <row r="41993" ht="12" customHeight="1"/>
    <row r="41994" ht="12" customHeight="1"/>
    <row r="41995" ht="12" customHeight="1"/>
    <row r="41996" ht="12" customHeight="1"/>
    <row r="41997" ht="12" customHeight="1"/>
    <row r="41998" ht="12" customHeight="1"/>
    <row r="41999" ht="12" customHeight="1"/>
    <row r="42000" ht="12" customHeight="1"/>
    <row r="42001" ht="12" customHeight="1"/>
    <row r="42002" ht="12" customHeight="1"/>
    <row r="42003" ht="12" customHeight="1"/>
    <row r="42004" ht="12" customHeight="1"/>
    <row r="42005" ht="12" customHeight="1"/>
    <row r="42006" ht="12" customHeight="1"/>
    <row r="42007" ht="12" customHeight="1"/>
    <row r="42008" ht="12" customHeight="1"/>
    <row r="42009" ht="12" customHeight="1"/>
    <row r="42010" ht="12" customHeight="1"/>
    <row r="42011" ht="12" customHeight="1"/>
    <row r="42012" ht="12" customHeight="1"/>
    <row r="42013" ht="12" customHeight="1"/>
    <row r="42014" ht="12" customHeight="1"/>
    <row r="42015" ht="12" customHeight="1"/>
    <row r="42016" ht="12" customHeight="1"/>
    <row r="42017" ht="12" customHeight="1"/>
    <row r="42018" ht="12" customHeight="1"/>
    <row r="42019" ht="12" customHeight="1"/>
    <row r="42020" ht="12" customHeight="1"/>
    <row r="42021" ht="12" customHeight="1"/>
    <row r="42022" ht="12" customHeight="1"/>
    <row r="42023" ht="12" customHeight="1"/>
    <row r="42024" ht="12" customHeight="1"/>
    <row r="42025" ht="12" customHeight="1"/>
    <row r="42026" ht="12" customHeight="1"/>
    <row r="42027" ht="12" customHeight="1"/>
    <row r="42028" ht="12" customHeight="1"/>
    <row r="42029" ht="12" customHeight="1"/>
    <row r="42030" ht="12" customHeight="1"/>
    <row r="42031" ht="12" customHeight="1"/>
    <row r="42032" ht="12" customHeight="1"/>
    <row r="42033" ht="12" customHeight="1"/>
    <row r="42034" ht="12" customHeight="1"/>
    <row r="42035" ht="12" customHeight="1"/>
    <row r="42036" ht="12" customHeight="1"/>
    <row r="42037" ht="12" customHeight="1"/>
    <row r="42038" ht="12" customHeight="1"/>
    <row r="42039" ht="12" customHeight="1"/>
    <row r="42040" ht="12" customHeight="1"/>
    <row r="42041" ht="12" customHeight="1"/>
    <row r="42042" ht="12" customHeight="1"/>
    <row r="42043" ht="12" customHeight="1"/>
    <row r="42044" ht="12" customHeight="1"/>
    <row r="42045" ht="12" customHeight="1"/>
    <row r="42046" ht="12" customHeight="1"/>
    <row r="42047" ht="12" customHeight="1"/>
    <row r="42048" ht="12" customHeight="1"/>
    <row r="42049" ht="12" customHeight="1"/>
    <row r="42050" ht="12" customHeight="1"/>
    <row r="42051" ht="12" customHeight="1"/>
    <row r="42052" ht="12" customHeight="1"/>
    <row r="42053" ht="12" customHeight="1"/>
    <row r="42054" ht="12" customHeight="1"/>
    <row r="42055" ht="12" customHeight="1"/>
    <row r="42056" ht="12" customHeight="1"/>
    <row r="42057" ht="12" customHeight="1"/>
    <row r="42058" ht="12" customHeight="1"/>
    <row r="42059" ht="12" customHeight="1"/>
    <row r="42060" ht="12" customHeight="1"/>
    <row r="42061" ht="12" customHeight="1"/>
    <row r="42062" ht="12" customHeight="1"/>
    <row r="42063" ht="12" customHeight="1"/>
    <row r="42064" ht="12" customHeight="1"/>
    <row r="42065" ht="12" customHeight="1"/>
    <row r="42066" ht="12" customHeight="1"/>
    <row r="42067" ht="12" customHeight="1"/>
    <row r="42068" ht="12" customHeight="1"/>
    <row r="42069" ht="12" customHeight="1"/>
    <row r="42070" ht="12" customHeight="1"/>
    <row r="42071" ht="12" customHeight="1"/>
    <row r="42072" ht="12" customHeight="1"/>
    <row r="42073" ht="12" customHeight="1"/>
    <row r="42074" ht="12" customHeight="1"/>
    <row r="42075" ht="12" customHeight="1"/>
    <row r="42076" ht="12" customHeight="1"/>
    <row r="42077" ht="12" customHeight="1"/>
    <row r="42078" ht="12" customHeight="1"/>
    <row r="42079" ht="12" customHeight="1"/>
    <row r="42080" ht="12" customHeight="1"/>
    <row r="42081" ht="12" customHeight="1"/>
    <row r="42082" ht="12" customHeight="1"/>
    <row r="42083" ht="12" customHeight="1"/>
    <row r="42084" ht="12" customHeight="1"/>
    <row r="42085" ht="12" customHeight="1"/>
    <row r="42086" ht="12" customHeight="1"/>
    <row r="42087" ht="12" customHeight="1"/>
    <row r="42088" ht="12" customHeight="1"/>
    <row r="42089" ht="12" customHeight="1"/>
    <row r="42090" ht="12" customHeight="1"/>
    <row r="42091" ht="12" customHeight="1"/>
    <row r="42092" ht="12" customHeight="1"/>
    <row r="42093" ht="12" customHeight="1"/>
    <row r="42094" ht="12" customHeight="1"/>
    <row r="42095" ht="12" customHeight="1"/>
    <row r="42096" ht="12" customHeight="1"/>
    <row r="42097" ht="12" customHeight="1"/>
    <row r="42098" ht="12" customHeight="1"/>
    <row r="42099" ht="12" customHeight="1"/>
    <row r="42100" ht="12" customHeight="1"/>
    <row r="42101" ht="12" customHeight="1"/>
    <row r="42102" ht="12" customHeight="1"/>
    <row r="42103" ht="12" customHeight="1"/>
    <row r="42104" ht="12" customHeight="1"/>
    <row r="42105" ht="12" customHeight="1"/>
    <row r="42106" ht="12" customHeight="1"/>
    <row r="42107" ht="12" customHeight="1"/>
    <row r="42108" ht="12" customHeight="1"/>
    <row r="42109" ht="12" customHeight="1"/>
    <row r="42110" ht="12" customHeight="1"/>
    <row r="42111" ht="12" customHeight="1"/>
    <row r="42112" ht="12" customHeight="1"/>
    <row r="42113" ht="12" customHeight="1"/>
    <row r="42114" ht="12" customHeight="1"/>
    <row r="42115" ht="12" customHeight="1"/>
    <row r="42116" ht="12" customHeight="1"/>
    <row r="42117" ht="12" customHeight="1"/>
    <row r="42118" ht="12" customHeight="1"/>
    <row r="42119" ht="12" customHeight="1"/>
    <row r="42120" ht="12" customHeight="1"/>
    <row r="42121" ht="12" customHeight="1"/>
    <row r="42122" ht="12" customHeight="1"/>
    <row r="42123" ht="12" customHeight="1"/>
    <row r="42124" ht="12" customHeight="1"/>
    <row r="42125" ht="12" customHeight="1"/>
    <row r="42126" ht="12" customHeight="1"/>
    <row r="42127" ht="12" customHeight="1"/>
    <row r="42128" ht="12" customHeight="1"/>
    <row r="42129" ht="12" customHeight="1"/>
    <row r="42130" ht="12" customHeight="1"/>
    <row r="42131" ht="12" customHeight="1"/>
    <row r="42132" ht="12" customHeight="1"/>
    <row r="42133" ht="12" customHeight="1"/>
    <row r="42134" ht="12" customHeight="1"/>
    <row r="42135" ht="12" customHeight="1"/>
    <row r="42136" ht="12" customHeight="1"/>
    <row r="42137" ht="12" customHeight="1"/>
    <row r="42138" ht="12" customHeight="1"/>
    <row r="42139" ht="12" customHeight="1"/>
    <row r="42140" ht="12" customHeight="1"/>
    <row r="42141" ht="12" customHeight="1"/>
    <row r="42142" ht="12" customHeight="1"/>
    <row r="42143" ht="12" customHeight="1"/>
    <row r="42144" ht="12" customHeight="1"/>
    <row r="42145" ht="12" customHeight="1"/>
    <row r="42146" ht="12" customHeight="1"/>
    <row r="42147" ht="12" customHeight="1"/>
    <row r="42148" ht="12" customHeight="1"/>
    <row r="42149" ht="12" customHeight="1"/>
    <row r="42150" ht="12" customHeight="1"/>
    <row r="42151" ht="12" customHeight="1"/>
    <row r="42152" ht="12" customHeight="1"/>
    <row r="42153" ht="12" customHeight="1"/>
    <row r="42154" ht="12" customHeight="1"/>
    <row r="42155" ht="12" customHeight="1"/>
    <row r="42156" ht="12" customHeight="1"/>
    <row r="42157" ht="12" customHeight="1"/>
    <row r="42158" ht="12" customHeight="1"/>
    <row r="42159" ht="12" customHeight="1"/>
    <row r="42160" ht="12" customHeight="1"/>
    <row r="42161" ht="12" customHeight="1"/>
    <row r="42162" ht="12" customHeight="1"/>
    <row r="42163" ht="12" customHeight="1"/>
    <row r="42164" ht="12" customHeight="1"/>
    <row r="42165" ht="12" customHeight="1"/>
    <row r="42166" ht="12" customHeight="1"/>
    <row r="42167" ht="12" customHeight="1"/>
    <row r="42168" ht="12" customHeight="1"/>
    <row r="42169" ht="12" customHeight="1"/>
    <row r="42170" ht="12" customHeight="1"/>
    <row r="42171" ht="12" customHeight="1"/>
    <row r="42172" ht="12" customHeight="1"/>
    <row r="42173" ht="12" customHeight="1"/>
    <row r="42174" ht="12" customHeight="1"/>
    <row r="42175" ht="12" customHeight="1"/>
    <row r="42176" ht="12" customHeight="1"/>
    <row r="42177" ht="12" customHeight="1"/>
    <row r="42178" ht="12" customHeight="1"/>
    <row r="42179" ht="12" customHeight="1"/>
    <row r="42180" ht="12" customHeight="1"/>
    <row r="42181" ht="12" customHeight="1"/>
    <row r="42182" ht="12" customHeight="1"/>
    <row r="42183" ht="12" customHeight="1"/>
    <row r="42184" ht="12" customHeight="1"/>
    <row r="42185" ht="12" customHeight="1"/>
    <row r="42186" ht="12" customHeight="1"/>
    <row r="42187" ht="12" customHeight="1"/>
    <row r="42188" ht="12" customHeight="1"/>
    <row r="42189" ht="12" customHeight="1"/>
    <row r="42190" ht="12" customHeight="1"/>
    <row r="42191" ht="12" customHeight="1"/>
    <row r="42192" ht="12" customHeight="1"/>
    <row r="42193" ht="12" customHeight="1"/>
    <row r="42194" ht="12" customHeight="1"/>
    <row r="42195" ht="12" customHeight="1"/>
    <row r="42196" ht="12" customHeight="1"/>
    <row r="42197" ht="12" customHeight="1"/>
    <row r="42198" ht="12" customHeight="1"/>
    <row r="42199" ht="12" customHeight="1"/>
    <row r="42200" ht="12" customHeight="1"/>
    <row r="42201" ht="12" customHeight="1"/>
    <row r="42202" ht="12" customHeight="1"/>
    <row r="42203" ht="12" customHeight="1"/>
    <row r="42204" ht="12" customHeight="1"/>
    <row r="42205" ht="12" customHeight="1"/>
    <row r="42206" ht="12" customHeight="1"/>
    <row r="42207" ht="12" customHeight="1"/>
    <row r="42208" ht="12" customHeight="1"/>
    <row r="42209" ht="12" customHeight="1"/>
    <row r="42210" ht="12" customHeight="1"/>
    <row r="42211" ht="12" customHeight="1"/>
    <row r="42212" ht="12" customHeight="1"/>
    <row r="42213" ht="12" customHeight="1"/>
    <row r="42214" ht="12" customHeight="1"/>
    <row r="42215" ht="12" customHeight="1"/>
    <row r="42216" ht="12" customHeight="1"/>
    <row r="42217" ht="12" customHeight="1"/>
    <row r="42218" ht="12" customHeight="1"/>
    <row r="42219" ht="12" customHeight="1"/>
    <row r="42220" ht="12" customHeight="1"/>
    <row r="42221" ht="12" customHeight="1"/>
    <row r="42222" ht="12" customHeight="1"/>
    <row r="42223" ht="12" customHeight="1"/>
    <row r="42224" ht="12" customHeight="1"/>
    <row r="42225" ht="12" customHeight="1"/>
    <row r="42226" ht="12" customHeight="1"/>
    <row r="42227" ht="12" customHeight="1"/>
    <row r="42228" ht="12" customHeight="1"/>
    <row r="42229" ht="12" customHeight="1"/>
    <row r="42230" ht="12" customHeight="1"/>
    <row r="42231" ht="12" customHeight="1"/>
    <row r="42232" ht="12" customHeight="1"/>
    <row r="42233" ht="12" customHeight="1"/>
    <row r="42234" ht="12" customHeight="1"/>
    <row r="42235" ht="12" customHeight="1"/>
    <row r="42236" ht="12" customHeight="1"/>
    <row r="42237" ht="12" customHeight="1"/>
    <row r="42238" ht="12" customHeight="1"/>
    <row r="42239" ht="12" customHeight="1"/>
    <row r="42240" ht="12" customHeight="1"/>
    <row r="42241" ht="12" customHeight="1"/>
    <row r="42242" ht="12" customHeight="1"/>
    <row r="42243" ht="12" customHeight="1"/>
    <row r="42244" ht="12" customHeight="1"/>
    <row r="42245" ht="12" customHeight="1"/>
    <row r="42246" ht="12" customHeight="1"/>
    <row r="42247" ht="12" customHeight="1"/>
    <row r="42248" ht="12" customHeight="1"/>
    <row r="42249" ht="12" customHeight="1"/>
    <row r="42250" ht="12" customHeight="1"/>
    <row r="42251" ht="12" customHeight="1"/>
    <row r="42252" ht="12" customHeight="1"/>
    <row r="42253" ht="12" customHeight="1"/>
    <row r="42254" ht="12" customHeight="1"/>
    <row r="42255" ht="12" customHeight="1"/>
    <row r="42256" ht="12" customHeight="1"/>
    <row r="42257" ht="12" customHeight="1"/>
    <row r="42258" ht="12" customHeight="1"/>
    <row r="42259" ht="12" customHeight="1"/>
    <row r="42260" ht="12" customHeight="1"/>
    <row r="42261" ht="12" customHeight="1"/>
    <row r="42262" ht="12" customHeight="1"/>
    <row r="42263" ht="12" customHeight="1"/>
    <row r="42264" ht="12" customHeight="1"/>
    <row r="42265" ht="12" customHeight="1"/>
    <row r="42266" ht="12" customHeight="1"/>
    <row r="42267" ht="12" customHeight="1"/>
    <row r="42268" ht="12" customHeight="1"/>
    <row r="42269" ht="12" customHeight="1"/>
    <row r="42270" ht="12" customHeight="1"/>
    <row r="42271" ht="12" customHeight="1"/>
    <row r="42272" ht="12" customHeight="1"/>
    <row r="42273" ht="12" customHeight="1"/>
    <row r="42274" ht="12" customHeight="1"/>
    <row r="42275" ht="12" customHeight="1"/>
    <row r="42276" ht="12" customHeight="1"/>
    <row r="42277" ht="12" customHeight="1"/>
    <row r="42278" ht="12" customHeight="1"/>
    <row r="42279" ht="12" customHeight="1"/>
    <row r="42280" ht="12" customHeight="1"/>
    <row r="42281" ht="12" customHeight="1"/>
    <row r="42282" ht="12" customHeight="1"/>
    <row r="42283" ht="12" customHeight="1"/>
    <row r="42284" ht="12" customHeight="1"/>
    <row r="42285" ht="12" customHeight="1"/>
    <row r="42286" ht="12" customHeight="1"/>
    <row r="42287" ht="12" customHeight="1"/>
    <row r="42288" ht="12" customHeight="1"/>
    <row r="42289" ht="12" customHeight="1"/>
    <row r="42290" ht="12" customHeight="1"/>
    <row r="42291" ht="12" customHeight="1"/>
    <row r="42292" ht="12" customHeight="1"/>
    <row r="42293" ht="12" customHeight="1"/>
    <row r="42294" ht="12" customHeight="1"/>
    <row r="42295" ht="12" customHeight="1"/>
    <row r="42296" ht="12" customHeight="1"/>
    <row r="42297" ht="12" customHeight="1"/>
    <row r="42298" ht="12" customHeight="1"/>
    <row r="42299" ht="12" customHeight="1"/>
    <row r="42300" ht="12" customHeight="1"/>
    <row r="42301" ht="12" customHeight="1"/>
    <row r="42302" ht="12" customHeight="1"/>
    <row r="42303" ht="12" customHeight="1"/>
    <row r="42304" ht="12" customHeight="1"/>
    <row r="42305" ht="12" customHeight="1"/>
    <row r="42306" ht="12" customHeight="1"/>
    <row r="42307" ht="12" customHeight="1"/>
    <row r="42308" ht="12" customHeight="1"/>
    <row r="42309" ht="12" customHeight="1"/>
    <row r="42310" ht="12" customHeight="1"/>
    <row r="42311" ht="12" customHeight="1"/>
    <row r="42312" ht="12" customHeight="1"/>
    <row r="42313" ht="12" customHeight="1"/>
    <row r="42314" ht="12" customHeight="1"/>
    <row r="42315" ht="12" customHeight="1"/>
    <row r="42316" ht="12" customHeight="1"/>
    <row r="42317" ht="12" customHeight="1"/>
    <row r="42318" ht="12" customHeight="1"/>
    <row r="42319" ht="12" customHeight="1"/>
    <row r="42320" ht="12" customHeight="1"/>
    <row r="42321" ht="12" customHeight="1"/>
    <row r="42322" ht="12" customHeight="1"/>
    <row r="42323" ht="12" customHeight="1"/>
    <row r="42324" ht="12" customHeight="1"/>
    <row r="42325" ht="12" customHeight="1"/>
    <row r="42326" ht="12" customHeight="1"/>
    <row r="42327" ht="12" customHeight="1"/>
    <row r="42328" ht="12" customHeight="1"/>
    <row r="42329" ht="12" customHeight="1"/>
    <row r="42330" ht="12" customHeight="1"/>
    <row r="42331" ht="12" customHeight="1"/>
    <row r="42332" ht="12" customHeight="1"/>
    <row r="42333" ht="12" customHeight="1"/>
    <row r="42334" ht="12" customHeight="1"/>
    <row r="42335" ht="12" customHeight="1"/>
    <row r="42336" ht="12" customHeight="1"/>
    <row r="42337" ht="12" customHeight="1"/>
    <row r="42338" ht="12" customHeight="1"/>
    <row r="42339" ht="12" customHeight="1"/>
    <row r="42340" ht="12" customHeight="1"/>
    <row r="42341" ht="12" customHeight="1"/>
    <row r="42342" ht="12" customHeight="1"/>
    <row r="42343" ht="12" customHeight="1"/>
    <row r="42344" ht="12" customHeight="1"/>
    <row r="42345" ht="12" customHeight="1"/>
    <row r="42346" ht="12" customHeight="1"/>
    <row r="42347" ht="12" customHeight="1"/>
    <row r="42348" ht="12" customHeight="1"/>
    <row r="42349" ht="12" customHeight="1"/>
    <row r="42350" ht="12" customHeight="1"/>
    <row r="42351" ht="12" customHeight="1"/>
    <row r="42352" ht="12" customHeight="1"/>
    <row r="42353" ht="12" customHeight="1"/>
    <row r="42354" ht="12" customHeight="1"/>
    <row r="42355" ht="12" customHeight="1"/>
    <row r="42356" ht="12" customHeight="1"/>
    <row r="42357" ht="12" customHeight="1"/>
    <row r="42358" ht="12" customHeight="1"/>
    <row r="42359" ht="12" customHeight="1"/>
    <row r="42360" ht="12" customHeight="1"/>
    <row r="42361" ht="12" customHeight="1"/>
    <row r="42362" ht="12" customHeight="1"/>
    <row r="42363" ht="12" customHeight="1"/>
    <row r="42364" ht="12" customHeight="1"/>
    <row r="42365" ht="12" customHeight="1"/>
    <row r="42366" ht="12" customHeight="1"/>
    <row r="42367" ht="12" customHeight="1"/>
    <row r="42368" ht="12" customHeight="1"/>
    <row r="42369" ht="12" customHeight="1"/>
    <row r="42370" ht="12" customHeight="1"/>
    <row r="42371" ht="12" customHeight="1"/>
    <row r="42372" ht="12" customHeight="1"/>
    <row r="42373" ht="12" customHeight="1"/>
    <row r="42374" ht="12" customHeight="1"/>
    <row r="42375" ht="12" customHeight="1"/>
    <row r="42376" ht="12" customHeight="1"/>
    <row r="42377" ht="12" customHeight="1"/>
    <row r="42378" ht="12" customHeight="1"/>
    <row r="42379" ht="12" customHeight="1"/>
    <row r="42380" ht="12" customHeight="1"/>
    <row r="42381" ht="12" customHeight="1"/>
    <row r="42382" ht="12" customHeight="1"/>
    <row r="42383" ht="12" customHeight="1"/>
    <row r="42384" ht="12" customHeight="1"/>
    <row r="42385" ht="12" customHeight="1"/>
    <row r="42386" ht="12" customHeight="1"/>
    <row r="42387" ht="12" customHeight="1"/>
    <row r="42388" ht="12" customHeight="1"/>
    <row r="42389" ht="12" customHeight="1"/>
    <row r="42390" ht="12" customHeight="1"/>
    <row r="42391" ht="12" customHeight="1"/>
    <row r="42392" ht="12" customHeight="1"/>
    <row r="42393" ht="12" customHeight="1"/>
    <row r="42394" ht="12" customHeight="1"/>
    <row r="42395" ht="12" customHeight="1"/>
    <row r="42396" ht="12" customHeight="1"/>
    <row r="42397" ht="12" customHeight="1"/>
    <row r="42398" ht="12" customHeight="1"/>
    <row r="42399" ht="12" customHeight="1"/>
    <row r="42400" ht="12" customHeight="1"/>
    <row r="42401" ht="12" customHeight="1"/>
    <row r="42402" ht="12" customHeight="1"/>
    <row r="42403" ht="12" customHeight="1"/>
    <row r="42404" ht="12" customHeight="1"/>
    <row r="42405" ht="12" customHeight="1"/>
    <row r="42406" ht="12" customHeight="1"/>
    <row r="42407" ht="12" customHeight="1"/>
    <row r="42408" ht="12" customHeight="1"/>
    <row r="42409" ht="12" customHeight="1"/>
    <row r="42410" ht="12" customHeight="1"/>
    <row r="42411" ht="12" customHeight="1"/>
    <row r="42412" ht="12" customHeight="1"/>
    <row r="42413" ht="12" customHeight="1"/>
    <row r="42414" ht="12" customHeight="1"/>
    <row r="42415" ht="12" customHeight="1"/>
    <row r="42416" ht="12" customHeight="1"/>
    <row r="42417" ht="12" customHeight="1"/>
    <row r="42418" ht="12" customHeight="1"/>
    <row r="42419" ht="12" customHeight="1"/>
    <row r="42420" ht="12" customHeight="1"/>
    <row r="42421" ht="12" customHeight="1"/>
    <row r="42422" ht="12" customHeight="1"/>
    <row r="42423" ht="12" customHeight="1"/>
    <row r="42424" ht="12" customHeight="1"/>
    <row r="42425" ht="12" customHeight="1"/>
    <row r="42426" ht="12" customHeight="1"/>
    <row r="42427" ht="12" customHeight="1"/>
    <row r="42428" ht="12" customHeight="1"/>
    <row r="42429" ht="12" customHeight="1"/>
    <row r="42430" ht="12" customHeight="1"/>
    <row r="42431" ht="12" customHeight="1"/>
    <row r="42432" ht="12" customHeight="1"/>
    <row r="42433" ht="12" customHeight="1"/>
    <row r="42434" ht="12" customHeight="1"/>
    <row r="42435" ht="12" customHeight="1"/>
    <row r="42436" ht="12" customHeight="1"/>
    <row r="42437" ht="12" customHeight="1"/>
    <row r="42438" ht="12" customHeight="1"/>
    <row r="42439" ht="12" customHeight="1"/>
    <row r="42440" ht="12" customHeight="1"/>
    <row r="42441" ht="12" customHeight="1"/>
    <row r="42442" ht="12" customHeight="1"/>
    <row r="42443" ht="12" customHeight="1"/>
    <row r="42444" ht="12" customHeight="1"/>
    <row r="42445" ht="12" customHeight="1"/>
    <row r="42446" ht="12" customHeight="1"/>
    <row r="42447" ht="12" customHeight="1"/>
    <row r="42448" ht="12" customHeight="1"/>
    <row r="42449" ht="12" customHeight="1"/>
    <row r="42450" ht="12" customHeight="1"/>
    <row r="42451" ht="12" customHeight="1"/>
    <row r="42452" ht="12" customHeight="1"/>
    <row r="42453" ht="12" customHeight="1"/>
    <row r="42454" ht="12" customHeight="1"/>
    <row r="42455" ht="12" customHeight="1"/>
    <row r="42456" ht="12" customHeight="1"/>
    <row r="42457" ht="12" customHeight="1"/>
    <row r="42458" ht="12" customHeight="1"/>
    <row r="42459" ht="12" customHeight="1"/>
    <row r="42460" ht="12" customHeight="1"/>
    <row r="42461" ht="12" customHeight="1"/>
    <row r="42462" ht="12" customHeight="1"/>
    <row r="42463" ht="12" customHeight="1"/>
    <row r="42464" ht="12" customHeight="1"/>
    <row r="42465" ht="12" customHeight="1"/>
    <row r="42466" ht="12" customHeight="1"/>
    <row r="42467" ht="12" customHeight="1"/>
    <row r="42468" ht="12" customHeight="1"/>
    <row r="42469" ht="12" customHeight="1"/>
    <row r="42470" ht="12" customHeight="1"/>
    <row r="42471" ht="12" customHeight="1"/>
    <row r="42472" ht="12" customHeight="1"/>
    <row r="42473" ht="12" customHeight="1"/>
    <row r="42474" ht="12" customHeight="1"/>
    <row r="42475" ht="12" customHeight="1"/>
    <row r="42476" ht="12" customHeight="1"/>
    <row r="42477" ht="12" customHeight="1"/>
    <row r="42478" ht="12" customHeight="1"/>
    <row r="42479" ht="12" customHeight="1"/>
    <row r="42480" ht="12" customHeight="1"/>
    <row r="42481" ht="12" customHeight="1"/>
    <row r="42482" ht="12" customHeight="1"/>
    <row r="42483" ht="12" customHeight="1"/>
    <row r="42484" ht="12" customHeight="1"/>
    <row r="42485" ht="12" customHeight="1"/>
    <row r="42486" ht="12" customHeight="1"/>
    <row r="42487" ht="12" customHeight="1"/>
    <row r="42488" ht="12" customHeight="1"/>
    <row r="42489" ht="12" customHeight="1"/>
    <row r="42490" ht="12" customHeight="1"/>
    <row r="42491" ht="12" customHeight="1"/>
    <row r="42492" ht="12" customHeight="1"/>
    <row r="42493" ht="12" customHeight="1"/>
    <row r="42494" ht="12" customHeight="1"/>
    <row r="42495" ht="12" customHeight="1"/>
    <row r="42496" ht="12" customHeight="1"/>
    <row r="42497" ht="12" customHeight="1"/>
    <row r="42498" ht="12" customHeight="1"/>
    <row r="42499" ht="12" customHeight="1"/>
    <row r="42500" ht="12" customHeight="1"/>
    <row r="42501" ht="12" customHeight="1"/>
    <row r="42502" ht="12" customHeight="1"/>
    <row r="42503" ht="12" customHeight="1"/>
    <row r="42504" ht="12" customHeight="1"/>
    <row r="42505" ht="12" customHeight="1"/>
    <row r="42506" ht="12" customHeight="1"/>
    <row r="42507" ht="12" customHeight="1"/>
    <row r="42508" ht="12" customHeight="1"/>
    <row r="42509" ht="12" customHeight="1"/>
    <row r="42510" ht="12" customHeight="1"/>
    <row r="42511" ht="12" customHeight="1"/>
    <row r="42512" ht="12" customHeight="1"/>
    <row r="42513" ht="12" customHeight="1"/>
    <row r="42514" ht="12" customHeight="1"/>
    <row r="42515" ht="12" customHeight="1"/>
    <row r="42516" ht="12" customHeight="1"/>
    <row r="42517" ht="12" customHeight="1"/>
    <row r="42518" ht="12" customHeight="1"/>
    <row r="42519" ht="12" customHeight="1"/>
    <row r="42520" ht="12" customHeight="1"/>
    <row r="42521" ht="12" customHeight="1"/>
    <row r="42522" ht="12" customHeight="1"/>
    <row r="42523" ht="12" customHeight="1"/>
    <row r="42524" ht="12" customHeight="1"/>
    <row r="42525" ht="12" customHeight="1"/>
    <row r="42526" ht="12" customHeight="1"/>
    <row r="42527" ht="12" customHeight="1"/>
    <row r="42528" ht="12" customHeight="1"/>
    <row r="42529" ht="12" customHeight="1"/>
    <row r="42530" ht="12" customHeight="1"/>
    <row r="42531" ht="12" customHeight="1"/>
    <row r="42532" ht="12" customHeight="1"/>
    <row r="42533" ht="12" customHeight="1"/>
    <row r="42534" ht="12" customHeight="1"/>
    <row r="42535" ht="12" customHeight="1"/>
    <row r="42536" ht="12" customHeight="1"/>
    <row r="42537" ht="12" customHeight="1"/>
    <row r="42538" ht="12" customHeight="1"/>
    <row r="42539" ht="12" customHeight="1"/>
    <row r="42540" ht="12" customHeight="1"/>
    <row r="42541" ht="12" customHeight="1"/>
    <row r="42542" ht="12" customHeight="1"/>
    <row r="42543" ht="12" customHeight="1"/>
    <row r="42544" ht="12" customHeight="1"/>
    <row r="42545" ht="12" customHeight="1"/>
    <row r="42546" ht="12" customHeight="1"/>
    <row r="42547" ht="12" customHeight="1"/>
    <row r="42548" ht="12" customHeight="1"/>
    <row r="42549" ht="12" customHeight="1"/>
    <row r="42550" ht="12" customHeight="1"/>
    <row r="42551" ht="12" customHeight="1"/>
    <row r="42552" ht="12" customHeight="1"/>
    <row r="42553" ht="12" customHeight="1"/>
    <row r="42554" ht="12" customHeight="1"/>
    <row r="42555" ht="12" customHeight="1"/>
    <row r="42556" ht="12" customHeight="1"/>
    <row r="42557" ht="12" customHeight="1"/>
    <row r="42558" ht="12" customHeight="1"/>
    <row r="42559" ht="12" customHeight="1"/>
    <row r="42560" ht="12" customHeight="1"/>
    <row r="42561" ht="12" customHeight="1"/>
    <row r="42562" ht="12" customHeight="1"/>
    <row r="42563" ht="12" customHeight="1"/>
    <row r="42564" ht="12" customHeight="1"/>
    <row r="42565" ht="12" customHeight="1"/>
    <row r="42566" ht="12" customHeight="1"/>
    <row r="42567" ht="12" customHeight="1"/>
    <row r="42568" ht="12" customHeight="1"/>
    <row r="42569" ht="12" customHeight="1"/>
    <row r="42570" ht="12" customHeight="1"/>
    <row r="42571" ht="12" customHeight="1"/>
    <row r="42572" ht="12" customHeight="1"/>
    <row r="42573" ht="12" customHeight="1"/>
    <row r="42574" ht="12" customHeight="1"/>
    <row r="42575" ht="12" customHeight="1"/>
    <row r="42576" ht="12" customHeight="1"/>
    <row r="42577" ht="12" customHeight="1"/>
    <row r="42578" ht="12" customHeight="1"/>
    <row r="42579" ht="12" customHeight="1"/>
    <row r="42580" ht="12" customHeight="1"/>
    <row r="42581" ht="12" customHeight="1"/>
    <row r="42582" ht="12" customHeight="1"/>
    <row r="42583" ht="12" customHeight="1"/>
    <row r="42584" ht="12" customHeight="1"/>
    <row r="42585" ht="12" customHeight="1"/>
    <row r="42586" ht="12" customHeight="1"/>
    <row r="42587" ht="12" customHeight="1"/>
    <row r="42588" ht="12" customHeight="1"/>
    <row r="42589" ht="12" customHeight="1"/>
    <row r="42590" ht="12" customHeight="1"/>
    <row r="42591" ht="12" customHeight="1"/>
    <row r="42592" ht="12" customHeight="1"/>
    <row r="42593" ht="12" customHeight="1"/>
    <row r="42594" ht="12" customHeight="1"/>
    <row r="42595" ht="12" customHeight="1"/>
    <row r="42596" ht="12" customHeight="1"/>
    <row r="42597" ht="12" customHeight="1"/>
    <row r="42598" ht="12" customHeight="1"/>
    <row r="42599" ht="12" customHeight="1"/>
    <row r="42600" ht="12" customHeight="1"/>
    <row r="42601" ht="12" customHeight="1"/>
    <row r="42602" ht="12" customHeight="1"/>
    <row r="42603" ht="12" customHeight="1"/>
    <row r="42604" ht="12" customHeight="1"/>
    <row r="42605" ht="12" customHeight="1"/>
    <row r="42606" ht="12" customHeight="1"/>
    <row r="42607" ht="12" customHeight="1"/>
    <row r="42608" ht="12" customHeight="1"/>
    <row r="42609" ht="12" customHeight="1"/>
    <row r="42610" ht="12" customHeight="1"/>
    <row r="42611" ht="12" customHeight="1"/>
    <row r="42612" ht="12" customHeight="1"/>
    <row r="42613" ht="12" customHeight="1"/>
    <row r="42614" ht="12" customHeight="1"/>
    <row r="42615" ht="12" customHeight="1"/>
    <row r="42616" ht="12" customHeight="1"/>
    <row r="42617" ht="12" customHeight="1"/>
    <row r="42618" ht="12" customHeight="1"/>
    <row r="42619" ht="12" customHeight="1"/>
    <row r="42620" ht="12" customHeight="1"/>
    <row r="42621" ht="12" customHeight="1"/>
    <row r="42622" ht="12" customHeight="1"/>
    <row r="42623" ht="12" customHeight="1"/>
    <row r="42624" ht="12" customHeight="1"/>
    <row r="42625" ht="12" customHeight="1"/>
    <row r="42626" ht="12" customHeight="1"/>
    <row r="42627" ht="12" customHeight="1"/>
    <row r="42628" ht="12" customHeight="1"/>
    <row r="42629" ht="12" customHeight="1"/>
    <row r="42630" ht="12" customHeight="1"/>
    <row r="42631" ht="12" customHeight="1"/>
    <row r="42632" ht="12" customHeight="1"/>
    <row r="42633" ht="12" customHeight="1"/>
    <row r="42634" ht="12" customHeight="1"/>
    <row r="42635" ht="12" customHeight="1"/>
    <row r="42636" ht="12" customHeight="1"/>
    <row r="42637" ht="12" customHeight="1"/>
    <row r="42638" ht="12" customHeight="1"/>
    <row r="42639" ht="12" customHeight="1"/>
    <row r="42640" ht="12" customHeight="1"/>
    <row r="42641" ht="12" customHeight="1"/>
    <row r="42642" ht="12" customHeight="1"/>
    <row r="42643" ht="12" customHeight="1"/>
    <row r="42644" ht="12" customHeight="1"/>
    <row r="42645" ht="12" customHeight="1"/>
    <row r="42646" ht="12" customHeight="1"/>
    <row r="42647" ht="12" customHeight="1"/>
    <row r="42648" ht="12" customHeight="1"/>
    <row r="42649" ht="12" customHeight="1"/>
    <row r="42650" ht="12" customHeight="1"/>
    <row r="42651" ht="12" customHeight="1"/>
    <row r="42652" ht="12" customHeight="1"/>
    <row r="42653" ht="12" customHeight="1"/>
    <row r="42654" ht="12" customHeight="1"/>
    <row r="42655" ht="12" customHeight="1"/>
    <row r="42656" ht="12" customHeight="1"/>
    <row r="42657" ht="12" customHeight="1"/>
    <row r="42658" ht="12" customHeight="1"/>
    <row r="42659" ht="12" customHeight="1"/>
    <row r="42660" ht="12" customHeight="1"/>
    <row r="42661" ht="12" customHeight="1"/>
    <row r="42662" ht="12" customHeight="1"/>
    <row r="42663" ht="12" customHeight="1"/>
    <row r="42664" ht="12" customHeight="1"/>
    <row r="42665" ht="12" customHeight="1"/>
    <row r="42666" ht="12" customHeight="1"/>
    <row r="42667" ht="12" customHeight="1"/>
    <row r="42668" ht="12" customHeight="1"/>
    <row r="42669" ht="12" customHeight="1"/>
    <row r="42670" ht="12" customHeight="1"/>
    <row r="42671" ht="12" customHeight="1"/>
    <row r="42672" ht="12" customHeight="1"/>
    <row r="42673" ht="12" customHeight="1"/>
    <row r="42674" ht="12" customHeight="1"/>
    <row r="42675" ht="12" customHeight="1"/>
    <row r="42676" ht="12" customHeight="1"/>
    <row r="42677" ht="12" customHeight="1"/>
    <row r="42678" ht="12" customHeight="1"/>
    <row r="42679" ht="12" customHeight="1"/>
    <row r="42680" ht="12" customHeight="1"/>
    <row r="42681" ht="12" customHeight="1"/>
    <row r="42682" ht="12" customHeight="1"/>
    <row r="42683" ht="12" customHeight="1"/>
    <row r="42684" ht="12" customHeight="1"/>
    <row r="42685" ht="12" customHeight="1"/>
    <row r="42686" ht="12" customHeight="1"/>
    <row r="42687" ht="12" customHeight="1"/>
    <row r="42688" ht="12" customHeight="1"/>
    <row r="42689" ht="12" customHeight="1"/>
    <row r="42690" ht="12" customHeight="1"/>
    <row r="42691" ht="12" customHeight="1"/>
    <row r="42692" ht="12" customHeight="1"/>
    <row r="42693" ht="12" customHeight="1"/>
    <row r="42694" ht="12" customHeight="1"/>
    <row r="42695" ht="12" customHeight="1"/>
    <row r="42696" ht="12" customHeight="1"/>
    <row r="42697" ht="12" customHeight="1"/>
    <row r="42698" ht="12" customHeight="1"/>
    <row r="42699" ht="12" customHeight="1"/>
    <row r="42700" ht="12" customHeight="1"/>
    <row r="42701" ht="12" customHeight="1"/>
    <row r="42702" ht="12" customHeight="1"/>
    <row r="42703" ht="12" customHeight="1"/>
    <row r="42704" ht="12" customHeight="1"/>
    <row r="42705" ht="12" customHeight="1"/>
    <row r="42706" ht="12" customHeight="1"/>
    <row r="42707" ht="12" customHeight="1"/>
    <row r="42708" ht="12" customHeight="1"/>
    <row r="42709" ht="12" customHeight="1"/>
    <row r="42710" ht="12" customHeight="1"/>
    <row r="42711" ht="12" customHeight="1"/>
    <row r="42712" ht="12" customHeight="1"/>
    <row r="42713" ht="12" customHeight="1"/>
    <row r="42714" ht="12" customHeight="1"/>
    <row r="42715" ht="12" customHeight="1"/>
    <row r="42716" ht="12" customHeight="1"/>
    <row r="42717" ht="12" customHeight="1"/>
    <row r="42718" ht="12" customHeight="1"/>
    <row r="42719" ht="12" customHeight="1"/>
    <row r="42720" ht="12" customHeight="1"/>
    <row r="42721" ht="12" customHeight="1"/>
    <row r="42722" ht="12" customHeight="1"/>
    <row r="42723" ht="12" customHeight="1"/>
    <row r="42724" ht="12" customHeight="1"/>
    <row r="42725" ht="12" customHeight="1"/>
    <row r="42726" ht="12" customHeight="1"/>
    <row r="42727" ht="12" customHeight="1"/>
    <row r="42728" ht="12" customHeight="1"/>
    <row r="42729" ht="12" customHeight="1"/>
    <row r="42730" ht="12" customHeight="1"/>
    <row r="42731" ht="12" customHeight="1"/>
    <row r="42732" ht="12" customHeight="1"/>
    <row r="42733" ht="12" customHeight="1"/>
    <row r="42734" ht="12" customHeight="1"/>
    <row r="42735" ht="12" customHeight="1"/>
    <row r="42736" ht="12" customHeight="1"/>
    <row r="42737" ht="12" customHeight="1"/>
    <row r="42738" ht="12" customHeight="1"/>
    <row r="42739" ht="12" customHeight="1"/>
    <row r="42740" ht="12" customHeight="1"/>
    <row r="42741" ht="12" customHeight="1"/>
    <row r="42742" ht="12" customHeight="1"/>
    <row r="42743" ht="12" customHeight="1"/>
    <row r="42744" ht="12" customHeight="1"/>
    <row r="42745" ht="12" customHeight="1"/>
    <row r="42746" ht="12" customHeight="1"/>
    <row r="42747" ht="12" customHeight="1"/>
    <row r="42748" ht="12" customHeight="1"/>
    <row r="42749" ht="12" customHeight="1"/>
    <row r="42750" ht="12" customHeight="1"/>
    <row r="42751" ht="12" customHeight="1"/>
    <row r="42752" ht="12" customHeight="1"/>
    <row r="42753" ht="12" customHeight="1"/>
    <row r="42754" ht="12" customHeight="1"/>
    <row r="42755" ht="12" customHeight="1"/>
    <row r="42756" ht="12" customHeight="1"/>
    <row r="42757" ht="12" customHeight="1"/>
    <row r="42758" ht="12" customHeight="1"/>
    <row r="42759" ht="12" customHeight="1"/>
    <row r="42760" ht="12" customHeight="1"/>
    <row r="42761" ht="12" customHeight="1"/>
    <row r="42762" ht="12" customHeight="1"/>
    <row r="42763" ht="12" customHeight="1"/>
    <row r="42764" ht="12" customHeight="1"/>
    <row r="42765" ht="12" customHeight="1"/>
    <row r="42766" ht="12" customHeight="1"/>
    <row r="42767" ht="12" customHeight="1"/>
    <row r="42768" ht="12" customHeight="1"/>
    <row r="42769" ht="12" customHeight="1"/>
    <row r="42770" ht="12" customHeight="1"/>
    <row r="42771" ht="12" customHeight="1"/>
    <row r="42772" ht="12" customHeight="1"/>
    <row r="42773" ht="12" customHeight="1"/>
    <row r="42774" ht="12" customHeight="1"/>
    <row r="42775" ht="12" customHeight="1"/>
    <row r="42776" ht="12" customHeight="1"/>
    <row r="42777" ht="12" customHeight="1"/>
    <row r="42778" ht="12" customHeight="1"/>
    <row r="42779" ht="12" customHeight="1"/>
    <row r="42780" ht="12" customHeight="1"/>
    <row r="42781" ht="12" customHeight="1"/>
    <row r="42782" ht="12" customHeight="1"/>
    <row r="42783" ht="12" customHeight="1"/>
    <row r="42784" ht="12" customHeight="1"/>
    <row r="42785" ht="12" customHeight="1"/>
    <row r="42786" ht="12" customHeight="1"/>
    <row r="42787" ht="12" customHeight="1"/>
    <row r="42788" ht="12" customHeight="1"/>
    <row r="42789" ht="12" customHeight="1"/>
    <row r="42790" ht="12" customHeight="1"/>
    <row r="42791" ht="12" customHeight="1"/>
    <row r="42792" ht="12" customHeight="1"/>
    <row r="42793" ht="12" customHeight="1"/>
    <row r="42794" ht="12" customHeight="1"/>
    <row r="42795" ht="12" customHeight="1"/>
    <row r="42796" ht="12" customHeight="1"/>
    <row r="42797" ht="12" customHeight="1"/>
    <row r="42798" ht="12" customHeight="1"/>
    <row r="42799" ht="12" customHeight="1"/>
    <row r="42800" ht="12" customHeight="1"/>
    <row r="42801" ht="12" customHeight="1"/>
    <row r="42802" ht="12" customHeight="1"/>
    <row r="42803" ht="12" customHeight="1"/>
    <row r="42804" ht="12" customHeight="1"/>
    <row r="42805" ht="12" customHeight="1"/>
    <row r="42806" ht="12" customHeight="1"/>
    <row r="42807" ht="12" customHeight="1"/>
    <row r="42808" ht="12" customHeight="1"/>
    <row r="42809" ht="12" customHeight="1"/>
    <row r="42810" ht="12" customHeight="1"/>
    <row r="42811" ht="12" customHeight="1"/>
    <row r="42812" ht="12" customHeight="1"/>
    <row r="42813" ht="12" customHeight="1"/>
    <row r="42814" ht="12" customHeight="1"/>
    <row r="42815" ht="12" customHeight="1"/>
    <row r="42816" ht="12" customHeight="1"/>
    <row r="42817" ht="12" customHeight="1"/>
    <row r="42818" ht="12" customHeight="1"/>
    <row r="42819" ht="12" customHeight="1"/>
    <row r="42820" ht="12" customHeight="1"/>
    <row r="42821" ht="12" customHeight="1"/>
    <row r="42822" ht="12" customHeight="1"/>
    <row r="42823" ht="12" customHeight="1"/>
    <row r="42824" ht="12" customHeight="1"/>
    <row r="42825" ht="12" customHeight="1"/>
    <row r="42826" ht="12" customHeight="1"/>
    <row r="42827" ht="12" customHeight="1"/>
    <row r="42828" ht="12" customHeight="1"/>
    <row r="42829" ht="12" customHeight="1"/>
    <row r="42830" ht="12" customHeight="1"/>
    <row r="42831" ht="12" customHeight="1"/>
    <row r="42832" ht="12" customHeight="1"/>
    <row r="42833" ht="12" customHeight="1"/>
    <row r="42834" ht="12" customHeight="1"/>
    <row r="42835" ht="12" customHeight="1"/>
    <row r="42836" ht="12" customHeight="1"/>
    <row r="42837" ht="12" customHeight="1"/>
    <row r="42838" ht="12" customHeight="1"/>
    <row r="42839" ht="12" customHeight="1"/>
    <row r="42840" ht="12" customHeight="1"/>
    <row r="42841" ht="12" customHeight="1"/>
    <row r="42842" ht="12" customHeight="1"/>
    <row r="42843" ht="12" customHeight="1"/>
    <row r="42844" ht="12" customHeight="1"/>
    <row r="42845" ht="12" customHeight="1"/>
    <row r="42846" ht="12" customHeight="1"/>
    <row r="42847" ht="12" customHeight="1"/>
    <row r="42848" ht="12" customHeight="1"/>
    <row r="42849" ht="12" customHeight="1"/>
    <row r="42850" ht="12" customHeight="1"/>
    <row r="42851" ht="12" customHeight="1"/>
    <row r="42852" ht="12" customHeight="1"/>
    <row r="42853" ht="12" customHeight="1"/>
    <row r="42854" ht="12" customHeight="1"/>
    <row r="42855" ht="12" customHeight="1"/>
    <row r="42856" ht="12" customHeight="1"/>
    <row r="42857" ht="12" customHeight="1"/>
    <row r="42858" ht="12" customHeight="1"/>
    <row r="42859" ht="12" customHeight="1"/>
    <row r="42860" ht="12" customHeight="1"/>
    <row r="42861" ht="12" customHeight="1"/>
    <row r="42862" ht="12" customHeight="1"/>
    <row r="42863" ht="12" customHeight="1"/>
    <row r="42864" ht="12" customHeight="1"/>
    <row r="42865" ht="12" customHeight="1"/>
    <row r="42866" ht="12" customHeight="1"/>
    <row r="42867" ht="12" customHeight="1"/>
    <row r="42868" ht="12" customHeight="1"/>
    <row r="42869" ht="12" customHeight="1"/>
    <row r="42870" ht="12" customHeight="1"/>
    <row r="42871" ht="12" customHeight="1"/>
    <row r="42872" ht="12" customHeight="1"/>
    <row r="42873" ht="12" customHeight="1"/>
    <row r="42874" ht="12" customHeight="1"/>
    <row r="42875" ht="12" customHeight="1"/>
    <row r="42876" ht="12" customHeight="1"/>
    <row r="42877" ht="12" customHeight="1"/>
    <row r="42878" ht="12" customHeight="1"/>
    <row r="42879" ht="12" customHeight="1"/>
    <row r="42880" ht="12" customHeight="1"/>
    <row r="42881" ht="12" customHeight="1"/>
    <row r="42882" ht="12" customHeight="1"/>
    <row r="42883" ht="12" customHeight="1"/>
    <row r="42884" ht="12" customHeight="1"/>
    <row r="42885" ht="12" customHeight="1"/>
    <row r="42886" ht="12" customHeight="1"/>
    <row r="42887" ht="12" customHeight="1"/>
    <row r="42888" ht="12" customHeight="1"/>
    <row r="42889" ht="12" customHeight="1"/>
    <row r="42890" ht="12" customHeight="1"/>
    <row r="42891" ht="12" customHeight="1"/>
    <row r="42892" ht="12" customHeight="1"/>
    <row r="42893" ht="12" customHeight="1"/>
    <row r="42894" ht="12" customHeight="1"/>
    <row r="42895" ht="12" customHeight="1"/>
    <row r="42896" ht="12" customHeight="1"/>
    <row r="42897" ht="12" customHeight="1"/>
    <row r="42898" ht="12" customHeight="1"/>
    <row r="42899" ht="12" customHeight="1"/>
    <row r="42900" ht="12" customHeight="1"/>
    <row r="42901" ht="12" customHeight="1"/>
    <row r="42902" ht="12" customHeight="1"/>
    <row r="42903" ht="12" customHeight="1"/>
    <row r="42904" ht="12" customHeight="1"/>
    <row r="42905" ht="12" customHeight="1"/>
    <row r="42906" ht="12" customHeight="1"/>
    <row r="42907" ht="12" customHeight="1"/>
    <row r="42908" ht="12" customHeight="1"/>
    <row r="42909" ht="12" customHeight="1"/>
    <row r="42910" ht="12" customHeight="1"/>
    <row r="42911" ht="12" customHeight="1"/>
    <row r="42912" ht="12" customHeight="1"/>
    <row r="42913" ht="12" customHeight="1"/>
    <row r="42914" ht="12" customHeight="1"/>
    <row r="42915" ht="12" customHeight="1"/>
    <row r="42916" ht="12" customHeight="1"/>
    <row r="42917" ht="12" customHeight="1"/>
    <row r="42918" ht="12" customHeight="1"/>
    <row r="42919" ht="12" customHeight="1"/>
    <row r="42920" ht="12" customHeight="1"/>
    <row r="42921" ht="12" customHeight="1"/>
    <row r="42922" ht="12" customHeight="1"/>
    <row r="42923" ht="12" customHeight="1"/>
    <row r="42924" ht="12" customHeight="1"/>
    <row r="42925" ht="12" customHeight="1"/>
    <row r="42926" ht="12" customHeight="1"/>
    <row r="42927" ht="12" customHeight="1"/>
    <row r="42928" ht="12" customHeight="1"/>
    <row r="42929" ht="12" customHeight="1"/>
    <row r="42930" ht="12" customHeight="1"/>
    <row r="42931" ht="12" customHeight="1"/>
    <row r="42932" ht="12" customHeight="1"/>
    <row r="42933" ht="12" customHeight="1"/>
    <row r="42934" ht="12" customHeight="1"/>
    <row r="42935" ht="12" customHeight="1"/>
    <row r="42936" ht="12" customHeight="1"/>
    <row r="42937" ht="12" customHeight="1"/>
    <row r="42938" ht="12" customHeight="1"/>
    <row r="42939" ht="12" customHeight="1"/>
    <row r="42940" ht="12" customHeight="1"/>
    <row r="42941" ht="12" customHeight="1"/>
    <row r="42942" ht="12" customHeight="1"/>
    <row r="42943" ht="12" customHeight="1"/>
    <row r="42944" ht="12" customHeight="1"/>
    <row r="42945" ht="12" customHeight="1"/>
    <row r="42946" ht="12" customHeight="1"/>
    <row r="42947" ht="12" customHeight="1"/>
    <row r="42948" ht="12" customHeight="1"/>
    <row r="42949" ht="12" customHeight="1"/>
    <row r="42950" ht="12" customHeight="1"/>
    <row r="42951" ht="12" customHeight="1"/>
    <row r="42952" ht="12" customHeight="1"/>
    <row r="42953" ht="12" customHeight="1"/>
    <row r="42954" ht="12" customHeight="1"/>
    <row r="42955" ht="12" customHeight="1"/>
    <row r="42956" ht="12" customHeight="1"/>
    <row r="42957" ht="12" customHeight="1"/>
    <row r="42958" ht="12" customHeight="1"/>
    <row r="42959" ht="12" customHeight="1"/>
    <row r="42960" ht="12" customHeight="1"/>
    <row r="42961" ht="12" customHeight="1"/>
    <row r="42962" ht="12" customHeight="1"/>
    <row r="42963" ht="12" customHeight="1"/>
    <row r="42964" ht="12" customHeight="1"/>
    <row r="42965" ht="12" customHeight="1"/>
    <row r="42966" ht="12" customHeight="1"/>
    <row r="42967" ht="12" customHeight="1"/>
    <row r="42968" ht="12" customHeight="1"/>
    <row r="42969" ht="12" customHeight="1"/>
    <row r="42970" ht="12" customHeight="1"/>
    <row r="42971" ht="12" customHeight="1"/>
    <row r="42972" ht="12" customHeight="1"/>
    <row r="42973" ht="12" customHeight="1"/>
    <row r="42974" ht="12" customHeight="1"/>
    <row r="42975" ht="12" customHeight="1"/>
    <row r="42976" ht="12" customHeight="1"/>
    <row r="42977" ht="12" customHeight="1"/>
    <row r="42978" ht="12" customHeight="1"/>
    <row r="42979" ht="12" customHeight="1"/>
    <row r="42980" ht="12" customHeight="1"/>
    <row r="42981" ht="12" customHeight="1"/>
    <row r="42982" ht="12" customHeight="1"/>
    <row r="42983" ht="12" customHeight="1"/>
    <row r="42984" ht="12" customHeight="1"/>
    <row r="42985" ht="12" customHeight="1"/>
    <row r="42986" ht="12" customHeight="1"/>
    <row r="42987" ht="12" customHeight="1"/>
    <row r="42988" ht="12" customHeight="1"/>
    <row r="42989" ht="12" customHeight="1"/>
    <row r="42990" ht="12" customHeight="1"/>
    <row r="42991" ht="12" customHeight="1"/>
    <row r="42992" ht="12" customHeight="1"/>
    <row r="42993" ht="12" customHeight="1"/>
    <row r="42994" ht="12" customHeight="1"/>
    <row r="42995" ht="12" customHeight="1"/>
    <row r="42996" ht="12" customHeight="1"/>
    <row r="42997" ht="12" customHeight="1"/>
    <row r="42998" ht="12" customHeight="1"/>
    <row r="42999" ht="12" customHeight="1"/>
    <row r="43000" ht="12" customHeight="1"/>
    <row r="43001" ht="12" customHeight="1"/>
    <row r="43002" ht="12" customHeight="1"/>
    <row r="43003" ht="12" customHeight="1"/>
    <row r="43004" ht="12" customHeight="1"/>
    <row r="43005" ht="12" customHeight="1"/>
    <row r="43006" ht="12" customHeight="1"/>
    <row r="43007" ht="12" customHeight="1"/>
    <row r="43008" ht="12" customHeight="1"/>
    <row r="43009" ht="12" customHeight="1"/>
    <row r="43010" ht="12" customHeight="1"/>
    <row r="43011" ht="12" customHeight="1"/>
    <row r="43012" ht="12" customHeight="1"/>
    <row r="43013" ht="12" customHeight="1"/>
    <row r="43014" ht="12" customHeight="1"/>
    <row r="43015" ht="12" customHeight="1"/>
    <row r="43016" ht="12" customHeight="1"/>
    <row r="43017" ht="12" customHeight="1"/>
    <row r="43018" ht="12" customHeight="1"/>
    <row r="43019" ht="12" customHeight="1"/>
    <row r="43020" ht="12" customHeight="1"/>
    <row r="43021" ht="12" customHeight="1"/>
    <row r="43022" ht="12" customHeight="1"/>
    <row r="43023" ht="12" customHeight="1"/>
    <row r="43024" ht="12" customHeight="1"/>
    <row r="43025" ht="12" customHeight="1"/>
    <row r="43026" ht="12" customHeight="1"/>
    <row r="43027" ht="12" customHeight="1"/>
    <row r="43028" ht="12" customHeight="1"/>
    <row r="43029" ht="12" customHeight="1"/>
    <row r="43030" ht="12" customHeight="1"/>
    <row r="43031" ht="12" customHeight="1"/>
    <row r="43032" ht="12" customHeight="1"/>
    <row r="43033" ht="12" customHeight="1"/>
    <row r="43034" ht="12" customHeight="1"/>
    <row r="43035" ht="12" customHeight="1"/>
    <row r="43036" ht="12" customHeight="1"/>
    <row r="43037" ht="12" customHeight="1"/>
    <row r="43038" ht="12" customHeight="1"/>
    <row r="43039" ht="12" customHeight="1"/>
    <row r="43040" ht="12" customHeight="1"/>
    <row r="43041" ht="12" customHeight="1"/>
    <row r="43042" ht="12" customHeight="1"/>
    <row r="43043" ht="12" customHeight="1"/>
    <row r="43044" ht="12" customHeight="1"/>
    <row r="43045" ht="12" customHeight="1"/>
    <row r="43046" ht="12" customHeight="1"/>
    <row r="43047" ht="12" customHeight="1"/>
    <row r="43048" ht="12" customHeight="1"/>
    <row r="43049" ht="12" customHeight="1"/>
    <row r="43050" ht="12" customHeight="1"/>
    <row r="43051" ht="12" customHeight="1"/>
    <row r="43052" ht="12" customHeight="1"/>
    <row r="43053" ht="12" customHeight="1"/>
    <row r="43054" ht="12" customHeight="1"/>
    <row r="43055" ht="12" customHeight="1"/>
    <row r="43056" ht="12" customHeight="1"/>
    <row r="43057" ht="12" customHeight="1"/>
    <row r="43058" ht="12" customHeight="1"/>
    <row r="43059" ht="12" customHeight="1"/>
    <row r="43060" ht="12" customHeight="1"/>
    <row r="43061" ht="12" customHeight="1"/>
    <row r="43062" ht="12" customHeight="1"/>
    <row r="43063" ht="12" customHeight="1"/>
    <row r="43064" ht="12" customHeight="1"/>
    <row r="43065" ht="12" customHeight="1"/>
    <row r="43066" ht="12" customHeight="1"/>
    <row r="43067" ht="12" customHeight="1"/>
    <row r="43068" ht="12" customHeight="1"/>
    <row r="43069" ht="12" customHeight="1"/>
    <row r="43070" ht="12" customHeight="1"/>
    <row r="43071" ht="12" customHeight="1"/>
    <row r="43072" ht="12" customHeight="1"/>
    <row r="43073" ht="12" customHeight="1"/>
    <row r="43074" ht="12" customHeight="1"/>
    <row r="43075" ht="12" customHeight="1"/>
    <row r="43076" ht="12" customHeight="1"/>
    <row r="43077" ht="12" customHeight="1"/>
    <row r="43078" ht="12" customHeight="1"/>
    <row r="43079" ht="12" customHeight="1"/>
    <row r="43080" ht="12" customHeight="1"/>
    <row r="43081" ht="12" customHeight="1"/>
    <row r="43082" ht="12" customHeight="1"/>
    <row r="43083" ht="12" customHeight="1"/>
    <row r="43084" ht="12" customHeight="1"/>
    <row r="43085" ht="12" customHeight="1"/>
    <row r="43086" ht="12" customHeight="1"/>
    <row r="43087" ht="12" customHeight="1"/>
    <row r="43088" ht="12" customHeight="1"/>
    <row r="43089" ht="12" customHeight="1"/>
    <row r="43090" ht="12" customHeight="1"/>
    <row r="43091" ht="12" customHeight="1"/>
    <row r="43092" ht="12" customHeight="1"/>
    <row r="43093" ht="12" customHeight="1"/>
    <row r="43094" ht="12" customHeight="1"/>
    <row r="43095" ht="12" customHeight="1"/>
    <row r="43096" ht="12" customHeight="1"/>
    <row r="43097" ht="12" customHeight="1"/>
    <row r="43098" ht="12" customHeight="1"/>
    <row r="43099" ht="12" customHeight="1"/>
    <row r="43100" ht="12" customHeight="1"/>
    <row r="43101" ht="12" customHeight="1"/>
    <row r="43102" ht="12" customHeight="1"/>
    <row r="43103" ht="12" customHeight="1"/>
    <row r="43104" ht="12" customHeight="1"/>
    <row r="43105" ht="12" customHeight="1"/>
    <row r="43106" ht="12" customHeight="1"/>
    <row r="43107" ht="12" customHeight="1"/>
    <row r="43108" ht="12" customHeight="1"/>
    <row r="43109" ht="12" customHeight="1"/>
    <row r="43110" ht="12" customHeight="1"/>
    <row r="43111" ht="12" customHeight="1"/>
    <row r="43112" ht="12" customHeight="1"/>
    <row r="43113" ht="12" customHeight="1"/>
    <row r="43114" ht="12" customHeight="1"/>
    <row r="43115" ht="12" customHeight="1"/>
    <row r="43116" ht="12" customHeight="1"/>
    <row r="43117" ht="12" customHeight="1"/>
    <row r="43118" ht="12" customHeight="1"/>
    <row r="43119" ht="12" customHeight="1"/>
    <row r="43120" ht="12" customHeight="1"/>
    <row r="43121" ht="12" customHeight="1"/>
    <row r="43122" ht="12" customHeight="1"/>
    <row r="43123" ht="12" customHeight="1"/>
    <row r="43124" ht="12" customHeight="1"/>
    <row r="43125" ht="12" customHeight="1"/>
    <row r="43126" ht="12" customHeight="1"/>
    <row r="43127" ht="12" customHeight="1"/>
    <row r="43128" ht="12" customHeight="1"/>
    <row r="43129" ht="12" customHeight="1"/>
    <row r="43130" ht="12" customHeight="1"/>
    <row r="43131" ht="12" customHeight="1"/>
    <row r="43132" ht="12" customHeight="1"/>
    <row r="43133" ht="12" customHeight="1"/>
    <row r="43134" ht="12" customHeight="1"/>
    <row r="43135" ht="12" customHeight="1"/>
    <row r="43136" ht="12" customHeight="1"/>
    <row r="43137" ht="12" customHeight="1"/>
    <row r="43138" ht="12" customHeight="1"/>
    <row r="43139" ht="12" customHeight="1"/>
    <row r="43140" ht="12" customHeight="1"/>
    <row r="43141" ht="12" customHeight="1"/>
    <row r="43142" ht="12" customHeight="1"/>
    <row r="43143" ht="12" customHeight="1"/>
    <row r="43144" ht="12" customHeight="1"/>
    <row r="43145" ht="12" customHeight="1"/>
    <row r="43146" ht="12" customHeight="1"/>
    <row r="43147" ht="12" customHeight="1"/>
    <row r="43148" ht="12" customHeight="1"/>
    <row r="43149" ht="12" customHeight="1"/>
    <row r="43150" ht="12" customHeight="1"/>
    <row r="43151" ht="12" customHeight="1"/>
    <row r="43152" ht="12" customHeight="1"/>
    <row r="43153" ht="12" customHeight="1"/>
    <row r="43154" ht="12" customHeight="1"/>
    <row r="43155" ht="12" customHeight="1"/>
    <row r="43156" ht="12" customHeight="1"/>
    <row r="43157" ht="12" customHeight="1"/>
    <row r="43158" ht="12" customHeight="1"/>
    <row r="43159" ht="12" customHeight="1"/>
    <row r="43160" ht="12" customHeight="1"/>
    <row r="43161" ht="12" customHeight="1"/>
    <row r="43162" ht="12" customHeight="1"/>
    <row r="43163" ht="12" customHeight="1"/>
    <row r="43164" ht="12" customHeight="1"/>
    <row r="43165" ht="12" customHeight="1"/>
    <row r="43166" ht="12" customHeight="1"/>
    <row r="43167" ht="12" customHeight="1"/>
    <row r="43168" ht="12" customHeight="1"/>
    <row r="43169" ht="12" customHeight="1"/>
    <row r="43170" ht="12" customHeight="1"/>
    <row r="43171" ht="12" customHeight="1"/>
    <row r="43172" ht="12" customHeight="1"/>
    <row r="43173" ht="12" customHeight="1"/>
    <row r="43174" ht="12" customHeight="1"/>
    <row r="43175" ht="12" customHeight="1"/>
    <row r="43176" ht="12" customHeight="1"/>
    <row r="43177" ht="12" customHeight="1"/>
    <row r="43178" ht="12" customHeight="1"/>
    <row r="43179" ht="12" customHeight="1"/>
    <row r="43180" ht="12" customHeight="1"/>
    <row r="43181" ht="12" customHeight="1"/>
    <row r="43182" ht="12" customHeight="1"/>
    <row r="43183" ht="12" customHeight="1"/>
    <row r="43184" ht="12" customHeight="1"/>
    <row r="43185" ht="12" customHeight="1"/>
    <row r="43186" ht="12" customHeight="1"/>
    <row r="43187" ht="12" customHeight="1"/>
    <row r="43188" ht="12" customHeight="1"/>
    <row r="43189" ht="12" customHeight="1"/>
    <row r="43190" ht="12" customHeight="1"/>
    <row r="43191" ht="12" customHeight="1"/>
    <row r="43192" ht="12" customHeight="1"/>
    <row r="43193" ht="12" customHeight="1"/>
    <row r="43194" ht="12" customHeight="1"/>
    <row r="43195" ht="12" customHeight="1"/>
    <row r="43196" ht="12" customHeight="1"/>
    <row r="43197" ht="12" customHeight="1"/>
    <row r="43198" ht="12" customHeight="1"/>
    <row r="43199" ht="12" customHeight="1"/>
    <row r="43200" ht="12" customHeight="1"/>
    <row r="43201" ht="12" customHeight="1"/>
    <row r="43202" ht="12" customHeight="1"/>
    <row r="43203" ht="12" customHeight="1"/>
    <row r="43204" ht="12" customHeight="1"/>
    <row r="43205" ht="12" customHeight="1"/>
    <row r="43206" ht="12" customHeight="1"/>
    <row r="43207" ht="12" customHeight="1"/>
    <row r="43208" ht="12" customHeight="1"/>
    <row r="43209" ht="12" customHeight="1"/>
    <row r="43210" ht="12" customHeight="1"/>
    <row r="43211" ht="12" customHeight="1"/>
    <row r="43212" ht="12" customHeight="1"/>
    <row r="43213" ht="12" customHeight="1"/>
    <row r="43214" ht="12" customHeight="1"/>
    <row r="43215" ht="12" customHeight="1"/>
    <row r="43216" ht="12" customHeight="1"/>
    <row r="43217" ht="12" customHeight="1"/>
    <row r="43218" ht="12" customHeight="1"/>
    <row r="43219" ht="12" customHeight="1"/>
    <row r="43220" ht="12" customHeight="1"/>
    <row r="43221" ht="12" customHeight="1"/>
    <row r="43222" ht="12" customHeight="1"/>
    <row r="43223" ht="12" customHeight="1"/>
    <row r="43224" ht="12" customHeight="1"/>
    <row r="43225" ht="12" customHeight="1"/>
    <row r="43226" ht="12" customHeight="1"/>
    <row r="43227" ht="12" customHeight="1"/>
    <row r="43228" ht="12" customHeight="1"/>
    <row r="43229" ht="12" customHeight="1"/>
    <row r="43230" ht="12" customHeight="1"/>
    <row r="43231" ht="12" customHeight="1"/>
    <row r="43232" ht="12" customHeight="1"/>
    <row r="43233" ht="12" customHeight="1"/>
    <row r="43234" ht="12" customHeight="1"/>
    <row r="43235" ht="12" customHeight="1"/>
    <row r="43236" ht="12" customHeight="1"/>
    <row r="43237" ht="12" customHeight="1"/>
    <row r="43238" ht="12" customHeight="1"/>
    <row r="43239" ht="12" customHeight="1"/>
    <row r="43240" ht="12" customHeight="1"/>
    <row r="43241" ht="12" customHeight="1"/>
    <row r="43242" ht="12" customHeight="1"/>
    <row r="43243" ht="12" customHeight="1"/>
    <row r="43244" ht="12" customHeight="1"/>
    <row r="43245" ht="12" customHeight="1"/>
    <row r="43246" ht="12" customHeight="1"/>
    <row r="43247" ht="12" customHeight="1"/>
    <row r="43248" ht="12" customHeight="1"/>
    <row r="43249" ht="12" customHeight="1"/>
    <row r="43250" ht="12" customHeight="1"/>
    <row r="43251" ht="12" customHeight="1"/>
    <row r="43252" ht="12" customHeight="1"/>
    <row r="43253" ht="12" customHeight="1"/>
    <row r="43254" ht="12" customHeight="1"/>
    <row r="43255" ht="12" customHeight="1"/>
    <row r="43256" ht="12" customHeight="1"/>
    <row r="43257" ht="12" customHeight="1"/>
    <row r="43258" ht="12" customHeight="1"/>
    <row r="43259" ht="12" customHeight="1"/>
    <row r="43260" ht="12" customHeight="1"/>
    <row r="43261" ht="12" customHeight="1"/>
    <row r="43262" ht="12" customHeight="1"/>
    <row r="43263" ht="12" customHeight="1"/>
    <row r="43264" ht="12" customHeight="1"/>
    <row r="43265" ht="12" customHeight="1"/>
    <row r="43266" ht="12" customHeight="1"/>
    <row r="43267" ht="12" customHeight="1"/>
    <row r="43268" ht="12" customHeight="1"/>
    <row r="43269" ht="12" customHeight="1"/>
    <row r="43270" ht="12" customHeight="1"/>
    <row r="43271" ht="12" customHeight="1"/>
    <row r="43272" ht="12" customHeight="1"/>
    <row r="43273" ht="12" customHeight="1"/>
    <row r="43274" ht="12" customHeight="1"/>
    <row r="43275" ht="12" customHeight="1"/>
    <row r="43276" ht="12" customHeight="1"/>
    <row r="43277" ht="12" customHeight="1"/>
    <row r="43278" ht="12" customHeight="1"/>
    <row r="43279" ht="12" customHeight="1"/>
    <row r="43280" ht="12" customHeight="1"/>
    <row r="43281" ht="12" customHeight="1"/>
    <row r="43282" ht="12" customHeight="1"/>
    <row r="43283" ht="12" customHeight="1"/>
    <row r="43284" ht="12" customHeight="1"/>
    <row r="43285" ht="12" customHeight="1"/>
    <row r="43286" ht="12" customHeight="1"/>
    <row r="43287" ht="12" customHeight="1"/>
    <row r="43288" ht="12" customHeight="1"/>
    <row r="43289" ht="12" customHeight="1"/>
    <row r="43290" ht="12" customHeight="1"/>
    <row r="43291" ht="12" customHeight="1"/>
    <row r="43292" ht="12" customHeight="1"/>
    <row r="43293" ht="12" customHeight="1"/>
    <row r="43294" ht="12" customHeight="1"/>
    <row r="43295" ht="12" customHeight="1"/>
    <row r="43296" ht="12" customHeight="1"/>
    <row r="43297" ht="12" customHeight="1"/>
    <row r="43298" ht="12" customHeight="1"/>
    <row r="43299" ht="12" customHeight="1"/>
    <row r="43300" ht="12" customHeight="1"/>
    <row r="43301" ht="12" customHeight="1"/>
    <row r="43302" ht="12" customHeight="1"/>
    <row r="43303" ht="12" customHeight="1"/>
    <row r="43304" ht="12" customHeight="1"/>
    <row r="43305" ht="12" customHeight="1"/>
    <row r="43306" ht="12" customHeight="1"/>
    <row r="43307" ht="12" customHeight="1"/>
    <row r="43308" ht="12" customHeight="1"/>
    <row r="43309" ht="12" customHeight="1"/>
    <row r="43310" ht="12" customHeight="1"/>
    <row r="43311" ht="12" customHeight="1"/>
    <row r="43312" ht="12" customHeight="1"/>
    <row r="43313" ht="12" customHeight="1"/>
    <row r="43314" ht="12" customHeight="1"/>
    <row r="43315" ht="12" customHeight="1"/>
    <row r="43316" ht="12" customHeight="1"/>
    <row r="43317" ht="12" customHeight="1"/>
    <row r="43318" ht="12" customHeight="1"/>
    <row r="43319" ht="12" customHeight="1"/>
    <row r="43320" ht="12" customHeight="1"/>
    <row r="43321" ht="12" customHeight="1"/>
    <row r="43322" ht="12" customHeight="1"/>
    <row r="43323" ht="12" customHeight="1"/>
    <row r="43324" ht="12" customHeight="1"/>
    <row r="43325" ht="12" customHeight="1"/>
    <row r="43326" ht="12" customHeight="1"/>
    <row r="43327" ht="12" customHeight="1"/>
    <row r="43328" ht="12" customHeight="1"/>
    <row r="43329" ht="12" customHeight="1"/>
    <row r="43330" ht="12" customHeight="1"/>
    <row r="43331" ht="12" customHeight="1"/>
    <row r="43332" ht="12" customHeight="1"/>
    <row r="43333" ht="12" customHeight="1"/>
    <row r="43334" ht="12" customHeight="1"/>
    <row r="43335" ht="12" customHeight="1"/>
    <row r="43336" ht="12" customHeight="1"/>
    <row r="43337" ht="12" customHeight="1"/>
    <row r="43338" ht="12" customHeight="1"/>
    <row r="43339" ht="12" customHeight="1"/>
    <row r="43340" ht="12" customHeight="1"/>
    <row r="43341" ht="12" customHeight="1"/>
    <row r="43342" ht="12" customHeight="1"/>
    <row r="43343" ht="12" customHeight="1"/>
    <row r="43344" ht="12" customHeight="1"/>
    <row r="43345" ht="12" customHeight="1"/>
    <row r="43346" ht="12" customHeight="1"/>
    <row r="43347" ht="12" customHeight="1"/>
    <row r="43348" ht="12" customHeight="1"/>
    <row r="43349" ht="12" customHeight="1"/>
    <row r="43350" ht="12" customHeight="1"/>
    <row r="43351" ht="12" customHeight="1"/>
    <row r="43352" ht="12" customHeight="1"/>
    <row r="43353" ht="12" customHeight="1"/>
    <row r="43354" ht="12" customHeight="1"/>
    <row r="43355" ht="12" customHeight="1"/>
    <row r="43356" ht="12" customHeight="1"/>
    <row r="43357" ht="12" customHeight="1"/>
    <row r="43358" ht="12" customHeight="1"/>
    <row r="43359" ht="12" customHeight="1"/>
    <row r="43360" ht="12" customHeight="1"/>
    <row r="43361" ht="12" customHeight="1"/>
    <row r="43362" ht="12" customHeight="1"/>
    <row r="43363" ht="12" customHeight="1"/>
    <row r="43364" ht="12" customHeight="1"/>
    <row r="43365" ht="12" customHeight="1"/>
    <row r="43366" ht="12" customHeight="1"/>
    <row r="43367" ht="12" customHeight="1"/>
    <row r="43368" ht="12" customHeight="1"/>
    <row r="43369" ht="12" customHeight="1"/>
    <row r="43370" ht="12" customHeight="1"/>
    <row r="43371" ht="12" customHeight="1"/>
    <row r="43372" ht="12" customHeight="1"/>
    <row r="43373" ht="12" customHeight="1"/>
    <row r="43374" ht="12" customHeight="1"/>
    <row r="43375" ht="12" customHeight="1"/>
    <row r="43376" ht="12" customHeight="1"/>
    <row r="43377" ht="12" customHeight="1"/>
    <row r="43378" ht="12" customHeight="1"/>
    <row r="43379" ht="12" customHeight="1"/>
    <row r="43380" ht="12" customHeight="1"/>
    <row r="43381" ht="12" customHeight="1"/>
    <row r="43382" ht="12" customHeight="1"/>
    <row r="43383" ht="12" customHeight="1"/>
    <row r="43384" ht="12" customHeight="1"/>
    <row r="43385" ht="12" customHeight="1"/>
    <row r="43386" ht="12" customHeight="1"/>
    <row r="43387" ht="12" customHeight="1"/>
    <row r="43388" ht="12" customHeight="1"/>
    <row r="43389" ht="12" customHeight="1"/>
    <row r="43390" ht="12" customHeight="1"/>
    <row r="43391" ht="12" customHeight="1"/>
    <row r="43392" ht="12" customHeight="1"/>
    <row r="43393" ht="12" customHeight="1"/>
    <row r="43394" ht="12" customHeight="1"/>
    <row r="43395" ht="12" customHeight="1"/>
    <row r="43396" ht="12" customHeight="1"/>
    <row r="43397" ht="12" customHeight="1"/>
    <row r="43398" ht="12" customHeight="1"/>
    <row r="43399" ht="12" customHeight="1"/>
    <row r="43400" ht="12" customHeight="1"/>
    <row r="43401" ht="12" customHeight="1"/>
    <row r="43402" ht="12" customHeight="1"/>
    <row r="43403" ht="12" customHeight="1"/>
    <row r="43404" ht="12" customHeight="1"/>
    <row r="43405" ht="12" customHeight="1"/>
    <row r="43406" ht="12" customHeight="1"/>
    <row r="43407" ht="12" customHeight="1"/>
    <row r="43408" ht="12" customHeight="1"/>
    <row r="43409" ht="12" customHeight="1"/>
    <row r="43410" ht="12" customHeight="1"/>
    <row r="43411" ht="12" customHeight="1"/>
    <row r="43412" ht="12" customHeight="1"/>
    <row r="43413" ht="12" customHeight="1"/>
    <row r="43414" ht="12" customHeight="1"/>
    <row r="43415" ht="12" customHeight="1"/>
    <row r="43416" ht="12" customHeight="1"/>
    <row r="43417" ht="12" customHeight="1"/>
    <row r="43418" ht="12" customHeight="1"/>
    <row r="43419" ht="12" customHeight="1"/>
    <row r="43420" ht="12" customHeight="1"/>
    <row r="43421" ht="12" customHeight="1"/>
    <row r="43422" ht="12" customHeight="1"/>
    <row r="43423" ht="12" customHeight="1"/>
    <row r="43424" ht="12" customHeight="1"/>
    <row r="43425" ht="12" customHeight="1"/>
    <row r="43426" ht="12" customHeight="1"/>
    <row r="43427" ht="12" customHeight="1"/>
    <row r="43428" ht="12" customHeight="1"/>
    <row r="43429" ht="12" customHeight="1"/>
    <row r="43430" ht="12" customHeight="1"/>
    <row r="43431" ht="12" customHeight="1"/>
    <row r="43432" ht="12" customHeight="1"/>
    <row r="43433" ht="12" customHeight="1"/>
    <row r="43434" ht="12" customHeight="1"/>
    <row r="43435" ht="12" customHeight="1"/>
    <row r="43436" ht="12" customHeight="1"/>
    <row r="43437" ht="12" customHeight="1"/>
    <row r="43438" ht="12" customHeight="1"/>
    <row r="43439" ht="12" customHeight="1"/>
    <row r="43440" ht="12" customHeight="1"/>
    <row r="43441" ht="12" customHeight="1"/>
    <row r="43442" ht="12" customHeight="1"/>
    <row r="43443" ht="12" customHeight="1"/>
    <row r="43444" ht="12" customHeight="1"/>
    <row r="43445" ht="12" customHeight="1"/>
    <row r="43446" ht="12" customHeight="1"/>
    <row r="43447" ht="12" customHeight="1"/>
    <row r="43448" ht="12" customHeight="1"/>
    <row r="43449" ht="12" customHeight="1"/>
    <row r="43450" ht="12" customHeight="1"/>
    <row r="43451" ht="12" customHeight="1"/>
    <row r="43452" ht="12" customHeight="1"/>
    <row r="43453" ht="12" customHeight="1"/>
    <row r="43454" ht="12" customHeight="1"/>
    <row r="43455" ht="12" customHeight="1"/>
    <row r="43456" ht="12" customHeight="1"/>
    <row r="43457" ht="12" customHeight="1"/>
    <row r="43458" ht="12" customHeight="1"/>
    <row r="43459" ht="12" customHeight="1"/>
    <row r="43460" ht="12" customHeight="1"/>
    <row r="43461" ht="12" customHeight="1"/>
    <row r="43462" ht="12" customHeight="1"/>
    <row r="43463" ht="12" customHeight="1"/>
    <row r="43464" ht="12" customHeight="1"/>
    <row r="43465" ht="12" customHeight="1"/>
    <row r="43466" ht="12" customHeight="1"/>
    <row r="43467" ht="12" customHeight="1"/>
    <row r="43468" ht="12" customHeight="1"/>
    <row r="43469" ht="12" customHeight="1"/>
    <row r="43470" ht="12" customHeight="1"/>
    <row r="43471" ht="12" customHeight="1"/>
    <row r="43472" ht="12" customHeight="1"/>
    <row r="43473" ht="12" customHeight="1"/>
    <row r="43474" ht="12" customHeight="1"/>
    <row r="43475" ht="12" customHeight="1"/>
    <row r="43476" ht="12" customHeight="1"/>
    <row r="43477" ht="12" customHeight="1"/>
    <row r="43478" ht="12" customHeight="1"/>
    <row r="43479" ht="12" customHeight="1"/>
    <row r="43480" ht="12" customHeight="1"/>
    <row r="43481" ht="12" customHeight="1"/>
    <row r="43482" ht="12" customHeight="1"/>
    <row r="43483" ht="12" customHeight="1"/>
    <row r="43484" ht="12" customHeight="1"/>
    <row r="43485" ht="12" customHeight="1"/>
    <row r="43486" ht="12" customHeight="1"/>
    <row r="43487" ht="12" customHeight="1"/>
    <row r="43488" ht="12" customHeight="1"/>
    <row r="43489" ht="12" customHeight="1"/>
    <row r="43490" ht="12" customHeight="1"/>
    <row r="43491" ht="12" customHeight="1"/>
    <row r="43492" ht="12" customHeight="1"/>
    <row r="43493" ht="12" customHeight="1"/>
    <row r="43494" ht="12" customHeight="1"/>
    <row r="43495" ht="12" customHeight="1"/>
    <row r="43496" ht="12" customHeight="1"/>
    <row r="43497" ht="12" customHeight="1"/>
    <row r="43498" ht="12" customHeight="1"/>
    <row r="43499" ht="12" customHeight="1"/>
    <row r="43500" ht="12" customHeight="1"/>
    <row r="43501" ht="12" customHeight="1"/>
    <row r="43502" ht="12" customHeight="1"/>
    <row r="43503" ht="12" customHeight="1"/>
    <row r="43504" ht="12" customHeight="1"/>
    <row r="43505" ht="12" customHeight="1"/>
    <row r="43506" ht="12" customHeight="1"/>
    <row r="43507" ht="12" customHeight="1"/>
    <row r="43508" ht="12" customHeight="1"/>
    <row r="43509" ht="12" customHeight="1"/>
    <row r="43510" ht="12" customHeight="1"/>
    <row r="43511" ht="12" customHeight="1"/>
    <row r="43512" ht="12" customHeight="1"/>
    <row r="43513" ht="12" customHeight="1"/>
    <row r="43514" ht="12" customHeight="1"/>
    <row r="43515" ht="12" customHeight="1"/>
    <row r="43516" ht="12" customHeight="1"/>
    <row r="43517" ht="12" customHeight="1"/>
    <row r="43518" ht="12" customHeight="1"/>
    <row r="43519" ht="12" customHeight="1"/>
    <row r="43520" ht="12" customHeight="1"/>
    <row r="43521" ht="12" customHeight="1"/>
    <row r="43522" ht="12" customHeight="1"/>
    <row r="43523" ht="12" customHeight="1"/>
    <row r="43524" ht="12" customHeight="1"/>
    <row r="43525" ht="12" customHeight="1"/>
    <row r="43526" ht="12" customHeight="1"/>
    <row r="43527" ht="12" customHeight="1"/>
    <row r="43528" ht="12" customHeight="1"/>
    <row r="43529" ht="12" customHeight="1"/>
    <row r="43530" ht="12" customHeight="1"/>
    <row r="43531" ht="12" customHeight="1"/>
    <row r="43532" ht="12" customHeight="1"/>
    <row r="43533" ht="12" customHeight="1"/>
    <row r="43534" ht="12" customHeight="1"/>
    <row r="43535" ht="12" customHeight="1"/>
    <row r="43536" ht="12" customHeight="1"/>
    <row r="43537" ht="12" customHeight="1"/>
    <row r="43538" ht="12" customHeight="1"/>
    <row r="43539" ht="12" customHeight="1"/>
    <row r="43540" ht="12" customHeight="1"/>
    <row r="43541" ht="12" customHeight="1"/>
    <row r="43542" ht="12" customHeight="1"/>
    <row r="43543" ht="12" customHeight="1"/>
    <row r="43544" ht="12" customHeight="1"/>
    <row r="43545" ht="12" customHeight="1"/>
    <row r="43546" ht="12" customHeight="1"/>
    <row r="43547" ht="12" customHeight="1"/>
    <row r="43548" ht="12" customHeight="1"/>
    <row r="43549" ht="12" customHeight="1"/>
    <row r="43550" ht="12" customHeight="1"/>
    <row r="43551" ht="12" customHeight="1"/>
    <row r="43552" ht="12" customHeight="1"/>
    <row r="43553" ht="12" customHeight="1"/>
    <row r="43554" ht="12" customHeight="1"/>
    <row r="43555" ht="12" customHeight="1"/>
    <row r="43556" ht="12" customHeight="1"/>
    <row r="43557" ht="12" customHeight="1"/>
    <row r="43558" ht="12" customHeight="1"/>
    <row r="43559" ht="12" customHeight="1"/>
    <row r="43560" ht="12" customHeight="1"/>
    <row r="43561" ht="12" customHeight="1"/>
    <row r="43562" ht="12" customHeight="1"/>
    <row r="43563" ht="12" customHeight="1"/>
    <row r="43564" ht="12" customHeight="1"/>
    <row r="43565" ht="12" customHeight="1"/>
    <row r="43566" ht="12" customHeight="1"/>
    <row r="43567" ht="12" customHeight="1"/>
    <row r="43568" ht="12" customHeight="1"/>
    <row r="43569" ht="12" customHeight="1"/>
    <row r="43570" ht="12" customHeight="1"/>
    <row r="43571" ht="12" customHeight="1"/>
    <row r="43572" ht="12" customHeight="1"/>
    <row r="43573" ht="12" customHeight="1"/>
    <row r="43574" ht="12" customHeight="1"/>
    <row r="43575" ht="12" customHeight="1"/>
    <row r="43576" ht="12" customHeight="1"/>
    <row r="43577" ht="12" customHeight="1"/>
    <row r="43578" ht="12" customHeight="1"/>
    <row r="43579" ht="12" customHeight="1"/>
    <row r="43580" ht="12" customHeight="1"/>
    <row r="43581" ht="12" customHeight="1"/>
    <row r="43582" ht="12" customHeight="1"/>
    <row r="43583" ht="12" customHeight="1"/>
    <row r="43584" ht="12" customHeight="1"/>
    <row r="43585" ht="12" customHeight="1"/>
    <row r="43586" ht="12" customHeight="1"/>
    <row r="43587" ht="12" customHeight="1"/>
    <row r="43588" ht="12" customHeight="1"/>
    <row r="43589" ht="12" customHeight="1"/>
    <row r="43590" ht="12" customHeight="1"/>
    <row r="43591" ht="12" customHeight="1"/>
    <row r="43592" ht="12" customHeight="1"/>
    <row r="43593" ht="12" customHeight="1"/>
    <row r="43594" ht="12" customHeight="1"/>
    <row r="43595" ht="12" customHeight="1"/>
    <row r="43596" ht="12" customHeight="1"/>
    <row r="43597" ht="12" customHeight="1"/>
    <row r="43598" ht="12" customHeight="1"/>
    <row r="43599" ht="12" customHeight="1"/>
    <row r="43600" ht="12" customHeight="1"/>
    <row r="43601" ht="12" customHeight="1"/>
    <row r="43602" ht="12" customHeight="1"/>
    <row r="43603" ht="12" customHeight="1"/>
    <row r="43604" ht="12" customHeight="1"/>
    <row r="43605" ht="12" customHeight="1"/>
    <row r="43606" ht="12" customHeight="1"/>
    <row r="43607" ht="12" customHeight="1"/>
    <row r="43608" ht="12" customHeight="1"/>
    <row r="43609" ht="12" customHeight="1"/>
    <row r="43610" ht="12" customHeight="1"/>
    <row r="43611" ht="12" customHeight="1"/>
    <row r="43612" ht="12" customHeight="1"/>
    <row r="43613" ht="12" customHeight="1"/>
    <row r="43614" ht="12" customHeight="1"/>
    <row r="43615" ht="12" customHeight="1"/>
    <row r="43616" ht="12" customHeight="1"/>
    <row r="43617" ht="12" customHeight="1"/>
    <row r="43618" ht="12" customHeight="1"/>
    <row r="43619" ht="12" customHeight="1"/>
    <row r="43620" ht="12" customHeight="1"/>
    <row r="43621" ht="12" customHeight="1"/>
    <row r="43622" ht="12" customHeight="1"/>
    <row r="43623" ht="12" customHeight="1"/>
    <row r="43624" ht="12" customHeight="1"/>
    <row r="43625" ht="12" customHeight="1"/>
    <row r="43626" ht="12" customHeight="1"/>
    <row r="43627" ht="12" customHeight="1"/>
    <row r="43628" ht="12" customHeight="1"/>
    <row r="43629" ht="12" customHeight="1"/>
    <row r="43630" ht="12" customHeight="1"/>
    <row r="43631" ht="12" customHeight="1"/>
    <row r="43632" ht="12" customHeight="1"/>
    <row r="43633" ht="12" customHeight="1"/>
    <row r="43634" ht="12" customHeight="1"/>
    <row r="43635" ht="12" customHeight="1"/>
    <row r="43636" ht="12" customHeight="1"/>
    <row r="43637" ht="12" customHeight="1"/>
    <row r="43638" ht="12" customHeight="1"/>
    <row r="43639" ht="12" customHeight="1"/>
    <row r="43640" ht="12" customHeight="1"/>
    <row r="43641" ht="12" customHeight="1"/>
    <row r="43642" ht="12" customHeight="1"/>
    <row r="43643" ht="12" customHeight="1"/>
    <row r="43644" ht="12" customHeight="1"/>
    <row r="43645" ht="12" customHeight="1"/>
    <row r="43646" ht="12" customHeight="1"/>
    <row r="43647" ht="12" customHeight="1"/>
    <row r="43648" ht="12" customHeight="1"/>
    <row r="43649" ht="12" customHeight="1"/>
    <row r="43650" ht="12" customHeight="1"/>
    <row r="43651" ht="12" customHeight="1"/>
    <row r="43652" ht="12" customHeight="1"/>
    <row r="43653" ht="12" customHeight="1"/>
    <row r="43654" ht="12" customHeight="1"/>
    <row r="43655" ht="12" customHeight="1"/>
    <row r="43656" ht="12" customHeight="1"/>
    <row r="43657" ht="12" customHeight="1"/>
    <row r="43658" ht="12" customHeight="1"/>
    <row r="43659" ht="12" customHeight="1"/>
    <row r="43660" ht="12" customHeight="1"/>
    <row r="43661" ht="12" customHeight="1"/>
    <row r="43662" ht="12" customHeight="1"/>
    <row r="43663" ht="12" customHeight="1"/>
    <row r="43664" ht="12" customHeight="1"/>
    <row r="43665" ht="12" customHeight="1"/>
    <row r="43666" ht="12" customHeight="1"/>
    <row r="43667" ht="12" customHeight="1"/>
    <row r="43668" ht="12" customHeight="1"/>
    <row r="43669" ht="12" customHeight="1"/>
    <row r="43670" ht="12" customHeight="1"/>
    <row r="43671" ht="12" customHeight="1"/>
    <row r="43672" ht="12" customHeight="1"/>
    <row r="43673" ht="12" customHeight="1"/>
    <row r="43674" ht="12" customHeight="1"/>
    <row r="43675" ht="12" customHeight="1"/>
    <row r="43676" ht="12" customHeight="1"/>
    <row r="43677" ht="12" customHeight="1"/>
    <row r="43678" ht="12" customHeight="1"/>
    <row r="43679" ht="12" customHeight="1"/>
    <row r="43680" ht="12" customHeight="1"/>
    <row r="43681" ht="12" customHeight="1"/>
    <row r="43682" ht="12" customHeight="1"/>
    <row r="43683" ht="12" customHeight="1"/>
    <row r="43684" ht="12" customHeight="1"/>
    <row r="43685" ht="12" customHeight="1"/>
    <row r="43686" ht="12" customHeight="1"/>
    <row r="43687" ht="12" customHeight="1"/>
    <row r="43688" ht="12" customHeight="1"/>
    <row r="43689" ht="12" customHeight="1"/>
    <row r="43690" ht="12" customHeight="1"/>
    <row r="43691" ht="12" customHeight="1"/>
    <row r="43692" ht="12" customHeight="1"/>
    <row r="43693" ht="12" customHeight="1"/>
    <row r="43694" ht="12" customHeight="1"/>
    <row r="43695" ht="12" customHeight="1"/>
    <row r="43696" ht="12" customHeight="1"/>
    <row r="43697" ht="12" customHeight="1"/>
    <row r="43698" ht="12" customHeight="1"/>
    <row r="43699" ht="12" customHeight="1"/>
    <row r="43700" ht="12" customHeight="1"/>
    <row r="43701" ht="12" customHeight="1"/>
    <row r="43702" ht="12" customHeight="1"/>
    <row r="43703" ht="12" customHeight="1"/>
    <row r="43704" ht="12" customHeight="1"/>
    <row r="43705" ht="12" customHeight="1"/>
    <row r="43706" ht="12" customHeight="1"/>
    <row r="43707" ht="12" customHeight="1"/>
    <row r="43708" ht="12" customHeight="1"/>
    <row r="43709" ht="12" customHeight="1"/>
    <row r="43710" ht="12" customHeight="1"/>
    <row r="43711" ht="12" customHeight="1"/>
    <row r="43712" ht="12" customHeight="1"/>
    <row r="43713" ht="12" customHeight="1"/>
    <row r="43714" ht="12" customHeight="1"/>
    <row r="43715" ht="12" customHeight="1"/>
    <row r="43716" ht="12" customHeight="1"/>
    <row r="43717" ht="12" customHeight="1"/>
    <row r="43718" ht="12" customHeight="1"/>
    <row r="43719" ht="12" customHeight="1"/>
    <row r="43720" ht="12" customHeight="1"/>
    <row r="43721" ht="12" customHeight="1"/>
    <row r="43722" ht="12" customHeight="1"/>
    <row r="43723" ht="12" customHeight="1"/>
    <row r="43724" ht="12" customHeight="1"/>
    <row r="43725" ht="12" customHeight="1"/>
    <row r="43726" ht="12" customHeight="1"/>
    <row r="43727" ht="12" customHeight="1"/>
    <row r="43728" ht="12" customHeight="1"/>
    <row r="43729" ht="12" customHeight="1"/>
    <row r="43730" ht="12" customHeight="1"/>
    <row r="43731" ht="12" customHeight="1"/>
    <row r="43732" ht="12" customHeight="1"/>
    <row r="43733" ht="12" customHeight="1"/>
    <row r="43734" ht="12" customHeight="1"/>
    <row r="43735" ht="12" customHeight="1"/>
    <row r="43736" ht="12" customHeight="1"/>
    <row r="43737" ht="12" customHeight="1"/>
    <row r="43738" ht="12" customHeight="1"/>
    <row r="43739" ht="12" customHeight="1"/>
    <row r="43740" ht="12" customHeight="1"/>
    <row r="43741" ht="12" customHeight="1"/>
    <row r="43742" ht="12" customHeight="1"/>
    <row r="43743" ht="12" customHeight="1"/>
    <row r="43744" ht="12" customHeight="1"/>
    <row r="43745" ht="12" customHeight="1"/>
    <row r="43746" ht="12" customHeight="1"/>
    <row r="43747" ht="12" customHeight="1"/>
    <row r="43748" ht="12" customHeight="1"/>
    <row r="43749" ht="12" customHeight="1"/>
    <row r="43750" ht="12" customHeight="1"/>
    <row r="43751" ht="12" customHeight="1"/>
    <row r="43752" ht="12" customHeight="1"/>
    <row r="43753" ht="12" customHeight="1"/>
    <row r="43754" ht="12" customHeight="1"/>
    <row r="43755" ht="12" customHeight="1"/>
    <row r="43756" ht="12" customHeight="1"/>
    <row r="43757" ht="12" customHeight="1"/>
    <row r="43758" ht="12" customHeight="1"/>
    <row r="43759" ht="12" customHeight="1"/>
    <row r="43760" ht="12" customHeight="1"/>
    <row r="43761" ht="12" customHeight="1"/>
    <row r="43762" ht="12" customHeight="1"/>
    <row r="43763" ht="12" customHeight="1"/>
    <row r="43764" ht="12" customHeight="1"/>
    <row r="43765" ht="12" customHeight="1"/>
    <row r="43766" ht="12" customHeight="1"/>
    <row r="43767" ht="12" customHeight="1"/>
    <row r="43768" ht="12" customHeight="1"/>
    <row r="43769" ht="12" customHeight="1"/>
    <row r="43770" ht="12" customHeight="1"/>
    <row r="43771" ht="12" customHeight="1"/>
    <row r="43772" ht="12" customHeight="1"/>
    <row r="43773" ht="12" customHeight="1"/>
    <row r="43774" ht="12" customHeight="1"/>
    <row r="43775" ht="12" customHeight="1"/>
    <row r="43776" ht="12" customHeight="1"/>
    <row r="43777" ht="12" customHeight="1"/>
    <row r="43778" ht="12" customHeight="1"/>
    <row r="43779" ht="12" customHeight="1"/>
    <row r="43780" ht="12" customHeight="1"/>
    <row r="43781" ht="12" customHeight="1"/>
    <row r="43782" ht="12" customHeight="1"/>
    <row r="43783" ht="12" customHeight="1"/>
    <row r="43784" ht="12" customHeight="1"/>
    <row r="43785" ht="12" customHeight="1"/>
    <row r="43786" ht="12" customHeight="1"/>
    <row r="43787" ht="12" customHeight="1"/>
    <row r="43788" ht="12" customHeight="1"/>
    <row r="43789" ht="12" customHeight="1"/>
    <row r="43790" ht="12" customHeight="1"/>
    <row r="43791" ht="12" customHeight="1"/>
    <row r="43792" ht="12" customHeight="1"/>
    <row r="43793" ht="12" customHeight="1"/>
    <row r="43794" ht="12" customHeight="1"/>
    <row r="43795" ht="12" customHeight="1"/>
    <row r="43796" ht="12" customHeight="1"/>
    <row r="43797" ht="12" customHeight="1"/>
    <row r="43798" ht="12" customHeight="1"/>
    <row r="43799" ht="12" customHeight="1"/>
    <row r="43800" ht="12" customHeight="1"/>
    <row r="43801" ht="12" customHeight="1"/>
    <row r="43802" ht="12" customHeight="1"/>
    <row r="43803" ht="12" customHeight="1"/>
    <row r="43804" ht="12" customHeight="1"/>
    <row r="43805" ht="12" customHeight="1"/>
    <row r="43806" ht="12" customHeight="1"/>
    <row r="43807" ht="12" customHeight="1"/>
    <row r="43808" ht="12" customHeight="1"/>
    <row r="43809" ht="12" customHeight="1"/>
    <row r="43810" ht="12" customHeight="1"/>
    <row r="43811" ht="12" customHeight="1"/>
    <row r="43812" ht="12" customHeight="1"/>
    <row r="43813" ht="12" customHeight="1"/>
    <row r="43814" ht="12" customHeight="1"/>
    <row r="43815" ht="12" customHeight="1"/>
    <row r="43816" ht="12" customHeight="1"/>
    <row r="43817" ht="12" customHeight="1"/>
    <row r="43818" ht="12" customHeight="1"/>
    <row r="43819" ht="12" customHeight="1"/>
    <row r="43820" ht="12" customHeight="1"/>
    <row r="43821" ht="12" customHeight="1"/>
    <row r="43822" ht="12" customHeight="1"/>
    <row r="43823" ht="12" customHeight="1"/>
    <row r="43824" ht="12" customHeight="1"/>
    <row r="43825" ht="12" customHeight="1"/>
    <row r="43826" ht="12" customHeight="1"/>
    <row r="43827" ht="12" customHeight="1"/>
    <row r="43828" ht="12" customHeight="1"/>
    <row r="43829" ht="12" customHeight="1"/>
    <row r="43830" ht="12" customHeight="1"/>
    <row r="43831" ht="12" customHeight="1"/>
    <row r="43832" ht="12" customHeight="1"/>
    <row r="43833" ht="12" customHeight="1"/>
    <row r="43834" ht="12" customHeight="1"/>
    <row r="43835" ht="12" customHeight="1"/>
    <row r="43836" ht="12" customHeight="1"/>
    <row r="43837" ht="12" customHeight="1"/>
    <row r="43838" ht="12" customHeight="1"/>
    <row r="43839" ht="12" customHeight="1"/>
    <row r="43840" ht="12" customHeight="1"/>
    <row r="43841" ht="12" customHeight="1"/>
    <row r="43842" ht="12" customHeight="1"/>
    <row r="43843" ht="12" customHeight="1"/>
    <row r="43844" ht="12" customHeight="1"/>
    <row r="43845" ht="12" customHeight="1"/>
    <row r="43846" ht="12" customHeight="1"/>
    <row r="43847" ht="12" customHeight="1"/>
    <row r="43848" ht="12" customHeight="1"/>
    <row r="43849" ht="12" customHeight="1"/>
    <row r="43850" ht="12" customHeight="1"/>
    <row r="43851" ht="12" customHeight="1"/>
    <row r="43852" ht="12" customHeight="1"/>
    <row r="43853" ht="12" customHeight="1"/>
    <row r="43854" ht="12" customHeight="1"/>
    <row r="43855" ht="12" customHeight="1"/>
    <row r="43856" ht="12" customHeight="1"/>
    <row r="43857" ht="12" customHeight="1"/>
    <row r="43858" ht="12" customHeight="1"/>
    <row r="43859" ht="12" customHeight="1"/>
    <row r="43860" ht="12" customHeight="1"/>
    <row r="43861" ht="12" customHeight="1"/>
    <row r="43862" ht="12" customHeight="1"/>
    <row r="43863" ht="12" customHeight="1"/>
    <row r="43864" ht="12" customHeight="1"/>
    <row r="43865" ht="12" customHeight="1"/>
    <row r="43866" ht="12" customHeight="1"/>
    <row r="43867" ht="12" customHeight="1"/>
    <row r="43868" ht="12" customHeight="1"/>
    <row r="43869" ht="12" customHeight="1"/>
    <row r="43870" ht="12" customHeight="1"/>
    <row r="43871" ht="12" customHeight="1"/>
    <row r="43872" ht="12" customHeight="1"/>
    <row r="43873" ht="12" customHeight="1"/>
    <row r="43874" ht="12" customHeight="1"/>
    <row r="43875" ht="12" customHeight="1"/>
    <row r="43876" ht="12" customHeight="1"/>
    <row r="43877" ht="12" customHeight="1"/>
    <row r="43878" ht="12" customHeight="1"/>
    <row r="43879" ht="12" customHeight="1"/>
    <row r="43880" ht="12" customHeight="1"/>
    <row r="43881" ht="12" customHeight="1"/>
    <row r="43882" ht="12" customHeight="1"/>
    <row r="43883" ht="12" customHeight="1"/>
    <row r="43884" ht="12" customHeight="1"/>
    <row r="43885" ht="12" customHeight="1"/>
    <row r="43886" ht="12" customHeight="1"/>
    <row r="43887" ht="12" customHeight="1"/>
    <row r="43888" ht="12" customHeight="1"/>
    <row r="43889" ht="12" customHeight="1"/>
    <row r="43890" ht="12" customHeight="1"/>
    <row r="43891" ht="12" customHeight="1"/>
    <row r="43892" ht="12" customHeight="1"/>
    <row r="43893" ht="12" customHeight="1"/>
    <row r="43894" ht="12" customHeight="1"/>
    <row r="43895" ht="12" customHeight="1"/>
    <row r="43896" ht="12" customHeight="1"/>
    <row r="43897" ht="12" customHeight="1"/>
    <row r="43898" ht="12" customHeight="1"/>
    <row r="43899" ht="12" customHeight="1"/>
    <row r="43900" ht="12" customHeight="1"/>
    <row r="43901" ht="12" customHeight="1"/>
    <row r="43902" ht="12" customHeight="1"/>
    <row r="43903" ht="12" customHeight="1"/>
    <row r="43904" ht="12" customHeight="1"/>
    <row r="43905" ht="12" customHeight="1"/>
    <row r="43906" ht="12" customHeight="1"/>
    <row r="43907" ht="12" customHeight="1"/>
    <row r="43908" ht="12" customHeight="1"/>
    <row r="43909" ht="12" customHeight="1"/>
    <row r="43910" ht="12" customHeight="1"/>
    <row r="43911" ht="12" customHeight="1"/>
    <row r="43912" ht="12" customHeight="1"/>
    <row r="43913" ht="12" customHeight="1"/>
    <row r="43914" ht="12" customHeight="1"/>
    <row r="43915" ht="12" customHeight="1"/>
    <row r="43916" ht="12" customHeight="1"/>
    <row r="43917" ht="12" customHeight="1"/>
    <row r="43918" ht="12" customHeight="1"/>
    <row r="43919" ht="12" customHeight="1"/>
    <row r="43920" ht="12" customHeight="1"/>
    <row r="43921" ht="12" customHeight="1"/>
    <row r="43922" ht="12" customHeight="1"/>
    <row r="43923" ht="12" customHeight="1"/>
    <row r="43924" ht="12" customHeight="1"/>
    <row r="43925" ht="12" customHeight="1"/>
    <row r="43926" ht="12" customHeight="1"/>
    <row r="43927" ht="12" customHeight="1"/>
    <row r="43928" ht="12" customHeight="1"/>
    <row r="43929" ht="12" customHeight="1"/>
    <row r="43930" ht="12" customHeight="1"/>
    <row r="43931" ht="12" customHeight="1"/>
    <row r="43932" ht="12" customHeight="1"/>
    <row r="43933" ht="12" customHeight="1"/>
    <row r="43934" ht="12" customHeight="1"/>
    <row r="43935" ht="12" customHeight="1"/>
    <row r="43936" ht="12" customHeight="1"/>
    <row r="43937" ht="12" customHeight="1"/>
    <row r="43938" ht="12" customHeight="1"/>
    <row r="43939" ht="12" customHeight="1"/>
    <row r="43940" ht="12" customHeight="1"/>
    <row r="43941" ht="12" customHeight="1"/>
    <row r="43942" ht="12" customHeight="1"/>
    <row r="43943" ht="12" customHeight="1"/>
    <row r="43944" ht="12" customHeight="1"/>
    <row r="43945" ht="12" customHeight="1"/>
    <row r="43946" ht="12" customHeight="1"/>
    <row r="43947" ht="12" customHeight="1"/>
    <row r="43948" ht="12" customHeight="1"/>
    <row r="43949" ht="12" customHeight="1"/>
    <row r="43950" ht="12" customHeight="1"/>
    <row r="43951" ht="12" customHeight="1"/>
    <row r="43952" ht="12" customHeight="1"/>
    <row r="43953" ht="12" customHeight="1"/>
    <row r="43954" ht="12" customHeight="1"/>
    <row r="43955" ht="12" customHeight="1"/>
    <row r="43956" ht="12" customHeight="1"/>
    <row r="43957" ht="12" customHeight="1"/>
    <row r="43958" ht="12" customHeight="1"/>
    <row r="43959" ht="12" customHeight="1"/>
    <row r="43960" ht="12" customHeight="1"/>
    <row r="43961" ht="12" customHeight="1"/>
    <row r="43962" ht="12" customHeight="1"/>
    <row r="43963" ht="12" customHeight="1"/>
    <row r="43964" ht="12" customHeight="1"/>
    <row r="43965" ht="12" customHeight="1"/>
    <row r="43966" ht="12" customHeight="1"/>
    <row r="43967" ht="12" customHeight="1"/>
    <row r="43968" ht="12" customHeight="1"/>
    <row r="43969" ht="12" customHeight="1"/>
    <row r="43970" ht="12" customHeight="1"/>
    <row r="43971" ht="12" customHeight="1"/>
    <row r="43972" ht="12" customHeight="1"/>
    <row r="43973" ht="12" customHeight="1"/>
    <row r="43974" ht="12" customHeight="1"/>
    <row r="43975" ht="12" customHeight="1"/>
    <row r="43976" ht="12" customHeight="1"/>
    <row r="43977" ht="12" customHeight="1"/>
    <row r="43978" ht="12" customHeight="1"/>
    <row r="43979" ht="12" customHeight="1"/>
    <row r="43980" ht="12" customHeight="1"/>
    <row r="43981" ht="12" customHeight="1"/>
    <row r="43982" ht="12" customHeight="1"/>
    <row r="43983" ht="12" customHeight="1"/>
    <row r="43984" ht="12" customHeight="1"/>
    <row r="43985" ht="12" customHeight="1"/>
    <row r="43986" ht="12" customHeight="1"/>
    <row r="43987" ht="12" customHeight="1"/>
    <row r="43988" ht="12" customHeight="1"/>
    <row r="43989" ht="12" customHeight="1"/>
    <row r="43990" ht="12" customHeight="1"/>
    <row r="43991" ht="12" customHeight="1"/>
    <row r="43992" ht="12" customHeight="1"/>
    <row r="43993" ht="12" customHeight="1"/>
    <row r="43994" ht="12" customHeight="1"/>
    <row r="43995" ht="12" customHeight="1"/>
    <row r="43996" ht="12" customHeight="1"/>
    <row r="43997" ht="12" customHeight="1"/>
    <row r="43998" ht="12" customHeight="1"/>
    <row r="43999" ht="12" customHeight="1"/>
    <row r="44000" ht="12" customHeight="1"/>
    <row r="44001" ht="12" customHeight="1"/>
    <row r="44002" ht="12" customHeight="1"/>
    <row r="44003" ht="12" customHeight="1"/>
    <row r="44004" ht="12" customHeight="1"/>
    <row r="44005" ht="12" customHeight="1"/>
    <row r="44006" ht="12" customHeight="1"/>
    <row r="44007" ht="12" customHeight="1"/>
    <row r="44008" ht="12" customHeight="1"/>
    <row r="44009" ht="12" customHeight="1"/>
    <row r="44010" ht="12" customHeight="1"/>
    <row r="44011" ht="12" customHeight="1"/>
    <row r="44012" ht="12" customHeight="1"/>
    <row r="44013" ht="12" customHeight="1"/>
    <row r="44014" ht="12" customHeight="1"/>
    <row r="44015" ht="12" customHeight="1"/>
    <row r="44016" ht="12" customHeight="1"/>
    <row r="44017" ht="12" customHeight="1"/>
    <row r="44018" ht="12" customHeight="1"/>
    <row r="44019" ht="12" customHeight="1"/>
    <row r="44020" ht="12" customHeight="1"/>
    <row r="44021" ht="12" customHeight="1"/>
    <row r="44022" ht="12" customHeight="1"/>
    <row r="44023" ht="12" customHeight="1"/>
    <row r="44024" ht="12" customHeight="1"/>
    <row r="44025" ht="12" customHeight="1"/>
    <row r="44026" ht="12" customHeight="1"/>
    <row r="44027" ht="12" customHeight="1"/>
    <row r="44028" ht="12" customHeight="1"/>
    <row r="44029" ht="12" customHeight="1"/>
    <row r="44030" ht="12" customHeight="1"/>
    <row r="44031" ht="12" customHeight="1"/>
    <row r="44032" ht="12" customHeight="1"/>
    <row r="44033" ht="12" customHeight="1"/>
    <row r="44034" ht="12" customHeight="1"/>
    <row r="44035" ht="12" customHeight="1"/>
    <row r="44036" ht="12" customHeight="1"/>
    <row r="44037" ht="12" customHeight="1"/>
    <row r="44038" ht="12" customHeight="1"/>
    <row r="44039" ht="12" customHeight="1"/>
    <row r="44040" ht="12" customHeight="1"/>
    <row r="44041" ht="12" customHeight="1"/>
    <row r="44042" ht="12" customHeight="1"/>
    <row r="44043" ht="12" customHeight="1"/>
    <row r="44044" ht="12" customHeight="1"/>
    <row r="44045" ht="12" customHeight="1"/>
    <row r="44046" ht="12" customHeight="1"/>
    <row r="44047" ht="12" customHeight="1"/>
    <row r="44048" ht="12" customHeight="1"/>
    <row r="44049" ht="12" customHeight="1"/>
    <row r="44050" ht="12" customHeight="1"/>
    <row r="44051" ht="12" customHeight="1"/>
    <row r="44052" ht="12" customHeight="1"/>
    <row r="44053" ht="12" customHeight="1"/>
    <row r="44054" ht="12" customHeight="1"/>
    <row r="44055" ht="12" customHeight="1"/>
    <row r="44056" ht="12" customHeight="1"/>
    <row r="44057" ht="12" customHeight="1"/>
    <row r="44058" ht="12" customHeight="1"/>
    <row r="44059" ht="12" customHeight="1"/>
    <row r="44060" ht="12" customHeight="1"/>
    <row r="44061" ht="12" customHeight="1"/>
    <row r="44062" ht="12" customHeight="1"/>
    <row r="44063" ht="12" customHeight="1"/>
    <row r="44064" ht="12" customHeight="1"/>
    <row r="44065" ht="12" customHeight="1"/>
    <row r="44066" ht="12" customHeight="1"/>
    <row r="44067" ht="12" customHeight="1"/>
    <row r="44068" ht="12" customHeight="1"/>
    <row r="44069" ht="12" customHeight="1"/>
    <row r="44070" ht="12" customHeight="1"/>
    <row r="44071" ht="12" customHeight="1"/>
    <row r="44072" ht="12" customHeight="1"/>
    <row r="44073" ht="12" customHeight="1"/>
    <row r="44074" ht="12" customHeight="1"/>
    <row r="44075" ht="12" customHeight="1"/>
    <row r="44076" ht="12" customHeight="1"/>
    <row r="44077" ht="12" customHeight="1"/>
    <row r="44078" ht="12" customHeight="1"/>
    <row r="44079" ht="12" customHeight="1"/>
    <row r="44080" ht="12" customHeight="1"/>
    <row r="44081" ht="12" customHeight="1"/>
    <row r="44082" ht="12" customHeight="1"/>
    <row r="44083" ht="12" customHeight="1"/>
    <row r="44084" ht="12" customHeight="1"/>
    <row r="44085" ht="12" customHeight="1"/>
    <row r="44086" ht="12" customHeight="1"/>
    <row r="44087" ht="12" customHeight="1"/>
    <row r="44088" ht="12" customHeight="1"/>
    <row r="44089" ht="12" customHeight="1"/>
    <row r="44090" ht="12" customHeight="1"/>
    <row r="44091" ht="12" customHeight="1"/>
    <row r="44092" ht="12" customHeight="1"/>
    <row r="44093" ht="12" customHeight="1"/>
    <row r="44094" ht="12" customHeight="1"/>
    <row r="44095" ht="12" customHeight="1"/>
    <row r="44096" ht="12" customHeight="1"/>
    <row r="44097" ht="12" customHeight="1"/>
    <row r="44098" ht="12" customHeight="1"/>
    <row r="44099" ht="12" customHeight="1"/>
    <row r="44100" ht="12" customHeight="1"/>
    <row r="44101" ht="12" customHeight="1"/>
    <row r="44102" ht="12" customHeight="1"/>
    <row r="44103" ht="12" customHeight="1"/>
    <row r="44104" ht="12" customHeight="1"/>
    <row r="44105" ht="12" customHeight="1"/>
    <row r="44106" ht="12" customHeight="1"/>
    <row r="44107" ht="12" customHeight="1"/>
    <row r="44108" ht="12" customHeight="1"/>
    <row r="44109" ht="12" customHeight="1"/>
    <row r="44110" ht="12" customHeight="1"/>
    <row r="44111" ht="12" customHeight="1"/>
    <row r="44112" ht="12" customHeight="1"/>
    <row r="44113" ht="12" customHeight="1"/>
    <row r="44114" ht="12" customHeight="1"/>
    <row r="44115" ht="12" customHeight="1"/>
    <row r="44116" ht="12" customHeight="1"/>
    <row r="44117" ht="12" customHeight="1"/>
    <row r="44118" ht="12" customHeight="1"/>
    <row r="44119" ht="12" customHeight="1"/>
    <row r="44120" ht="12" customHeight="1"/>
    <row r="44121" ht="12" customHeight="1"/>
    <row r="44122" ht="12" customHeight="1"/>
    <row r="44123" ht="12" customHeight="1"/>
    <row r="44124" ht="12" customHeight="1"/>
    <row r="44125" ht="12" customHeight="1"/>
    <row r="44126" ht="12" customHeight="1"/>
    <row r="44127" ht="12" customHeight="1"/>
    <row r="44128" ht="12" customHeight="1"/>
    <row r="44129" ht="12" customHeight="1"/>
    <row r="44130" ht="12" customHeight="1"/>
    <row r="44131" ht="12" customHeight="1"/>
    <row r="44132" ht="12" customHeight="1"/>
    <row r="44133" ht="12" customHeight="1"/>
    <row r="44134" ht="12" customHeight="1"/>
    <row r="44135" ht="12" customHeight="1"/>
    <row r="44136" ht="12" customHeight="1"/>
    <row r="44137" ht="12" customHeight="1"/>
    <row r="44138" ht="12" customHeight="1"/>
    <row r="44139" ht="12" customHeight="1"/>
    <row r="44140" ht="12" customHeight="1"/>
    <row r="44141" ht="12" customHeight="1"/>
    <row r="44142" ht="12" customHeight="1"/>
    <row r="44143" ht="12" customHeight="1"/>
    <row r="44144" ht="12" customHeight="1"/>
    <row r="44145" ht="12" customHeight="1"/>
    <row r="44146" ht="12" customHeight="1"/>
    <row r="44147" ht="12" customHeight="1"/>
    <row r="44148" ht="12" customHeight="1"/>
    <row r="44149" ht="12" customHeight="1"/>
    <row r="44150" ht="12" customHeight="1"/>
    <row r="44151" ht="12" customHeight="1"/>
    <row r="44152" ht="12" customHeight="1"/>
    <row r="44153" ht="12" customHeight="1"/>
    <row r="44154" ht="12" customHeight="1"/>
    <row r="44155" ht="12" customHeight="1"/>
    <row r="44156" ht="12" customHeight="1"/>
    <row r="44157" ht="12" customHeight="1"/>
    <row r="44158" ht="12" customHeight="1"/>
    <row r="44159" ht="12" customHeight="1"/>
    <row r="44160" ht="12" customHeight="1"/>
    <row r="44161" ht="12" customHeight="1"/>
    <row r="44162" ht="12" customHeight="1"/>
    <row r="44163" ht="12" customHeight="1"/>
    <row r="44164" ht="12" customHeight="1"/>
    <row r="44165" ht="12" customHeight="1"/>
    <row r="44166" ht="12" customHeight="1"/>
    <row r="44167" ht="12" customHeight="1"/>
    <row r="44168" ht="12" customHeight="1"/>
    <row r="44169" ht="12" customHeight="1"/>
    <row r="44170" ht="12" customHeight="1"/>
    <row r="44171" ht="12" customHeight="1"/>
    <row r="44172" ht="12" customHeight="1"/>
    <row r="44173" ht="12" customHeight="1"/>
    <row r="44174" ht="12" customHeight="1"/>
    <row r="44175" ht="12" customHeight="1"/>
    <row r="44176" ht="12" customHeight="1"/>
    <row r="44177" ht="12" customHeight="1"/>
    <row r="44178" ht="12" customHeight="1"/>
    <row r="44179" ht="12" customHeight="1"/>
    <row r="44180" ht="12" customHeight="1"/>
    <row r="44181" ht="12" customHeight="1"/>
    <row r="44182" ht="12" customHeight="1"/>
    <row r="44183" ht="12" customHeight="1"/>
    <row r="44184" ht="12" customHeight="1"/>
    <row r="44185" ht="12" customHeight="1"/>
    <row r="44186" ht="12" customHeight="1"/>
    <row r="44187" ht="12" customHeight="1"/>
    <row r="44188" ht="12" customHeight="1"/>
    <row r="44189" ht="12" customHeight="1"/>
    <row r="44190" ht="12" customHeight="1"/>
    <row r="44191" ht="12" customHeight="1"/>
    <row r="44192" ht="12" customHeight="1"/>
    <row r="44193" ht="12" customHeight="1"/>
    <row r="44194" ht="12" customHeight="1"/>
    <row r="44195" ht="12" customHeight="1"/>
    <row r="44196" ht="12" customHeight="1"/>
    <row r="44197" ht="12" customHeight="1"/>
    <row r="44198" ht="12" customHeight="1"/>
    <row r="44199" ht="12" customHeight="1"/>
    <row r="44200" ht="12" customHeight="1"/>
    <row r="44201" ht="12" customHeight="1"/>
    <row r="44202" ht="12" customHeight="1"/>
    <row r="44203" ht="12" customHeight="1"/>
    <row r="44204" ht="12" customHeight="1"/>
    <row r="44205" ht="12" customHeight="1"/>
    <row r="44206" ht="12" customHeight="1"/>
    <row r="44207" ht="12" customHeight="1"/>
    <row r="44208" ht="12" customHeight="1"/>
    <row r="44209" ht="12" customHeight="1"/>
    <row r="44210" ht="12" customHeight="1"/>
    <row r="44211" ht="12" customHeight="1"/>
    <row r="44212" ht="12" customHeight="1"/>
    <row r="44213" ht="12" customHeight="1"/>
    <row r="44214" ht="12" customHeight="1"/>
    <row r="44215" ht="12" customHeight="1"/>
    <row r="44216" ht="12" customHeight="1"/>
    <row r="44217" ht="12" customHeight="1"/>
    <row r="44218" ht="12" customHeight="1"/>
    <row r="44219" ht="12" customHeight="1"/>
    <row r="44220" ht="12" customHeight="1"/>
    <row r="44221" ht="12" customHeight="1"/>
    <row r="44222" ht="12" customHeight="1"/>
    <row r="44223" ht="12" customHeight="1"/>
    <row r="44224" ht="12" customHeight="1"/>
    <row r="44225" ht="12" customHeight="1"/>
    <row r="44226" ht="12" customHeight="1"/>
    <row r="44227" ht="12" customHeight="1"/>
    <row r="44228" ht="12" customHeight="1"/>
    <row r="44229" ht="12" customHeight="1"/>
    <row r="44230" ht="12" customHeight="1"/>
    <row r="44231" ht="12" customHeight="1"/>
    <row r="44232" ht="12" customHeight="1"/>
    <row r="44233" ht="12" customHeight="1"/>
    <row r="44234" ht="12" customHeight="1"/>
    <row r="44235" ht="12" customHeight="1"/>
    <row r="44236" ht="12" customHeight="1"/>
    <row r="44237" ht="12" customHeight="1"/>
    <row r="44238" ht="12" customHeight="1"/>
    <row r="44239" ht="12" customHeight="1"/>
    <row r="44240" ht="12" customHeight="1"/>
    <row r="44241" ht="12" customHeight="1"/>
    <row r="44242" ht="12" customHeight="1"/>
    <row r="44243" ht="12" customHeight="1"/>
    <row r="44244" ht="12" customHeight="1"/>
    <row r="44245" ht="12" customHeight="1"/>
    <row r="44246" ht="12" customHeight="1"/>
    <row r="44247" ht="12" customHeight="1"/>
    <row r="44248" ht="12" customHeight="1"/>
    <row r="44249" ht="12" customHeight="1"/>
    <row r="44250" ht="12" customHeight="1"/>
    <row r="44251" ht="12" customHeight="1"/>
    <row r="44252" ht="12" customHeight="1"/>
    <row r="44253" ht="12" customHeight="1"/>
    <row r="44254" ht="12" customHeight="1"/>
    <row r="44255" ht="12" customHeight="1"/>
    <row r="44256" ht="12" customHeight="1"/>
    <row r="44257" ht="12" customHeight="1"/>
    <row r="44258" ht="12" customHeight="1"/>
    <row r="44259" ht="12" customHeight="1"/>
    <row r="44260" ht="12" customHeight="1"/>
    <row r="44261" ht="12" customHeight="1"/>
    <row r="44262" ht="12" customHeight="1"/>
    <row r="44263" ht="12" customHeight="1"/>
    <row r="44264" ht="12" customHeight="1"/>
    <row r="44265" ht="12" customHeight="1"/>
    <row r="44266" ht="12" customHeight="1"/>
    <row r="44267" ht="12" customHeight="1"/>
    <row r="44268" ht="12" customHeight="1"/>
    <row r="44269" ht="12" customHeight="1"/>
    <row r="44270" ht="12" customHeight="1"/>
    <row r="44271" ht="12" customHeight="1"/>
    <row r="44272" ht="12" customHeight="1"/>
    <row r="44273" ht="12" customHeight="1"/>
    <row r="44274" ht="12" customHeight="1"/>
    <row r="44275" ht="12" customHeight="1"/>
    <row r="44276" ht="12" customHeight="1"/>
    <row r="44277" ht="12" customHeight="1"/>
    <row r="44278" ht="12" customHeight="1"/>
    <row r="44279" ht="12" customHeight="1"/>
    <row r="44280" ht="12" customHeight="1"/>
    <row r="44281" ht="12" customHeight="1"/>
    <row r="44282" ht="12" customHeight="1"/>
    <row r="44283" ht="12" customHeight="1"/>
    <row r="44284" ht="12" customHeight="1"/>
    <row r="44285" ht="12" customHeight="1"/>
    <row r="44286" ht="12" customHeight="1"/>
    <row r="44287" ht="12" customHeight="1"/>
    <row r="44288" ht="12" customHeight="1"/>
    <row r="44289" ht="12" customHeight="1"/>
    <row r="44290" ht="12" customHeight="1"/>
    <row r="44291" ht="12" customHeight="1"/>
    <row r="44292" ht="12" customHeight="1"/>
    <row r="44293" ht="12" customHeight="1"/>
    <row r="44294" ht="12" customHeight="1"/>
    <row r="44295" ht="12" customHeight="1"/>
    <row r="44296" ht="12" customHeight="1"/>
    <row r="44297" ht="12" customHeight="1"/>
    <row r="44298" ht="12" customHeight="1"/>
    <row r="44299" ht="12" customHeight="1"/>
    <row r="44300" ht="12" customHeight="1"/>
    <row r="44301" ht="12" customHeight="1"/>
    <row r="44302" ht="12" customHeight="1"/>
    <row r="44303" ht="12" customHeight="1"/>
    <row r="44304" ht="12" customHeight="1"/>
    <row r="44305" ht="12" customHeight="1"/>
    <row r="44306" ht="12" customHeight="1"/>
    <row r="44307" ht="12" customHeight="1"/>
    <row r="44308" ht="12" customHeight="1"/>
    <row r="44309" ht="12" customHeight="1"/>
    <row r="44310" ht="12" customHeight="1"/>
    <row r="44311" ht="12" customHeight="1"/>
    <row r="44312" ht="12" customHeight="1"/>
    <row r="44313" ht="12" customHeight="1"/>
    <row r="44314" ht="12" customHeight="1"/>
    <row r="44315" ht="12" customHeight="1"/>
    <row r="44316" ht="12" customHeight="1"/>
    <row r="44317" ht="12" customHeight="1"/>
    <row r="44318" ht="12" customHeight="1"/>
    <row r="44319" ht="12" customHeight="1"/>
    <row r="44320" ht="12" customHeight="1"/>
    <row r="44321" ht="12" customHeight="1"/>
    <row r="44322" ht="12" customHeight="1"/>
    <row r="44323" ht="12" customHeight="1"/>
    <row r="44324" ht="12" customHeight="1"/>
    <row r="44325" ht="12" customHeight="1"/>
    <row r="44326" ht="12" customHeight="1"/>
    <row r="44327" ht="12" customHeight="1"/>
    <row r="44328" ht="12" customHeight="1"/>
    <row r="44329" ht="12" customHeight="1"/>
    <row r="44330" ht="12" customHeight="1"/>
    <row r="44331" ht="12" customHeight="1"/>
    <row r="44332" ht="12" customHeight="1"/>
    <row r="44333" ht="12" customHeight="1"/>
    <row r="44334" ht="12" customHeight="1"/>
    <row r="44335" ht="12" customHeight="1"/>
    <row r="44336" ht="12" customHeight="1"/>
    <row r="44337" ht="12" customHeight="1"/>
    <row r="44338" ht="12" customHeight="1"/>
    <row r="44339" ht="12" customHeight="1"/>
    <row r="44340" ht="12" customHeight="1"/>
    <row r="44341" ht="12" customHeight="1"/>
    <row r="44342" ht="12" customHeight="1"/>
    <row r="44343" ht="12" customHeight="1"/>
    <row r="44344" ht="12" customHeight="1"/>
    <row r="44345" ht="12" customHeight="1"/>
    <row r="44346" ht="12" customHeight="1"/>
    <row r="44347" ht="12" customHeight="1"/>
    <row r="44348" ht="12" customHeight="1"/>
    <row r="44349" ht="12" customHeight="1"/>
    <row r="44350" ht="12" customHeight="1"/>
    <row r="44351" ht="12" customHeight="1"/>
    <row r="44352" ht="12" customHeight="1"/>
    <row r="44353" ht="12" customHeight="1"/>
    <row r="44354" ht="12" customHeight="1"/>
    <row r="44355" ht="12" customHeight="1"/>
    <row r="44356" ht="12" customHeight="1"/>
    <row r="44357" ht="12" customHeight="1"/>
    <row r="44358" ht="12" customHeight="1"/>
    <row r="44359" ht="12" customHeight="1"/>
    <row r="44360" ht="12" customHeight="1"/>
    <row r="44361" ht="12" customHeight="1"/>
    <row r="44362" ht="12" customHeight="1"/>
    <row r="44363" ht="12" customHeight="1"/>
    <row r="44364" ht="12" customHeight="1"/>
    <row r="44365" ht="12" customHeight="1"/>
    <row r="44366" ht="12" customHeight="1"/>
    <row r="44367" ht="12" customHeight="1"/>
    <row r="44368" ht="12" customHeight="1"/>
    <row r="44369" ht="12" customHeight="1"/>
    <row r="44370" ht="12" customHeight="1"/>
    <row r="44371" ht="12" customHeight="1"/>
    <row r="44372" ht="12" customHeight="1"/>
    <row r="44373" ht="12" customHeight="1"/>
    <row r="44374" ht="12" customHeight="1"/>
    <row r="44375" ht="12" customHeight="1"/>
    <row r="44376" ht="12" customHeight="1"/>
    <row r="44377" ht="12" customHeight="1"/>
    <row r="44378" ht="12" customHeight="1"/>
    <row r="44379" ht="12" customHeight="1"/>
    <row r="44380" ht="12" customHeight="1"/>
    <row r="44381" ht="12" customHeight="1"/>
    <row r="44382" ht="12" customHeight="1"/>
    <row r="44383" ht="12" customHeight="1"/>
    <row r="44384" ht="12" customHeight="1"/>
    <row r="44385" ht="12" customHeight="1"/>
    <row r="44386" ht="12" customHeight="1"/>
    <row r="44387" ht="12" customHeight="1"/>
    <row r="44388" ht="12" customHeight="1"/>
    <row r="44389" ht="12" customHeight="1"/>
    <row r="44390" ht="12" customHeight="1"/>
    <row r="44391" ht="12" customHeight="1"/>
    <row r="44392" ht="12" customHeight="1"/>
    <row r="44393" ht="12" customHeight="1"/>
    <row r="44394" ht="12" customHeight="1"/>
    <row r="44395" ht="12" customHeight="1"/>
    <row r="44396" ht="12" customHeight="1"/>
    <row r="44397" ht="12" customHeight="1"/>
    <row r="44398" ht="12" customHeight="1"/>
    <row r="44399" ht="12" customHeight="1"/>
    <row r="44400" ht="12" customHeight="1"/>
    <row r="44401" ht="12" customHeight="1"/>
    <row r="44402" ht="12" customHeight="1"/>
    <row r="44403" ht="12" customHeight="1"/>
    <row r="44404" ht="12" customHeight="1"/>
    <row r="44405" ht="12" customHeight="1"/>
    <row r="44406" ht="12" customHeight="1"/>
    <row r="44407" ht="12" customHeight="1"/>
    <row r="44408" ht="12" customHeight="1"/>
    <row r="44409" ht="12" customHeight="1"/>
    <row r="44410" ht="12" customHeight="1"/>
    <row r="44411" ht="12" customHeight="1"/>
    <row r="44412" ht="12" customHeight="1"/>
    <row r="44413" ht="12" customHeight="1"/>
    <row r="44414" ht="12" customHeight="1"/>
    <row r="44415" ht="12" customHeight="1"/>
    <row r="44416" ht="12" customHeight="1"/>
    <row r="44417" ht="12" customHeight="1"/>
    <row r="44418" ht="12" customHeight="1"/>
    <row r="44419" ht="12" customHeight="1"/>
    <row r="44420" ht="12" customHeight="1"/>
    <row r="44421" ht="12" customHeight="1"/>
    <row r="44422" ht="12" customHeight="1"/>
    <row r="44423" ht="12" customHeight="1"/>
    <row r="44424" ht="12" customHeight="1"/>
    <row r="44425" ht="12" customHeight="1"/>
    <row r="44426" ht="12" customHeight="1"/>
    <row r="44427" ht="12" customHeight="1"/>
    <row r="44428" ht="12" customHeight="1"/>
    <row r="44429" ht="12" customHeight="1"/>
    <row r="44430" ht="12" customHeight="1"/>
    <row r="44431" ht="12" customHeight="1"/>
    <row r="44432" ht="12" customHeight="1"/>
    <row r="44433" ht="12" customHeight="1"/>
    <row r="44434" ht="12" customHeight="1"/>
    <row r="44435" ht="12" customHeight="1"/>
    <row r="44436" ht="12" customHeight="1"/>
    <row r="44437" ht="12" customHeight="1"/>
    <row r="44438" ht="12" customHeight="1"/>
    <row r="44439" ht="12" customHeight="1"/>
    <row r="44440" ht="12" customHeight="1"/>
    <row r="44441" ht="12" customHeight="1"/>
    <row r="44442" ht="12" customHeight="1"/>
    <row r="44443" ht="12" customHeight="1"/>
    <row r="44444" ht="12" customHeight="1"/>
    <row r="44445" ht="12" customHeight="1"/>
    <row r="44446" ht="12" customHeight="1"/>
    <row r="44447" ht="12" customHeight="1"/>
    <row r="44448" ht="12" customHeight="1"/>
    <row r="44449" ht="12" customHeight="1"/>
    <row r="44450" ht="12" customHeight="1"/>
    <row r="44451" ht="12" customHeight="1"/>
    <row r="44452" ht="12" customHeight="1"/>
    <row r="44453" ht="12" customHeight="1"/>
    <row r="44454" ht="12" customHeight="1"/>
    <row r="44455" ht="12" customHeight="1"/>
    <row r="44456" ht="12" customHeight="1"/>
    <row r="44457" ht="12" customHeight="1"/>
    <row r="44458" ht="12" customHeight="1"/>
    <row r="44459" ht="12" customHeight="1"/>
    <row r="44460" ht="12" customHeight="1"/>
    <row r="44461" ht="12" customHeight="1"/>
    <row r="44462" ht="12" customHeight="1"/>
    <row r="44463" ht="12" customHeight="1"/>
    <row r="44464" ht="12" customHeight="1"/>
    <row r="44465" ht="12" customHeight="1"/>
    <row r="44466" ht="12" customHeight="1"/>
    <row r="44467" ht="12" customHeight="1"/>
    <row r="44468" ht="12" customHeight="1"/>
    <row r="44469" ht="12" customHeight="1"/>
    <row r="44470" ht="12" customHeight="1"/>
    <row r="44471" ht="12" customHeight="1"/>
    <row r="44472" ht="12" customHeight="1"/>
    <row r="44473" ht="12" customHeight="1"/>
    <row r="44474" ht="12" customHeight="1"/>
    <row r="44475" ht="12" customHeight="1"/>
    <row r="44476" ht="12" customHeight="1"/>
    <row r="44477" ht="12" customHeight="1"/>
    <row r="44478" ht="12" customHeight="1"/>
    <row r="44479" ht="12" customHeight="1"/>
    <row r="44480" ht="12" customHeight="1"/>
    <row r="44481" ht="12" customHeight="1"/>
    <row r="44482" ht="12" customHeight="1"/>
    <row r="44483" ht="12" customHeight="1"/>
    <row r="44484" ht="12" customHeight="1"/>
    <row r="44485" ht="12" customHeight="1"/>
    <row r="44486" ht="12" customHeight="1"/>
    <row r="44487" ht="12" customHeight="1"/>
    <row r="44488" ht="12" customHeight="1"/>
    <row r="44489" ht="12" customHeight="1"/>
    <row r="44490" ht="12" customHeight="1"/>
    <row r="44491" ht="12" customHeight="1"/>
    <row r="44492" ht="12" customHeight="1"/>
    <row r="44493" ht="12" customHeight="1"/>
    <row r="44494" ht="12" customHeight="1"/>
    <row r="44495" ht="12" customHeight="1"/>
    <row r="44496" ht="12" customHeight="1"/>
    <row r="44497" ht="12" customHeight="1"/>
    <row r="44498" ht="12" customHeight="1"/>
    <row r="44499" ht="12" customHeight="1"/>
    <row r="44500" ht="12" customHeight="1"/>
    <row r="44501" ht="12" customHeight="1"/>
    <row r="44502" ht="12" customHeight="1"/>
    <row r="44503" ht="12" customHeight="1"/>
    <row r="44504" ht="12" customHeight="1"/>
    <row r="44505" ht="12" customHeight="1"/>
    <row r="44506" ht="12" customHeight="1"/>
    <row r="44507" ht="12" customHeight="1"/>
    <row r="44508" ht="12" customHeight="1"/>
    <row r="44509" ht="12" customHeight="1"/>
    <row r="44510" ht="12" customHeight="1"/>
    <row r="44511" ht="12" customHeight="1"/>
    <row r="44512" ht="12" customHeight="1"/>
    <row r="44513" ht="12" customHeight="1"/>
    <row r="44514" ht="12" customHeight="1"/>
    <row r="44515" ht="12" customHeight="1"/>
    <row r="44516" ht="12" customHeight="1"/>
    <row r="44517" ht="12" customHeight="1"/>
    <row r="44518" ht="12" customHeight="1"/>
    <row r="44519" ht="12" customHeight="1"/>
    <row r="44520" ht="12" customHeight="1"/>
    <row r="44521" ht="12" customHeight="1"/>
    <row r="44522" ht="12" customHeight="1"/>
    <row r="44523" ht="12" customHeight="1"/>
    <row r="44524" ht="12" customHeight="1"/>
    <row r="44525" ht="12" customHeight="1"/>
    <row r="44526" ht="12" customHeight="1"/>
    <row r="44527" ht="12" customHeight="1"/>
    <row r="44528" ht="12" customHeight="1"/>
    <row r="44529" ht="12" customHeight="1"/>
    <row r="44530" ht="12" customHeight="1"/>
    <row r="44531" ht="12" customHeight="1"/>
    <row r="44532" ht="12" customHeight="1"/>
    <row r="44533" ht="12" customHeight="1"/>
    <row r="44534" ht="12" customHeight="1"/>
    <row r="44535" ht="12" customHeight="1"/>
    <row r="44536" ht="12" customHeight="1"/>
    <row r="44537" ht="12" customHeight="1"/>
    <row r="44538" ht="12" customHeight="1"/>
    <row r="44539" ht="12" customHeight="1"/>
    <row r="44540" ht="12" customHeight="1"/>
    <row r="44541" ht="12" customHeight="1"/>
    <row r="44542" ht="12" customHeight="1"/>
    <row r="44543" ht="12" customHeight="1"/>
    <row r="44544" ht="12" customHeight="1"/>
    <row r="44545" ht="12" customHeight="1"/>
    <row r="44546" ht="12" customHeight="1"/>
    <row r="44547" ht="12" customHeight="1"/>
    <row r="44548" ht="12" customHeight="1"/>
    <row r="44549" ht="12" customHeight="1"/>
    <row r="44550" ht="12" customHeight="1"/>
    <row r="44551" ht="12" customHeight="1"/>
    <row r="44552" ht="12" customHeight="1"/>
    <row r="44553" ht="12" customHeight="1"/>
    <row r="44554" ht="12" customHeight="1"/>
    <row r="44555" ht="12" customHeight="1"/>
    <row r="44556" ht="12" customHeight="1"/>
    <row r="44557" ht="12" customHeight="1"/>
    <row r="44558" ht="12" customHeight="1"/>
    <row r="44559" ht="12" customHeight="1"/>
    <row r="44560" ht="12" customHeight="1"/>
    <row r="44561" ht="12" customHeight="1"/>
    <row r="44562" ht="12" customHeight="1"/>
    <row r="44563" ht="12" customHeight="1"/>
    <row r="44564" ht="12" customHeight="1"/>
    <row r="44565" ht="12" customHeight="1"/>
    <row r="44566" ht="12" customHeight="1"/>
    <row r="44567" ht="12" customHeight="1"/>
    <row r="44568" ht="12" customHeight="1"/>
    <row r="44569" ht="12" customHeight="1"/>
    <row r="44570" ht="12" customHeight="1"/>
    <row r="44571" ht="12" customHeight="1"/>
    <row r="44572" ht="12" customHeight="1"/>
    <row r="44573" ht="12" customHeight="1"/>
    <row r="44574" ht="12" customHeight="1"/>
    <row r="44575" ht="12" customHeight="1"/>
    <row r="44576" ht="12" customHeight="1"/>
    <row r="44577" ht="12" customHeight="1"/>
    <row r="44578" ht="12" customHeight="1"/>
    <row r="44579" ht="12" customHeight="1"/>
    <row r="44580" ht="12" customHeight="1"/>
    <row r="44581" ht="12" customHeight="1"/>
    <row r="44582" ht="12" customHeight="1"/>
    <row r="44583" ht="12" customHeight="1"/>
    <row r="44584" ht="12" customHeight="1"/>
    <row r="44585" ht="12" customHeight="1"/>
    <row r="44586" ht="12" customHeight="1"/>
    <row r="44587" ht="12" customHeight="1"/>
    <row r="44588" ht="12" customHeight="1"/>
    <row r="44589" ht="12" customHeight="1"/>
    <row r="44590" ht="12" customHeight="1"/>
    <row r="44591" ht="12" customHeight="1"/>
    <row r="44592" ht="12" customHeight="1"/>
    <row r="44593" ht="12" customHeight="1"/>
    <row r="44594" ht="12" customHeight="1"/>
    <row r="44595" ht="12" customHeight="1"/>
    <row r="44596" ht="12" customHeight="1"/>
    <row r="44597" ht="12" customHeight="1"/>
    <row r="44598" ht="12" customHeight="1"/>
    <row r="44599" ht="12" customHeight="1"/>
    <row r="44600" ht="12" customHeight="1"/>
    <row r="44601" ht="12" customHeight="1"/>
    <row r="44602" ht="12" customHeight="1"/>
    <row r="44603" ht="12" customHeight="1"/>
    <row r="44604" ht="12" customHeight="1"/>
    <row r="44605" ht="12" customHeight="1"/>
    <row r="44606" ht="12" customHeight="1"/>
    <row r="44607" ht="12" customHeight="1"/>
    <row r="44608" ht="12" customHeight="1"/>
    <row r="44609" ht="12" customHeight="1"/>
    <row r="44610" ht="12" customHeight="1"/>
    <row r="44611" ht="12" customHeight="1"/>
    <row r="44612" ht="12" customHeight="1"/>
    <row r="44613" ht="12" customHeight="1"/>
    <row r="44614" ht="12" customHeight="1"/>
    <row r="44615" ht="12" customHeight="1"/>
    <row r="44616" ht="12" customHeight="1"/>
    <row r="44617" ht="12" customHeight="1"/>
    <row r="44618" ht="12" customHeight="1"/>
    <row r="44619" ht="12" customHeight="1"/>
    <row r="44620" ht="12" customHeight="1"/>
    <row r="44621" ht="12" customHeight="1"/>
    <row r="44622" ht="12" customHeight="1"/>
    <row r="44623" ht="12" customHeight="1"/>
    <row r="44624" ht="12" customHeight="1"/>
    <row r="44625" ht="12" customHeight="1"/>
    <row r="44626" ht="12" customHeight="1"/>
    <row r="44627" ht="12" customHeight="1"/>
    <row r="44628" ht="12" customHeight="1"/>
    <row r="44629" ht="12" customHeight="1"/>
    <row r="44630" ht="12" customHeight="1"/>
    <row r="44631" ht="12" customHeight="1"/>
    <row r="44632" ht="12" customHeight="1"/>
    <row r="44633" ht="12" customHeight="1"/>
    <row r="44634" ht="12" customHeight="1"/>
    <row r="44635" ht="12" customHeight="1"/>
    <row r="44636" ht="12" customHeight="1"/>
    <row r="44637" ht="12" customHeight="1"/>
    <row r="44638" ht="12" customHeight="1"/>
    <row r="44639" ht="12" customHeight="1"/>
    <row r="44640" ht="12" customHeight="1"/>
    <row r="44641" ht="12" customHeight="1"/>
    <row r="44642" ht="12" customHeight="1"/>
    <row r="44643" ht="12" customHeight="1"/>
    <row r="44644" ht="12" customHeight="1"/>
    <row r="44645" ht="12" customHeight="1"/>
    <row r="44646" ht="12" customHeight="1"/>
    <row r="44647" ht="12" customHeight="1"/>
    <row r="44648" ht="12" customHeight="1"/>
    <row r="44649" ht="12" customHeight="1"/>
    <row r="44650" ht="12" customHeight="1"/>
    <row r="44651" ht="12" customHeight="1"/>
    <row r="44652" ht="12" customHeight="1"/>
    <row r="44653" ht="12" customHeight="1"/>
    <row r="44654" ht="12" customHeight="1"/>
    <row r="44655" ht="12" customHeight="1"/>
    <row r="44656" ht="12" customHeight="1"/>
    <row r="44657" ht="12" customHeight="1"/>
    <row r="44658" ht="12" customHeight="1"/>
    <row r="44659" ht="12" customHeight="1"/>
    <row r="44660" ht="12" customHeight="1"/>
    <row r="44661" ht="12" customHeight="1"/>
    <row r="44662" ht="12" customHeight="1"/>
    <row r="44663" ht="12" customHeight="1"/>
    <row r="44664" ht="12" customHeight="1"/>
    <row r="44665" ht="12" customHeight="1"/>
    <row r="44666" ht="12" customHeight="1"/>
    <row r="44667" ht="12" customHeight="1"/>
    <row r="44668" ht="12" customHeight="1"/>
    <row r="44669" ht="12" customHeight="1"/>
    <row r="44670" ht="12" customHeight="1"/>
    <row r="44671" ht="12" customHeight="1"/>
    <row r="44672" ht="12" customHeight="1"/>
    <row r="44673" ht="12" customHeight="1"/>
    <row r="44674" ht="12" customHeight="1"/>
    <row r="44675" ht="12" customHeight="1"/>
    <row r="44676" ht="12" customHeight="1"/>
    <row r="44677" ht="12" customHeight="1"/>
    <row r="44678" ht="12" customHeight="1"/>
    <row r="44679" ht="12" customHeight="1"/>
    <row r="44680" ht="12" customHeight="1"/>
    <row r="44681" ht="12" customHeight="1"/>
    <row r="44682" ht="12" customHeight="1"/>
    <row r="44683" ht="12" customHeight="1"/>
    <row r="44684" ht="12" customHeight="1"/>
    <row r="44685" ht="12" customHeight="1"/>
    <row r="44686" ht="12" customHeight="1"/>
    <row r="44687" ht="12" customHeight="1"/>
    <row r="44688" ht="12" customHeight="1"/>
    <row r="44689" ht="12" customHeight="1"/>
    <row r="44690" ht="12" customHeight="1"/>
    <row r="44691" ht="12" customHeight="1"/>
    <row r="44692" ht="12" customHeight="1"/>
    <row r="44693" ht="12" customHeight="1"/>
    <row r="44694" ht="12" customHeight="1"/>
    <row r="44695" ht="12" customHeight="1"/>
    <row r="44696" ht="12" customHeight="1"/>
    <row r="44697" ht="12" customHeight="1"/>
    <row r="44698" ht="12" customHeight="1"/>
    <row r="44699" ht="12" customHeight="1"/>
    <row r="44700" ht="12" customHeight="1"/>
    <row r="44701" ht="12" customHeight="1"/>
    <row r="44702" ht="12" customHeight="1"/>
    <row r="44703" ht="12" customHeight="1"/>
    <row r="44704" ht="12" customHeight="1"/>
    <row r="44705" ht="12" customHeight="1"/>
    <row r="44706" ht="12" customHeight="1"/>
    <row r="44707" ht="12" customHeight="1"/>
    <row r="44708" ht="12" customHeight="1"/>
    <row r="44709" ht="12" customHeight="1"/>
    <row r="44710" ht="12" customHeight="1"/>
    <row r="44711" ht="12" customHeight="1"/>
    <row r="44712" ht="12" customHeight="1"/>
    <row r="44713" ht="12" customHeight="1"/>
    <row r="44714" ht="12" customHeight="1"/>
    <row r="44715" ht="12" customHeight="1"/>
    <row r="44716" ht="12" customHeight="1"/>
    <row r="44717" ht="12" customHeight="1"/>
    <row r="44718" ht="12" customHeight="1"/>
    <row r="44719" ht="12" customHeight="1"/>
    <row r="44720" ht="12" customHeight="1"/>
    <row r="44721" ht="12" customHeight="1"/>
    <row r="44722" ht="12" customHeight="1"/>
    <row r="44723" ht="12" customHeight="1"/>
    <row r="44724" ht="12" customHeight="1"/>
    <row r="44725" ht="12" customHeight="1"/>
    <row r="44726" ht="12" customHeight="1"/>
    <row r="44727" ht="12" customHeight="1"/>
    <row r="44728" ht="12" customHeight="1"/>
    <row r="44729" ht="12" customHeight="1"/>
    <row r="44730" ht="12" customHeight="1"/>
    <row r="44731" ht="12" customHeight="1"/>
    <row r="44732" ht="12" customHeight="1"/>
    <row r="44733" ht="12" customHeight="1"/>
    <row r="44734" ht="12" customHeight="1"/>
    <row r="44735" ht="12" customHeight="1"/>
    <row r="44736" ht="12" customHeight="1"/>
    <row r="44737" ht="12" customHeight="1"/>
    <row r="44738" ht="12" customHeight="1"/>
    <row r="44739" ht="12" customHeight="1"/>
    <row r="44740" ht="12" customHeight="1"/>
    <row r="44741" ht="12" customHeight="1"/>
    <row r="44742" ht="12" customHeight="1"/>
    <row r="44743" ht="12" customHeight="1"/>
    <row r="44744" ht="12" customHeight="1"/>
    <row r="44745" ht="12" customHeight="1"/>
    <row r="44746" ht="12" customHeight="1"/>
    <row r="44747" ht="12" customHeight="1"/>
    <row r="44748" ht="12" customHeight="1"/>
    <row r="44749" ht="12" customHeight="1"/>
    <row r="44750" ht="12" customHeight="1"/>
    <row r="44751" ht="12" customHeight="1"/>
    <row r="44752" ht="12" customHeight="1"/>
    <row r="44753" ht="12" customHeight="1"/>
    <row r="44754" ht="12" customHeight="1"/>
    <row r="44755" ht="12" customHeight="1"/>
    <row r="44756" ht="12" customHeight="1"/>
    <row r="44757" ht="12" customHeight="1"/>
    <row r="44758" ht="12" customHeight="1"/>
    <row r="44759" ht="12" customHeight="1"/>
    <row r="44760" ht="12" customHeight="1"/>
    <row r="44761" ht="12" customHeight="1"/>
    <row r="44762" ht="12" customHeight="1"/>
    <row r="44763" ht="12" customHeight="1"/>
    <row r="44764" ht="12" customHeight="1"/>
    <row r="44765" ht="12" customHeight="1"/>
    <row r="44766" ht="12" customHeight="1"/>
    <row r="44767" ht="12" customHeight="1"/>
    <row r="44768" ht="12" customHeight="1"/>
    <row r="44769" ht="12" customHeight="1"/>
    <row r="44770" ht="12" customHeight="1"/>
    <row r="44771" ht="12" customHeight="1"/>
    <row r="44772" ht="12" customHeight="1"/>
    <row r="44773" ht="12" customHeight="1"/>
    <row r="44774" ht="12" customHeight="1"/>
    <row r="44775" ht="12" customHeight="1"/>
    <row r="44776" ht="12" customHeight="1"/>
    <row r="44777" ht="12" customHeight="1"/>
    <row r="44778" ht="12" customHeight="1"/>
    <row r="44779" ht="12" customHeight="1"/>
    <row r="44780" ht="12" customHeight="1"/>
    <row r="44781" ht="12" customHeight="1"/>
    <row r="44782" ht="12" customHeight="1"/>
    <row r="44783" ht="12" customHeight="1"/>
    <row r="44784" ht="12" customHeight="1"/>
    <row r="44785" ht="12" customHeight="1"/>
    <row r="44786" ht="12" customHeight="1"/>
    <row r="44787" ht="12" customHeight="1"/>
    <row r="44788" ht="12" customHeight="1"/>
    <row r="44789" ht="12" customHeight="1"/>
    <row r="44790" ht="12" customHeight="1"/>
    <row r="44791" ht="12" customHeight="1"/>
    <row r="44792" ht="12" customHeight="1"/>
    <row r="44793" ht="12" customHeight="1"/>
    <row r="44794" ht="12" customHeight="1"/>
    <row r="44795" ht="12" customHeight="1"/>
    <row r="44796" ht="12" customHeight="1"/>
    <row r="44797" ht="12" customHeight="1"/>
    <row r="44798" ht="12" customHeight="1"/>
    <row r="44799" ht="12" customHeight="1"/>
    <row r="44800" ht="12" customHeight="1"/>
    <row r="44801" ht="12" customHeight="1"/>
    <row r="44802" ht="12" customHeight="1"/>
    <row r="44803" ht="12" customHeight="1"/>
    <row r="44804" ht="12" customHeight="1"/>
    <row r="44805" ht="12" customHeight="1"/>
    <row r="44806" ht="12" customHeight="1"/>
    <row r="44807" ht="12" customHeight="1"/>
    <row r="44808" ht="12" customHeight="1"/>
    <row r="44809" ht="12" customHeight="1"/>
    <row r="44810" ht="12" customHeight="1"/>
    <row r="44811" ht="12" customHeight="1"/>
    <row r="44812" ht="12" customHeight="1"/>
    <row r="44813" ht="12" customHeight="1"/>
    <row r="44814" ht="12" customHeight="1"/>
    <row r="44815" ht="12" customHeight="1"/>
    <row r="44816" ht="12" customHeight="1"/>
    <row r="44817" ht="12" customHeight="1"/>
    <row r="44818" ht="12" customHeight="1"/>
    <row r="44819" ht="12" customHeight="1"/>
    <row r="44820" ht="12" customHeight="1"/>
    <row r="44821" ht="12" customHeight="1"/>
    <row r="44822" ht="12" customHeight="1"/>
    <row r="44823" ht="12" customHeight="1"/>
    <row r="44824" ht="12" customHeight="1"/>
    <row r="44825" ht="12" customHeight="1"/>
    <row r="44826" ht="12" customHeight="1"/>
    <row r="44827" ht="12" customHeight="1"/>
    <row r="44828" ht="12" customHeight="1"/>
    <row r="44829" ht="12" customHeight="1"/>
    <row r="44830" ht="12" customHeight="1"/>
    <row r="44831" ht="12" customHeight="1"/>
    <row r="44832" ht="12" customHeight="1"/>
    <row r="44833" ht="12" customHeight="1"/>
    <row r="44834" ht="12" customHeight="1"/>
    <row r="44835" ht="12" customHeight="1"/>
    <row r="44836" ht="12" customHeight="1"/>
    <row r="44837" ht="12" customHeight="1"/>
    <row r="44838" ht="12" customHeight="1"/>
    <row r="44839" ht="12" customHeight="1"/>
    <row r="44840" ht="12" customHeight="1"/>
    <row r="44841" ht="12" customHeight="1"/>
    <row r="44842" ht="12" customHeight="1"/>
    <row r="44843" ht="12" customHeight="1"/>
    <row r="44844" ht="12" customHeight="1"/>
    <row r="44845" ht="12" customHeight="1"/>
    <row r="44846" ht="12" customHeight="1"/>
    <row r="44847" ht="12" customHeight="1"/>
    <row r="44848" ht="12" customHeight="1"/>
    <row r="44849" ht="12" customHeight="1"/>
    <row r="44850" ht="12" customHeight="1"/>
    <row r="44851" ht="12" customHeight="1"/>
    <row r="44852" ht="12" customHeight="1"/>
    <row r="44853" ht="12" customHeight="1"/>
    <row r="44854" ht="12" customHeight="1"/>
    <row r="44855" ht="12" customHeight="1"/>
    <row r="44856" ht="12" customHeight="1"/>
    <row r="44857" ht="12" customHeight="1"/>
    <row r="44858" ht="12" customHeight="1"/>
    <row r="44859" ht="12" customHeight="1"/>
    <row r="44860" ht="12" customHeight="1"/>
    <row r="44861" ht="12" customHeight="1"/>
    <row r="44862" ht="12" customHeight="1"/>
    <row r="44863" ht="12" customHeight="1"/>
    <row r="44864" ht="12" customHeight="1"/>
    <row r="44865" ht="12" customHeight="1"/>
    <row r="44866" ht="12" customHeight="1"/>
    <row r="44867" ht="12" customHeight="1"/>
    <row r="44868" ht="12" customHeight="1"/>
    <row r="44869" ht="12" customHeight="1"/>
    <row r="44870" ht="12" customHeight="1"/>
    <row r="44871" ht="12" customHeight="1"/>
    <row r="44872" ht="12" customHeight="1"/>
    <row r="44873" ht="12" customHeight="1"/>
    <row r="44874" ht="12" customHeight="1"/>
    <row r="44875" ht="12" customHeight="1"/>
    <row r="44876" ht="12" customHeight="1"/>
    <row r="44877" ht="12" customHeight="1"/>
    <row r="44878" ht="12" customHeight="1"/>
    <row r="44879" ht="12" customHeight="1"/>
    <row r="44880" ht="12" customHeight="1"/>
    <row r="44881" ht="12" customHeight="1"/>
    <row r="44882" ht="12" customHeight="1"/>
    <row r="44883" ht="12" customHeight="1"/>
    <row r="44884" ht="12" customHeight="1"/>
    <row r="44885" ht="12" customHeight="1"/>
    <row r="44886" ht="12" customHeight="1"/>
    <row r="44887" ht="12" customHeight="1"/>
    <row r="44888" ht="12" customHeight="1"/>
    <row r="44889" ht="12" customHeight="1"/>
    <row r="44890" ht="12" customHeight="1"/>
    <row r="44891" ht="12" customHeight="1"/>
    <row r="44892" ht="12" customHeight="1"/>
    <row r="44893" ht="12" customHeight="1"/>
    <row r="44894" ht="12" customHeight="1"/>
    <row r="44895" ht="12" customHeight="1"/>
    <row r="44896" ht="12" customHeight="1"/>
    <row r="44897" ht="12" customHeight="1"/>
    <row r="44898" ht="12" customHeight="1"/>
    <row r="44899" ht="12" customHeight="1"/>
    <row r="44900" ht="12" customHeight="1"/>
    <row r="44901" ht="12" customHeight="1"/>
    <row r="44902" ht="12" customHeight="1"/>
    <row r="44903" ht="12" customHeight="1"/>
    <row r="44904" ht="12" customHeight="1"/>
    <row r="44905" ht="12" customHeight="1"/>
    <row r="44906" ht="12" customHeight="1"/>
    <row r="44907" ht="12" customHeight="1"/>
    <row r="44908" ht="12" customHeight="1"/>
    <row r="44909" ht="12" customHeight="1"/>
    <row r="44910" ht="12" customHeight="1"/>
    <row r="44911" ht="12" customHeight="1"/>
    <row r="44912" ht="12" customHeight="1"/>
    <row r="44913" ht="12" customHeight="1"/>
    <row r="44914" ht="12" customHeight="1"/>
    <row r="44915" ht="12" customHeight="1"/>
    <row r="44916" ht="12" customHeight="1"/>
    <row r="44917" ht="12" customHeight="1"/>
    <row r="44918" ht="12" customHeight="1"/>
    <row r="44919" ht="12" customHeight="1"/>
    <row r="44920" ht="12" customHeight="1"/>
    <row r="44921" ht="12" customHeight="1"/>
    <row r="44922" ht="12" customHeight="1"/>
    <row r="44923" ht="12" customHeight="1"/>
    <row r="44924" ht="12" customHeight="1"/>
    <row r="44925" ht="12" customHeight="1"/>
    <row r="44926" ht="12" customHeight="1"/>
    <row r="44927" ht="12" customHeight="1"/>
    <row r="44928" ht="12" customHeight="1"/>
    <row r="44929" ht="12" customHeight="1"/>
    <row r="44930" ht="12" customHeight="1"/>
    <row r="44931" ht="12" customHeight="1"/>
    <row r="44932" ht="12" customHeight="1"/>
    <row r="44933" ht="12" customHeight="1"/>
    <row r="44934" ht="12" customHeight="1"/>
    <row r="44935" ht="12" customHeight="1"/>
    <row r="44936" ht="12" customHeight="1"/>
    <row r="44937" ht="12" customHeight="1"/>
    <row r="44938" ht="12" customHeight="1"/>
    <row r="44939" ht="12" customHeight="1"/>
    <row r="44940" ht="12" customHeight="1"/>
    <row r="44941" ht="12" customHeight="1"/>
    <row r="44942" ht="12" customHeight="1"/>
    <row r="44943" ht="12" customHeight="1"/>
    <row r="44944" ht="12" customHeight="1"/>
    <row r="44945" ht="12" customHeight="1"/>
    <row r="44946" ht="12" customHeight="1"/>
    <row r="44947" ht="12" customHeight="1"/>
    <row r="44948" ht="12" customHeight="1"/>
    <row r="44949" ht="12" customHeight="1"/>
    <row r="44950" ht="12" customHeight="1"/>
    <row r="44951" ht="12" customHeight="1"/>
    <row r="44952" ht="12" customHeight="1"/>
    <row r="44953" ht="12" customHeight="1"/>
    <row r="44954" ht="12" customHeight="1"/>
    <row r="44955" ht="12" customHeight="1"/>
    <row r="44956" ht="12" customHeight="1"/>
    <row r="44957" ht="12" customHeight="1"/>
    <row r="44958" ht="12" customHeight="1"/>
    <row r="44959" ht="12" customHeight="1"/>
    <row r="44960" ht="12" customHeight="1"/>
    <row r="44961" ht="12" customHeight="1"/>
    <row r="44962" ht="12" customHeight="1"/>
    <row r="44963" ht="12" customHeight="1"/>
    <row r="44964" ht="12" customHeight="1"/>
    <row r="44965" ht="12" customHeight="1"/>
    <row r="44966" ht="12" customHeight="1"/>
    <row r="44967" ht="12" customHeight="1"/>
    <row r="44968" ht="12" customHeight="1"/>
    <row r="44969" ht="12" customHeight="1"/>
    <row r="44970" ht="12" customHeight="1"/>
    <row r="44971" ht="12" customHeight="1"/>
    <row r="44972" ht="12" customHeight="1"/>
    <row r="44973" ht="12" customHeight="1"/>
    <row r="44974" ht="12" customHeight="1"/>
    <row r="44975" ht="12" customHeight="1"/>
    <row r="44976" ht="12" customHeight="1"/>
    <row r="44977" ht="12" customHeight="1"/>
    <row r="44978" ht="12" customHeight="1"/>
    <row r="44979" ht="12" customHeight="1"/>
    <row r="44980" ht="12" customHeight="1"/>
    <row r="44981" ht="12" customHeight="1"/>
    <row r="44982" ht="12" customHeight="1"/>
    <row r="44983" ht="12" customHeight="1"/>
    <row r="44984" ht="12" customHeight="1"/>
    <row r="44985" ht="12" customHeight="1"/>
    <row r="44986" ht="12" customHeight="1"/>
    <row r="44987" ht="12" customHeight="1"/>
    <row r="44988" ht="12" customHeight="1"/>
    <row r="44989" ht="12" customHeight="1"/>
    <row r="44990" ht="12" customHeight="1"/>
    <row r="44991" ht="12" customHeight="1"/>
    <row r="44992" ht="12" customHeight="1"/>
    <row r="44993" ht="12" customHeight="1"/>
    <row r="44994" ht="12" customHeight="1"/>
    <row r="44995" ht="12" customHeight="1"/>
    <row r="44996" ht="12" customHeight="1"/>
    <row r="44997" ht="12" customHeight="1"/>
    <row r="44998" ht="12" customHeight="1"/>
    <row r="44999" ht="12" customHeight="1"/>
    <row r="45000" ht="12" customHeight="1"/>
    <row r="45001" ht="12" customHeight="1"/>
    <row r="45002" ht="12" customHeight="1"/>
    <row r="45003" ht="12" customHeight="1"/>
    <row r="45004" ht="12" customHeight="1"/>
    <row r="45005" ht="12" customHeight="1"/>
    <row r="45006" ht="12" customHeight="1"/>
    <row r="45007" ht="12" customHeight="1"/>
    <row r="45008" ht="12" customHeight="1"/>
    <row r="45009" ht="12" customHeight="1"/>
    <row r="45010" ht="12" customHeight="1"/>
    <row r="45011" ht="12" customHeight="1"/>
    <row r="45012" ht="12" customHeight="1"/>
    <row r="45013" ht="12" customHeight="1"/>
    <row r="45014" ht="12" customHeight="1"/>
    <row r="45015" ht="12" customHeight="1"/>
    <row r="45016" ht="12" customHeight="1"/>
    <row r="45017" ht="12" customHeight="1"/>
    <row r="45018" ht="12" customHeight="1"/>
    <row r="45019" ht="12" customHeight="1"/>
    <row r="45020" ht="12" customHeight="1"/>
    <row r="45021" ht="12" customHeight="1"/>
    <row r="45022" ht="12" customHeight="1"/>
    <row r="45023" ht="12" customHeight="1"/>
    <row r="45024" ht="12" customHeight="1"/>
    <row r="45025" ht="12" customHeight="1"/>
    <row r="45026" ht="12" customHeight="1"/>
    <row r="45027" ht="12" customHeight="1"/>
    <row r="45028" ht="12" customHeight="1"/>
    <row r="45029" ht="12" customHeight="1"/>
    <row r="45030" ht="12" customHeight="1"/>
    <row r="45031" ht="12" customHeight="1"/>
    <row r="45032" ht="12" customHeight="1"/>
    <row r="45033" ht="12" customHeight="1"/>
    <row r="45034" ht="12" customHeight="1"/>
    <row r="45035" ht="12" customHeight="1"/>
    <row r="45036" ht="12" customHeight="1"/>
    <row r="45037" ht="12" customHeight="1"/>
    <row r="45038" ht="12" customHeight="1"/>
    <row r="45039" ht="12" customHeight="1"/>
    <row r="45040" ht="12" customHeight="1"/>
    <row r="45041" ht="12" customHeight="1"/>
    <row r="45042" ht="12" customHeight="1"/>
    <row r="45043" ht="12" customHeight="1"/>
    <row r="45044" ht="12" customHeight="1"/>
    <row r="45045" ht="12" customHeight="1"/>
    <row r="45046" ht="12" customHeight="1"/>
    <row r="45047" ht="12" customHeight="1"/>
    <row r="45048" ht="12" customHeight="1"/>
    <row r="45049" ht="12" customHeight="1"/>
    <row r="45050" ht="12" customHeight="1"/>
    <row r="45051" ht="12" customHeight="1"/>
    <row r="45052" ht="12" customHeight="1"/>
    <row r="45053" ht="12" customHeight="1"/>
    <row r="45054" ht="12" customHeight="1"/>
    <row r="45055" ht="12" customHeight="1"/>
    <row r="45056" ht="12" customHeight="1"/>
    <row r="45057" ht="12" customHeight="1"/>
    <row r="45058" ht="12" customHeight="1"/>
    <row r="45059" ht="12" customHeight="1"/>
    <row r="45060" ht="12" customHeight="1"/>
    <row r="45061" ht="12" customHeight="1"/>
    <row r="45062" ht="12" customHeight="1"/>
    <row r="45063" ht="12" customHeight="1"/>
    <row r="45064" ht="12" customHeight="1"/>
    <row r="45065" ht="12" customHeight="1"/>
    <row r="45066" ht="12" customHeight="1"/>
    <row r="45067" ht="12" customHeight="1"/>
    <row r="45068" ht="12" customHeight="1"/>
    <row r="45069" ht="12" customHeight="1"/>
    <row r="45070" ht="12" customHeight="1"/>
    <row r="45071" ht="12" customHeight="1"/>
    <row r="45072" ht="12" customHeight="1"/>
    <row r="45073" ht="12" customHeight="1"/>
    <row r="45074" ht="12" customHeight="1"/>
    <row r="45075" ht="12" customHeight="1"/>
    <row r="45076" ht="12" customHeight="1"/>
    <row r="45077" ht="12" customHeight="1"/>
    <row r="45078" ht="12" customHeight="1"/>
    <row r="45079" ht="12" customHeight="1"/>
    <row r="45080" ht="12" customHeight="1"/>
    <row r="45081" ht="12" customHeight="1"/>
    <row r="45082" ht="12" customHeight="1"/>
    <row r="45083" ht="12" customHeight="1"/>
    <row r="45084" ht="12" customHeight="1"/>
    <row r="45085" ht="12" customHeight="1"/>
    <row r="45086" ht="12" customHeight="1"/>
    <row r="45087" ht="12" customHeight="1"/>
    <row r="45088" ht="12" customHeight="1"/>
    <row r="45089" ht="12" customHeight="1"/>
    <row r="45090" ht="12" customHeight="1"/>
    <row r="45091" ht="12" customHeight="1"/>
    <row r="45092" ht="12" customHeight="1"/>
    <row r="45093" ht="12" customHeight="1"/>
    <row r="45094" ht="12" customHeight="1"/>
    <row r="45095" ht="12" customHeight="1"/>
    <row r="45096" ht="12" customHeight="1"/>
    <row r="45097" ht="12" customHeight="1"/>
    <row r="45098" ht="12" customHeight="1"/>
    <row r="45099" ht="12" customHeight="1"/>
    <row r="45100" ht="12" customHeight="1"/>
    <row r="45101" ht="12" customHeight="1"/>
    <row r="45102" ht="12" customHeight="1"/>
    <row r="45103" ht="12" customHeight="1"/>
    <row r="45104" ht="12" customHeight="1"/>
    <row r="45105" ht="12" customHeight="1"/>
    <row r="45106" ht="12" customHeight="1"/>
    <row r="45107" ht="12" customHeight="1"/>
    <row r="45108" ht="12" customHeight="1"/>
    <row r="45109" ht="12" customHeight="1"/>
    <row r="45110" ht="12" customHeight="1"/>
    <row r="45111" ht="12" customHeight="1"/>
    <row r="45112" ht="12" customHeight="1"/>
    <row r="45113" ht="12" customHeight="1"/>
    <row r="45114" ht="12" customHeight="1"/>
    <row r="45115" ht="12" customHeight="1"/>
    <row r="45116" ht="12" customHeight="1"/>
    <row r="45117" ht="12" customHeight="1"/>
    <row r="45118" ht="12" customHeight="1"/>
    <row r="45119" ht="12" customHeight="1"/>
    <row r="45120" ht="12" customHeight="1"/>
    <row r="45121" ht="12" customHeight="1"/>
    <row r="45122" ht="12" customHeight="1"/>
    <row r="45123" ht="12" customHeight="1"/>
    <row r="45124" ht="12" customHeight="1"/>
    <row r="45125" ht="12" customHeight="1"/>
    <row r="45126" ht="12" customHeight="1"/>
    <row r="45127" ht="12" customHeight="1"/>
    <row r="45128" ht="12" customHeight="1"/>
    <row r="45129" ht="12" customHeight="1"/>
    <row r="45130" ht="12" customHeight="1"/>
    <row r="45131" ht="12" customHeight="1"/>
    <row r="45132" ht="12" customHeight="1"/>
    <row r="45133" ht="12" customHeight="1"/>
    <row r="45134" ht="12" customHeight="1"/>
    <row r="45135" ht="12" customHeight="1"/>
    <row r="45136" ht="12" customHeight="1"/>
    <row r="45137" ht="12" customHeight="1"/>
    <row r="45138" ht="12" customHeight="1"/>
    <row r="45139" ht="12" customHeight="1"/>
    <row r="45140" ht="12" customHeight="1"/>
    <row r="45141" ht="12" customHeight="1"/>
    <row r="45142" ht="12" customHeight="1"/>
    <row r="45143" ht="12" customHeight="1"/>
    <row r="45144" ht="12" customHeight="1"/>
    <row r="45145" ht="12" customHeight="1"/>
    <row r="45146" ht="12" customHeight="1"/>
    <row r="45147" ht="12" customHeight="1"/>
    <row r="45148" ht="12" customHeight="1"/>
    <row r="45149" ht="12" customHeight="1"/>
    <row r="45150" ht="12" customHeight="1"/>
    <row r="45151" ht="12" customHeight="1"/>
    <row r="45152" ht="12" customHeight="1"/>
    <row r="45153" ht="12" customHeight="1"/>
    <row r="45154" ht="12" customHeight="1"/>
    <row r="45155" ht="12" customHeight="1"/>
    <row r="45156" ht="12" customHeight="1"/>
    <row r="45157" ht="12" customHeight="1"/>
    <row r="45158" ht="12" customHeight="1"/>
    <row r="45159" ht="12" customHeight="1"/>
    <row r="45160" ht="12" customHeight="1"/>
    <row r="45161" ht="12" customHeight="1"/>
    <row r="45162" ht="12" customHeight="1"/>
    <row r="45163" ht="12" customHeight="1"/>
    <row r="45164" ht="12" customHeight="1"/>
    <row r="45165" ht="12" customHeight="1"/>
    <row r="45166" ht="12" customHeight="1"/>
    <row r="45167" ht="12" customHeight="1"/>
    <row r="45168" ht="12" customHeight="1"/>
    <row r="45169" ht="12" customHeight="1"/>
    <row r="45170" ht="12" customHeight="1"/>
    <row r="45171" ht="12" customHeight="1"/>
    <row r="45172" ht="12" customHeight="1"/>
    <row r="45173" ht="12" customHeight="1"/>
    <row r="45174" ht="12" customHeight="1"/>
    <row r="45175" ht="12" customHeight="1"/>
    <row r="45176" ht="12" customHeight="1"/>
    <row r="45177" ht="12" customHeight="1"/>
    <row r="45178" ht="12" customHeight="1"/>
    <row r="45179" ht="12" customHeight="1"/>
    <row r="45180" ht="12" customHeight="1"/>
    <row r="45181" ht="12" customHeight="1"/>
    <row r="45182" ht="12" customHeight="1"/>
    <row r="45183" ht="12" customHeight="1"/>
    <row r="45184" ht="12" customHeight="1"/>
    <row r="45185" ht="12" customHeight="1"/>
    <row r="45186" ht="12" customHeight="1"/>
    <row r="45187" ht="12" customHeight="1"/>
    <row r="45188" ht="12" customHeight="1"/>
    <row r="45189" ht="12" customHeight="1"/>
    <row r="45190" ht="12" customHeight="1"/>
    <row r="45191" ht="12" customHeight="1"/>
    <row r="45192" ht="12" customHeight="1"/>
    <row r="45193" ht="12" customHeight="1"/>
    <row r="45194" ht="12" customHeight="1"/>
    <row r="45195" ht="12" customHeight="1"/>
    <row r="45196" ht="12" customHeight="1"/>
    <row r="45197" ht="12" customHeight="1"/>
    <row r="45198" ht="12" customHeight="1"/>
    <row r="45199" ht="12" customHeight="1"/>
    <row r="45200" ht="12" customHeight="1"/>
    <row r="45201" ht="12" customHeight="1"/>
    <row r="45202" ht="12" customHeight="1"/>
    <row r="45203" ht="12" customHeight="1"/>
    <row r="45204" ht="12" customHeight="1"/>
    <row r="45205" ht="12" customHeight="1"/>
    <row r="45206" ht="12" customHeight="1"/>
    <row r="45207" ht="12" customHeight="1"/>
    <row r="45208" ht="12" customHeight="1"/>
    <row r="45209" ht="12" customHeight="1"/>
    <row r="45210" ht="12" customHeight="1"/>
    <row r="45211" ht="12" customHeight="1"/>
    <row r="45212" ht="12" customHeight="1"/>
    <row r="45213" ht="12" customHeight="1"/>
    <row r="45214" ht="12" customHeight="1"/>
    <row r="45215" ht="12" customHeight="1"/>
    <row r="45216" ht="12" customHeight="1"/>
    <row r="45217" ht="12" customHeight="1"/>
    <row r="45218" ht="12" customHeight="1"/>
    <row r="45219" ht="12" customHeight="1"/>
    <row r="45220" ht="12" customHeight="1"/>
    <row r="45221" ht="12" customHeight="1"/>
    <row r="45222" ht="12" customHeight="1"/>
    <row r="45223" ht="12" customHeight="1"/>
    <row r="45224" ht="12" customHeight="1"/>
    <row r="45225" ht="12" customHeight="1"/>
    <row r="45226" ht="12" customHeight="1"/>
    <row r="45227" ht="12" customHeight="1"/>
    <row r="45228" ht="12" customHeight="1"/>
    <row r="45229" ht="12" customHeight="1"/>
    <row r="45230" ht="12" customHeight="1"/>
    <row r="45231" ht="12" customHeight="1"/>
    <row r="45232" ht="12" customHeight="1"/>
    <row r="45233" ht="12" customHeight="1"/>
    <row r="45234" ht="12" customHeight="1"/>
    <row r="45235" ht="12" customHeight="1"/>
    <row r="45236" ht="12" customHeight="1"/>
    <row r="45237" ht="12" customHeight="1"/>
    <row r="45238" ht="12" customHeight="1"/>
    <row r="45239" ht="12" customHeight="1"/>
    <row r="45240" ht="12" customHeight="1"/>
    <row r="45241" ht="12" customHeight="1"/>
    <row r="45242" ht="12" customHeight="1"/>
    <row r="45243" ht="12" customHeight="1"/>
    <row r="45244" ht="12" customHeight="1"/>
    <row r="45245" ht="12" customHeight="1"/>
    <row r="45246" ht="12" customHeight="1"/>
    <row r="45247" ht="12" customHeight="1"/>
    <row r="45248" ht="12" customHeight="1"/>
    <row r="45249" ht="12" customHeight="1"/>
    <row r="45250" ht="12" customHeight="1"/>
    <row r="45251" ht="12" customHeight="1"/>
    <row r="45252" ht="12" customHeight="1"/>
    <row r="45253" ht="12" customHeight="1"/>
    <row r="45254" ht="12" customHeight="1"/>
    <row r="45255" ht="12" customHeight="1"/>
    <row r="45256" ht="12" customHeight="1"/>
    <row r="45257" ht="12" customHeight="1"/>
    <row r="45258" ht="12" customHeight="1"/>
    <row r="45259" ht="12" customHeight="1"/>
    <row r="45260" ht="12" customHeight="1"/>
    <row r="45261" ht="12" customHeight="1"/>
    <row r="45262" ht="12" customHeight="1"/>
    <row r="45263" ht="12" customHeight="1"/>
    <row r="45264" ht="12" customHeight="1"/>
    <row r="45265" ht="12" customHeight="1"/>
    <row r="45266" ht="12" customHeight="1"/>
    <row r="45267" ht="12" customHeight="1"/>
    <row r="45268" ht="12" customHeight="1"/>
    <row r="45269" ht="12" customHeight="1"/>
    <row r="45270" ht="12" customHeight="1"/>
    <row r="45271" ht="12" customHeight="1"/>
    <row r="45272" ht="12" customHeight="1"/>
    <row r="45273" ht="12" customHeight="1"/>
    <row r="45274" ht="12" customHeight="1"/>
    <row r="45275" ht="12" customHeight="1"/>
    <row r="45276" ht="12" customHeight="1"/>
    <row r="45277" ht="12" customHeight="1"/>
    <row r="45278" ht="12" customHeight="1"/>
    <row r="45279" ht="12" customHeight="1"/>
    <row r="45280" ht="12" customHeight="1"/>
    <row r="45281" ht="12" customHeight="1"/>
    <row r="45282" ht="12" customHeight="1"/>
    <row r="45283" ht="12" customHeight="1"/>
    <row r="45284" ht="12" customHeight="1"/>
    <row r="45285" ht="12" customHeight="1"/>
    <row r="45286" ht="12" customHeight="1"/>
    <row r="45287" ht="12" customHeight="1"/>
    <row r="45288" ht="12" customHeight="1"/>
    <row r="45289" ht="12" customHeight="1"/>
    <row r="45290" ht="12" customHeight="1"/>
    <row r="45291" ht="12" customHeight="1"/>
    <row r="45292" ht="12" customHeight="1"/>
    <row r="45293" ht="12" customHeight="1"/>
    <row r="45294" ht="12" customHeight="1"/>
    <row r="45295" ht="12" customHeight="1"/>
    <row r="45296" ht="12" customHeight="1"/>
    <row r="45297" ht="12" customHeight="1"/>
    <row r="45298" ht="12" customHeight="1"/>
    <row r="45299" ht="12" customHeight="1"/>
    <row r="45300" ht="12" customHeight="1"/>
    <row r="45301" ht="12" customHeight="1"/>
    <row r="45302" ht="12" customHeight="1"/>
    <row r="45303" ht="12" customHeight="1"/>
    <row r="45304" ht="12" customHeight="1"/>
    <row r="45305" ht="12" customHeight="1"/>
    <row r="45306" ht="12" customHeight="1"/>
    <row r="45307" ht="12" customHeight="1"/>
    <row r="45308" ht="12" customHeight="1"/>
    <row r="45309" ht="12" customHeight="1"/>
    <row r="45310" ht="12" customHeight="1"/>
    <row r="45311" ht="12" customHeight="1"/>
    <row r="45312" ht="12" customHeight="1"/>
    <row r="45313" ht="12" customHeight="1"/>
    <row r="45314" ht="12" customHeight="1"/>
    <row r="45315" ht="12" customHeight="1"/>
    <row r="45316" ht="12" customHeight="1"/>
    <row r="45317" ht="12" customHeight="1"/>
    <row r="45318" ht="12" customHeight="1"/>
    <row r="45319" ht="12" customHeight="1"/>
    <row r="45320" ht="12" customHeight="1"/>
    <row r="45321" ht="12" customHeight="1"/>
    <row r="45322" ht="12" customHeight="1"/>
    <row r="45323" ht="12" customHeight="1"/>
    <row r="45324" ht="12" customHeight="1"/>
    <row r="45325" ht="12" customHeight="1"/>
    <row r="45326" ht="12" customHeight="1"/>
    <row r="45327" ht="12" customHeight="1"/>
    <row r="45328" ht="12" customHeight="1"/>
    <row r="45329" ht="12" customHeight="1"/>
    <row r="45330" ht="12" customHeight="1"/>
    <row r="45331" ht="12" customHeight="1"/>
    <row r="45332" ht="12" customHeight="1"/>
    <row r="45333" ht="12" customHeight="1"/>
    <row r="45334" ht="12" customHeight="1"/>
    <row r="45335" ht="12" customHeight="1"/>
    <row r="45336" ht="12" customHeight="1"/>
    <row r="45337" ht="12" customHeight="1"/>
    <row r="45338" ht="12" customHeight="1"/>
    <row r="45339" ht="12" customHeight="1"/>
    <row r="45340" ht="12" customHeight="1"/>
    <row r="45341" ht="12" customHeight="1"/>
    <row r="45342" ht="12" customHeight="1"/>
    <row r="45343" ht="12" customHeight="1"/>
    <row r="45344" ht="12" customHeight="1"/>
    <row r="45345" ht="12" customHeight="1"/>
    <row r="45346" ht="12" customHeight="1"/>
    <row r="45347" ht="12" customHeight="1"/>
    <row r="45348" ht="12" customHeight="1"/>
    <row r="45349" ht="12" customHeight="1"/>
    <row r="45350" ht="12" customHeight="1"/>
    <row r="45351" ht="12" customHeight="1"/>
    <row r="45352" ht="12" customHeight="1"/>
    <row r="45353" ht="12" customHeight="1"/>
    <row r="45354" ht="12" customHeight="1"/>
    <row r="45355" ht="12" customHeight="1"/>
    <row r="45356" ht="12" customHeight="1"/>
    <row r="45357" ht="12" customHeight="1"/>
    <row r="45358" ht="12" customHeight="1"/>
    <row r="45359" ht="12" customHeight="1"/>
    <row r="45360" ht="12" customHeight="1"/>
    <row r="45361" ht="12" customHeight="1"/>
    <row r="45362" ht="12" customHeight="1"/>
    <row r="45363" ht="12" customHeight="1"/>
    <row r="45364" ht="12" customHeight="1"/>
    <row r="45365" ht="12" customHeight="1"/>
    <row r="45366" ht="12" customHeight="1"/>
    <row r="45367" ht="12" customHeight="1"/>
    <row r="45368" ht="12" customHeight="1"/>
    <row r="45369" ht="12" customHeight="1"/>
    <row r="45370" ht="12" customHeight="1"/>
    <row r="45371" ht="12" customHeight="1"/>
    <row r="45372" ht="12" customHeight="1"/>
    <row r="45373" ht="12" customHeight="1"/>
    <row r="45374" ht="12" customHeight="1"/>
    <row r="45375" ht="12" customHeight="1"/>
    <row r="45376" ht="12" customHeight="1"/>
    <row r="45377" ht="12" customHeight="1"/>
    <row r="45378" ht="12" customHeight="1"/>
    <row r="45379" ht="12" customHeight="1"/>
    <row r="45380" ht="12" customHeight="1"/>
    <row r="45381" ht="12" customHeight="1"/>
    <row r="45382" ht="12" customHeight="1"/>
    <row r="45383" ht="12" customHeight="1"/>
    <row r="45384" ht="12" customHeight="1"/>
    <row r="45385" ht="12" customHeight="1"/>
    <row r="45386" ht="12" customHeight="1"/>
    <row r="45387" ht="12" customHeight="1"/>
    <row r="45388" ht="12" customHeight="1"/>
    <row r="45389" ht="12" customHeight="1"/>
    <row r="45390" ht="12" customHeight="1"/>
    <row r="45391" ht="12" customHeight="1"/>
    <row r="45392" ht="12" customHeight="1"/>
    <row r="45393" ht="12" customHeight="1"/>
    <row r="45394" ht="12" customHeight="1"/>
    <row r="45395" ht="12" customHeight="1"/>
    <row r="45396" ht="12" customHeight="1"/>
    <row r="45397" ht="12" customHeight="1"/>
    <row r="45398" ht="12" customHeight="1"/>
    <row r="45399" ht="12" customHeight="1"/>
    <row r="45400" ht="12" customHeight="1"/>
    <row r="45401" ht="12" customHeight="1"/>
    <row r="45402" ht="12" customHeight="1"/>
    <row r="45403" ht="12" customHeight="1"/>
    <row r="45404" ht="12" customHeight="1"/>
    <row r="45405" ht="12" customHeight="1"/>
    <row r="45406" ht="12" customHeight="1"/>
    <row r="45407" ht="12" customHeight="1"/>
    <row r="45408" ht="12" customHeight="1"/>
    <row r="45409" ht="12" customHeight="1"/>
    <row r="45410" ht="12" customHeight="1"/>
    <row r="45411" ht="12" customHeight="1"/>
    <row r="45412" ht="12" customHeight="1"/>
    <row r="45413" ht="12" customHeight="1"/>
    <row r="45414" ht="12" customHeight="1"/>
    <row r="45415" ht="12" customHeight="1"/>
    <row r="45416" ht="12" customHeight="1"/>
    <row r="45417" ht="12" customHeight="1"/>
    <row r="45418" ht="12" customHeight="1"/>
    <row r="45419" ht="12" customHeight="1"/>
    <row r="45420" ht="12" customHeight="1"/>
    <row r="45421" ht="12" customHeight="1"/>
    <row r="45422" ht="12" customHeight="1"/>
    <row r="45423" ht="12" customHeight="1"/>
    <row r="45424" ht="12" customHeight="1"/>
    <row r="45425" ht="12" customHeight="1"/>
    <row r="45426" ht="12" customHeight="1"/>
    <row r="45427" ht="12" customHeight="1"/>
    <row r="45428" ht="12" customHeight="1"/>
    <row r="45429" ht="12" customHeight="1"/>
    <row r="45430" ht="12" customHeight="1"/>
    <row r="45431" ht="12" customHeight="1"/>
    <row r="45432" ht="12" customHeight="1"/>
    <row r="45433" ht="12" customHeight="1"/>
    <row r="45434" ht="12" customHeight="1"/>
    <row r="45435" ht="12" customHeight="1"/>
    <row r="45436" ht="12" customHeight="1"/>
    <row r="45437" ht="12" customHeight="1"/>
    <row r="45438" ht="12" customHeight="1"/>
    <row r="45439" ht="12" customHeight="1"/>
    <row r="45440" ht="12" customHeight="1"/>
    <row r="45441" ht="12" customHeight="1"/>
    <row r="45442" ht="12" customHeight="1"/>
    <row r="45443" ht="12" customHeight="1"/>
    <row r="45444" ht="12" customHeight="1"/>
    <row r="45445" ht="12" customHeight="1"/>
    <row r="45446" ht="12" customHeight="1"/>
    <row r="45447" ht="12" customHeight="1"/>
    <row r="45448" ht="12" customHeight="1"/>
    <row r="45449" ht="12" customHeight="1"/>
    <row r="45450" ht="12" customHeight="1"/>
    <row r="45451" ht="12" customHeight="1"/>
    <row r="45452" ht="12" customHeight="1"/>
    <row r="45453" ht="12" customHeight="1"/>
    <row r="45454" ht="12" customHeight="1"/>
    <row r="45455" ht="12" customHeight="1"/>
    <row r="45456" ht="12" customHeight="1"/>
    <row r="45457" ht="12" customHeight="1"/>
    <row r="45458" ht="12" customHeight="1"/>
    <row r="45459" ht="12" customHeight="1"/>
    <row r="45460" ht="12" customHeight="1"/>
    <row r="45461" ht="12" customHeight="1"/>
    <row r="45462" ht="12" customHeight="1"/>
    <row r="45463" ht="12" customHeight="1"/>
    <row r="45464" ht="12" customHeight="1"/>
    <row r="45465" ht="12" customHeight="1"/>
    <row r="45466" ht="12" customHeight="1"/>
    <row r="45467" ht="12" customHeight="1"/>
    <row r="45468" ht="12" customHeight="1"/>
    <row r="45469" ht="12" customHeight="1"/>
    <row r="45470" ht="12" customHeight="1"/>
    <row r="45471" ht="12" customHeight="1"/>
    <row r="45472" ht="12" customHeight="1"/>
    <row r="45473" ht="12" customHeight="1"/>
    <row r="45474" ht="12" customHeight="1"/>
    <row r="45475" ht="12" customHeight="1"/>
    <row r="45476" ht="12" customHeight="1"/>
    <row r="45477" ht="12" customHeight="1"/>
    <row r="45478" ht="12" customHeight="1"/>
    <row r="45479" ht="12" customHeight="1"/>
    <row r="45480" ht="12" customHeight="1"/>
    <row r="45481" ht="12" customHeight="1"/>
    <row r="45482" ht="12" customHeight="1"/>
    <row r="45483" ht="12" customHeight="1"/>
    <row r="45484" ht="12" customHeight="1"/>
    <row r="45485" ht="12" customHeight="1"/>
    <row r="45486" ht="12" customHeight="1"/>
    <row r="45487" ht="12" customHeight="1"/>
    <row r="45488" ht="12" customHeight="1"/>
    <row r="45489" ht="12" customHeight="1"/>
    <row r="45490" ht="12" customHeight="1"/>
    <row r="45491" ht="12" customHeight="1"/>
    <row r="45492" ht="12" customHeight="1"/>
    <row r="45493" ht="12" customHeight="1"/>
    <row r="45494" ht="12" customHeight="1"/>
    <row r="45495" ht="12" customHeight="1"/>
    <row r="45496" ht="12" customHeight="1"/>
    <row r="45497" ht="12" customHeight="1"/>
    <row r="45498" ht="12" customHeight="1"/>
    <row r="45499" ht="12" customHeight="1"/>
    <row r="45500" ht="12" customHeight="1"/>
    <row r="45501" ht="12" customHeight="1"/>
    <row r="45502" ht="12" customHeight="1"/>
    <row r="45503" ht="12" customHeight="1"/>
    <row r="45504" ht="12" customHeight="1"/>
    <row r="45505" ht="12" customHeight="1"/>
    <row r="45506" ht="12" customHeight="1"/>
    <row r="45507" ht="12" customHeight="1"/>
    <row r="45508" ht="12" customHeight="1"/>
    <row r="45509" ht="12" customHeight="1"/>
    <row r="45510" ht="12" customHeight="1"/>
    <row r="45511" ht="12" customHeight="1"/>
    <row r="45512" ht="12" customHeight="1"/>
    <row r="45513" ht="12" customHeight="1"/>
    <row r="45514" ht="12" customHeight="1"/>
    <row r="45515" ht="12" customHeight="1"/>
    <row r="45516" ht="12" customHeight="1"/>
    <row r="45517" ht="12" customHeight="1"/>
    <row r="45518" ht="12" customHeight="1"/>
    <row r="45519" ht="12" customHeight="1"/>
    <row r="45520" ht="12" customHeight="1"/>
    <row r="45521" ht="12" customHeight="1"/>
    <row r="45522" ht="12" customHeight="1"/>
    <row r="45523" ht="12" customHeight="1"/>
    <row r="45524" ht="12" customHeight="1"/>
    <row r="45525" ht="12" customHeight="1"/>
    <row r="45526" ht="12" customHeight="1"/>
    <row r="45527" ht="12" customHeight="1"/>
    <row r="45528" ht="12" customHeight="1"/>
    <row r="45529" ht="12" customHeight="1"/>
    <row r="45530" ht="12" customHeight="1"/>
    <row r="45531" ht="12" customHeight="1"/>
    <row r="45532" ht="12" customHeight="1"/>
    <row r="45533" ht="12" customHeight="1"/>
    <row r="45534" ht="12" customHeight="1"/>
    <row r="45535" ht="12" customHeight="1"/>
    <row r="45536" ht="12" customHeight="1"/>
    <row r="45537" ht="12" customHeight="1"/>
    <row r="45538" ht="12" customHeight="1"/>
    <row r="45539" ht="12" customHeight="1"/>
    <row r="45540" ht="12" customHeight="1"/>
    <row r="45541" ht="12" customHeight="1"/>
    <row r="45542" ht="12" customHeight="1"/>
    <row r="45543" ht="12" customHeight="1"/>
    <row r="45544" ht="12" customHeight="1"/>
    <row r="45545" ht="12" customHeight="1"/>
    <row r="45546" ht="12" customHeight="1"/>
    <row r="45547" ht="12" customHeight="1"/>
    <row r="45548" ht="12" customHeight="1"/>
    <row r="45549" ht="12" customHeight="1"/>
    <row r="45550" ht="12" customHeight="1"/>
    <row r="45551" ht="12" customHeight="1"/>
    <row r="45552" ht="12" customHeight="1"/>
    <row r="45553" ht="12" customHeight="1"/>
    <row r="45554" ht="12" customHeight="1"/>
    <row r="45555" ht="12" customHeight="1"/>
    <row r="45556" ht="12" customHeight="1"/>
    <row r="45557" ht="12" customHeight="1"/>
    <row r="45558" ht="12" customHeight="1"/>
    <row r="45559" ht="12" customHeight="1"/>
    <row r="45560" ht="12" customHeight="1"/>
    <row r="45561" ht="12" customHeight="1"/>
    <row r="45562" ht="12" customHeight="1"/>
    <row r="45563" ht="12" customHeight="1"/>
    <row r="45564" ht="12" customHeight="1"/>
    <row r="45565" ht="12" customHeight="1"/>
    <row r="45566" ht="12" customHeight="1"/>
    <row r="45567" ht="12" customHeight="1"/>
    <row r="45568" ht="12" customHeight="1"/>
    <row r="45569" ht="12" customHeight="1"/>
    <row r="45570" ht="12" customHeight="1"/>
    <row r="45571" ht="12" customHeight="1"/>
    <row r="45572" ht="12" customHeight="1"/>
    <row r="45573" ht="12" customHeight="1"/>
    <row r="45574" ht="12" customHeight="1"/>
    <row r="45575" ht="12" customHeight="1"/>
    <row r="45576" ht="12" customHeight="1"/>
    <row r="45577" ht="12" customHeight="1"/>
    <row r="45578" ht="12" customHeight="1"/>
    <row r="45579" ht="12" customHeight="1"/>
    <row r="45580" ht="12" customHeight="1"/>
    <row r="45581" ht="12" customHeight="1"/>
    <row r="45582" ht="12" customHeight="1"/>
    <row r="45583" ht="12" customHeight="1"/>
    <row r="45584" ht="12" customHeight="1"/>
    <row r="45585" ht="12" customHeight="1"/>
    <row r="45586" ht="12" customHeight="1"/>
    <row r="45587" ht="12" customHeight="1"/>
    <row r="45588" ht="12" customHeight="1"/>
    <row r="45589" ht="12" customHeight="1"/>
    <row r="45590" ht="12" customHeight="1"/>
    <row r="45591" ht="12" customHeight="1"/>
    <row r="45592" ht="12" customHeight="1"/>
    <row r="45593" ht="12" customHeight="1"/>
    <row r="45594" ht="12" customHeight="1"/>
    <row r="45595" ht="12" customHeight="1"/>
    <row r="45596" ht="12" customHeight="1"/>
    <row r="45597" ht="12" customHeight="1"/>
    <row r="45598" ht="12" customHeight="1"/>
    <row r="45599" ht="12" customHeight="1"/>
    <row r="45600" ht="12" customHeight="1"/>
    <row r="45601" ht="12" customHeight="1"/>
    <row r="45602" ht="12" customHeight="1"/>
    <row r="45603" ht="12" customHeight="1"/>
    <row r="45604" ht="12" customHeight="1"/>
    <row r="45605" ht="12" customHeight="1"/>
    <row r="45606" ht="12" customHeight="1"/>
    <row r="45607" ht="12" customHeight="1"/>
    <row r="45608" ht="12" customHeight="1"/>
    <row r="45609" ht="12" customHeight="1"/>
    <row r="45610" ht="12" customHeight="1"/>
    <row r="45611" ht="12" customHeight="1"/>
    <row r="45612" ht="12" customHeight="1"/>
    <row r="45613" ht="12" customHeight="1"/>
    <row r="45614" ht="12" customHeight="1"/>
    <row r="45615" ht="12" customHeight="1"/>
    <row r="45616" ht="12" customHeight="1"/>
    <row r="45617" ht="12" customHeight="1"/>
    <row r="45618" ht="12" customHeight="1"/>
    <row r="45619" ht="12" customHeight="1"/>
    <row r="45620" ht="12" customHeight="1"/>
    <row r="45621" ht="12" customHeight="1"/>
    <row r="45622" ht="12" customHeight="1"/>
    <row r="45623" ht="12" customHeight="1"/>
    <row r="45624" ht="12" customHeight="1"/>
    <row r="45625" ht="12" customHeight="1"/>
    <row r="45626" ht="12" customHeight="1"/>
    <row r="45627" ht="12" customHeight="1"/>
    <row r="45628" ht="12" customHeight="1"/>
    <row r="45629" ht="12" customHeight="1"/>
    <row r="45630" ht="12" customHeight="1"/>
    <row r="45631" ht="12" customHeight="1"/>
    <row r="45632" ht="12" customHeight="1"/>
    <row r="45633" ht="12" customHeight="1"/>
    <row r="45634" ht="12" customHeight="1"/>
    <row r="45635" ht="12" customHeight="1"/>
    <row r="45636" ht="12" customHeight="1"/>
    <row r="45637" ht="12" customHeight="1"/>
    <row r="45638" ht="12" customHeight="1"/>
    <row r="45639" ht="12" customHeight="1"/>
    <row r="45640" ht="12" customHeight="1"/>
    <row r="45641" ht="12" customHeight="1"/>
    <row r="45642" ht="12" customHeight="1"/>
    <row r="45643" ht="12" customHeight="1"/>
    <row r="45644" ht="12" customHeight="1"/>
    <row r="45645" ht="12" customHeight="1"/>
    <row r="45646" ht="12" customHeight="1"/>
    <row r="45647" ht="12" customHeight="1"/>
    <row r="45648" ht="12" customHeight="1"/>
    <row r="45649" ht="12" customHeight="1"/>
    <row r="45650" ht="12" customHeight="1"/>
    <row r="45651" ht="12" customHeight="1"/>
    <row r="45652" ht="12" customHeight="1"/>
    <row r="45653" ht="12" customHeight="1"/>
    <row r="45654" ht="12" customHeight="1"/>
    <row r="45655" ht="12" customHeight="1"/>
    <row r="45656" ht="12" customHeight="1"/>
    <row r="45657" ht="12" customHeight="1"/>
    <row r="45658" ht="12" customHeight="1"/>
    <row r="45659" ht="12" customHeight="1"/>
    <row r="45660" ht="12" customHeight="1"/>
    <row r="45661" ht="12" customHeight="1"/>
    <row r="45662" ht="12" customHeight="1"/>
    <row r="45663" ht="12" customHeight="1"/>
    <row r="45664" ht="12" customHeight="1"/>
    <row r="45665" ht="12" customHeight="1"/>
    <row r="45666" ht="12" customHeight="1"/>
    <row r="45667" ht="12" customHeight="1"/>
    <row r="45668" ht="12" customHeight="1"/>
    <row r="45669" ht="12" customHeight="1"/>
    <row r="45670" ht="12" customHeight="1"/>
    <row r="45671" ht="12" customHeight="1"/>
    <row r="45672" ht="12" customHeight="1"/>
    <row r="45673" ht="12" customHeight="1"/>
    <row r="45674" ht="12" customHeight="1"/>
    <row r="45675" ht="12" customHeight="1"/>
    <row r="45676" ht="12" customHeight="1"/>
    <row r="45677" ht="12" customHeight="1"/>
    <row r="45678" ht="12" customHeight="1"/>
    <row r="45679" ht="12" customHeight="1"/>
    <row r="45680" ht="12" customHeight="1"/>
    <row r="45681" ht="12" customHeight="1"/>
    <row r="45682" ht="12" customHeight="1"/>
    <row r="45683" ht="12" customHeight="1"/>
    <row r="45684" ht="12" customHeight="1"/>
    <row r="45685" ht="12" customHeight="1"/>
    <row r="45686" ht="12" customHeight="1"/>
    <row r="45687" ht="12" customHeight="1"/>
    <row r="45688" ht="12" customHeight="1"/>
    <row r="45689" ht="12" customHeight="1"/>
    <row r="45690" ht="12" customHeight="1"/>
    <row r="45691" ht="12" customHeight="1"/>
    <row r="45692" ht="12" customHeight="1"/>
    <row r="45693" ht="12" customHeight="1"/>
    <row r="45694" ht="12" customHeight="1"/>
    <row r="45695" ht="12" customHeight="1"/>
    <row r="45696" ht="12" customHeight="1"/>
    <row r="45697" ht="12" customHeight="1"/>
    <row r="45698" ht="12" customHeight="1"/>
    <row r="45699" ht="12" customHeight="1"/>
    <row r="45700" ht="12" customHeight="1"/>
    <row r="45701" ht="12" customHeight="1"/>
    <row r="45702" ht="12" customHeight="1"/>
    <row r="45703" ht="12" customHeight="1"/>
    <row r="45704" ht="12" customHeight="1"/>
    <row r="45705" ht="12" customHeight="1"/>
    <row r="45706" ht="12" customHeight="1"/>
    <row r="45707" ht="12" customHeight="1"/>
    <row r="45708" ht="12" customHeight="1"/>
    <row r="45709" ht="12" customHeight="1"/>
    <row r="45710" ht="12" customHeight="1"/>
    <row r="45711" ht="12" customHeight="1"/>
    <row r="45712" ht="12" customHeight="1"/>
    <row r="45713" ht="12" customHeight="1"/>
    <row r="45714" ht="12" customHeight="1"/>
    <row r="45715" ht="12" customHeight="1"/>
    <row r="45716" ht="12" customHeight="1"/>
    <row r="45717" ht="12" customHeight="1"/>
    <row r="45718" ht="12" customHeight="1"/>
    <row r="45719" ht="12" customHeight="1"/>
    <row r="45720" ht="12" customHeight="1"/>
    <row r="45721" ht="12" customHeight="1"/>
    <row r="45722" ht="12" customHeight="1"/>
    <row r="45723" ht="12" customHeight="1"/>
    <row r="45724" ht="12" customHeight="1"/>
    <row r="45725" ht="12" customHeight="1"/>
    <row r="45726" ht="12" customHeight="1"/>
    <row r="45727" ht="12" customHeight="1"/>
    <row r="45728" ht="12" customHeight="1"/>
    <row r="45729" ht="12" customHeight="1"/>
    <row r="45730" ht="12" customHeight="1"/>
    <row r="45731" ht="12" customHeight="1"/>
    <row r="45732" ht="12" customHeight="1"/>
    <row r="45733" ht="12" customHeight="1"/>
    <row r="45734" ht="12" customHeight="1"/>
    <row r="45735" ht="12" customHeight="1"/>
    <row r="45736" ht="12" customHeight="1"/>
    <row r="45737" ht="12" customHeight="1"/>
    <row r="45738" ht="12" customHeight="1"/>
    <row r="45739" ht="12" customHeight="1"/>
    <row r="45740" ht="12" customHeight="1"/>
    <row r="45741" ht="12" customHeight="1"/>
    <row r="45742" ht="12" customHeight="1"/>
    <row r="45743" ht="12" customHeight="1"/>
    <row r="45744" ht="12" customHeight="1"/>
    <row r="45745" ht="12" customHeight="1"/>
    <row r="45746" ht="12" customHeight="1"/>
    <row r="45747" ht="12" customHeight="1"/>
    <row r="45748" ht="12" customHeight="1"/>
    <row r="45749" ht="12" customHeight="1"/>
    <row r="45750" ht="12" customHeight="1"/>
    <row r="45751" ht="12" customHeight="1"/>
    <row r="45752" ht="12" customHeight="1"/>
    <row r="45753" ht="12" customHeight="1"/>
    <row r="45754" ht="12" customHeight="1"/>
    <row r="45755" ht="12" customHeight="1"/>
    <row r="45756" ht="12" customHeight="1"/>
    <row r="45757" ht="12" customHeight="1"/>
    <row r="45758" ht="12" customHeight="1"/>
    <row r="45759" ht="12" customHeight="1"/>
    <row r="45760" ht="12" customHeight="1"/>
    <row r="45761" ht="12" customHeight="1"/>
    <row r="45762" ht="12" customHeight="1"/>
    <row r="45763" ht="12" customHeight="1"/>
    <row r="45764" ht="12" customHeight="1"/>
    <row r="45765" ht="12" customHeight="1"/>
    <row r="45766" ht="12" customHeight="1"/>
    <row r="45767" ht="12" customHeight="1"/>
    <row r="45768" ht="12" customHeight="1"/>
    <row r="45769" ht="12" customHeight="1"/>
    <row r="45770" ht="12" customHeight="1"/>
    <row r="45771" ht="12" customHeight="1"/>
    <row r="45772" ht="12" customHeight="1"/>
    <row r="45773" ht="12" customHeight="1"/>
    <row r="45774" ht="12" customHeight="1"/>
    <row r="45775" ht="12" customHeight="1"/>
    <row r="45776" ht="12" customHeight="1"/>
    <row r="45777" ht="12" customHeight="1"/>
    <row r="45778" ht="12" customHeight="1"/>
    <row r="45779" ht="12" customHeight="1"/>
    <row r="45780" ht="12" customHeight="1"/>
    <row r="45781" ht="12" customHeight="1"/>
    <row r="45782" ht="12" customHeight="1"/>
    <row r="45783" ht="12" customHeight="1"/>
    <row r="45784" ht="12" customHeight="1"/>
    <row r="45785" ht="12" customHeight="1"/>
    <row r="45786" ht="12" customHeight="1"/>
    <row r="45787" ht="12" customHeight="1"/>
    <row r="45788" ht="12" customHeight="1"/>
    <row r="45789" ht="12" customHeight="1"/>
    <row r="45790" ht="12" customHeight="1"/>
    <row r="45791" ht="12" customHeight="1"/>
    <row r="45792" ht="12" customHeight="1"/>
    <row r="45793" ht="12" customHeight="1"/>
    <row r="45794" ht="12" customHeight="1"/>
    <row r="45795" ht="12" customHeight="1"/>
    <row r="45796" ht="12" customHeight="1"/>
    <row r="45797" ht="12" customHeight="1"/>
    <row r="45798" ht="12" customHeight="1"/>
    <row r="45799" ht="12" customHeight="1"/>
    <row r="45800" ht="12" customHeight="1"/>
    <row r="45801" ht="12" customHeight="1"/>
    <row r="45802" ht="12" customHeight="1"/>
    <row r="45803" ht="12" customHeight="1"/>
    <row r="45804" ht="12" customHeight="1"/>
    <row r="45805" ht="12" customHeight="1"/>
    <row r="45806" ht="12" customHeight="1"/>
    <row r="45807" ht="12" customHeight="1"/>
    <row r="45808" ht="12" customHeight="1"/>
    <row r="45809" ht="12" customHeight="1"/>
    <row r="45810" ht="12" customHeight="1"/>
    <row r="45811" ht="12" customHeight="1"/>
    <row r="45812" ht="12" customHeight="1"/>
    <row r="45813" ht="12" customHeight="1"/>
    <row r="45814" ht="12" customHeight="1"/>
    <row r="45815" ht="12" customHeight="1"/>
    <row r="45816" ht="12" customHeight="1"/>
    <row r="45817" ht="12" customHeight="1"/>
    <row r="45818" ht="12" customHeight="1"/>
    <row r="45819" ht="12" customHeight="1"/>
    <row r="45820" ht="12" customHeight="1"/>
    <row r="45821" ht="12" customHeight="1"/>
    <row r="45822" ht="12" customHeight="1"/>
    <row r="45823" ht="12" customHeight="1"/>
    <row r="45824" ht="12" customHeight="1"/>
    <row r="45825" ht="12" customHeight="1"/>
    <row r="45826" ht="12" customHeight="1"/>
    <row r="45827" ht="12" customHeight="1"/>
    <row r="45828" ht="12" customHeight="1"/>
    <row r="45829" ht="12" customHeight="1"/>
    <row r="45830" ht="12" customHeight="1"/>
    <row r="45831" ht="12" customHeight="1"/>
    <row r="45832" ht="12" customHeight="1"/>
    <row r="45833" ht="12" customHeight="1"/>
    <row r="45834" ht="12" customHeight="1"/>
    <row r="45835" ht="12" customHeight="1"/>
    <row r="45836" ht="12" customHeight="1"/>
    <row r="45837" ht="12" customHeight="1"/>
    <row r="45838" ht="12" customHeight="1"/>
    <row r="45839" ht="12" customHeight="1"/>
    <row r="45840" ht="12" customHeight="1"/>
    <row r="45841" ht="12" customHeight="1"/>
    <row r="45842" ht="12" customHeight="1"/>
    <row r="45843" ht="12" customHeight="1"/>
    <row r="45844" ht="12" customHeight="1"/>
    <row r="45845" ht="12" customHeight="1"/>
    <row r="45846" ht="12" customHeight="1"/>
    <row r="45847" ht="12" customHeight="1"/>
    <row r="45848" ht="12" customHeight="1"/>
    <row r="45849" ht="12" customHeight="1"/>
    <row r="45850" ht="12" customHeight="1"/>
    <row r="45851" ht="12" customHeight="1"/>
    <row r="45852" ht="12" customHeight="1"/>
    <row r="45853" ht="12" customHeight="1"/>
    <row r="45854" ht="12" customHeight="1"/>
    <row r="45855" ht="12" customHeight="1"/>
    <row r="45856" ht="12" customHeight="1"/>
    <row r="45857" ht="12" customHeight="1"/>
    <row r="45858" ht="12" customHeight="1"/>
    <row r="45859" ht="12" customHeight="1"/>
    <row r="45860" ht="12" customHeight="1"/>
    <row r="45861" ht="12" customHeight="1"/>
    <row r="45862" ht="12" customHeight="1"/>
    <row r="45863" ht="12" customHeight="1"/>
    <row r="45864" ht="12" customHeight="1"/>
    <row r="45865" ht="12" customHeight="1"/>
    <row r="45866" ht="12" customHeight="1"/>
    <row r="45867" ht="12" customHeight="1"/>
    <row r="45868" ht="12" customHeight="1"/>
    <row r="45869" ht="12" customHeight="1"/>
    <row r="45870" ht="12" customHeight="1"/>
    <row r="45871" ht="12" customHeight="1"/>
    <row r="45872" ht="12" customHeight="1"/>
    <row r="45873" ht="12" customHeight="1"/>
    <row r="45874" ht="12" customHeight="1"/>
    <row r="45875" ht="12" customHeight="1"/>
    <row r="45876" ht="12" customHeight="1"/>
    <row r="45877" ht="12" customHeight="1"/>
    <row r="45878" ht="12" customHeight="1"/>
    <row r="45879" ht="12" customHeight="1"/>
    <row r="45880" ht="12" customHeight="1"/>
    <row r="45881" ht="12" customHeight="1"/>
    <row r="45882" ht="12" customHeight="1"/>
    <row r="45883" ht="12" customHeight="1"/>
    <row r="45884" ht="12" customHeight="1"/>
    <row r="45885" ht="12" customHeight="1"/>
    <row r="45886" ht="12" customHeight="1"/>
    <row r="45887" ht="12" customHeight="1"/>
    <row r="45888" ht="12" customHeight="1"/>
    <row r="45889" ht="12" customHeight="1"/>
    <row r="45890" ht="12" customHeight="1"/>
    <row r="45891" ht="12" customHeight="1"/>
    <row r="45892" ht="12" customHeight="1"/>
    <row r="45893" ht="12" customHeight="1"/>
    <row r="45894" ht="12" customHeight="1"/>
    <row r="45895" ht="12" customHeight="1"/>
    <row r="45896" ht="12" customHeight="1"/>
    <row r="45897" ht="12" customHeight="1"/>
    <row r="45898" ht="12" customHeight="1"/>
    <row r="45899" ht="12" customHeight="1"/>
    <row r="45900" ht="12" customHeight="1"/>
    <row r="45901" ht="12" customHeight="1"/>
    <row r="45902" ht="12" customHeight="1"/>
    <row r="45903" ht="12" customHeight="1"/>
    <row r="45904" ht="12" customHeight="1"/>
    <row r="45905" ht="12" customHeight="1"/>
    <row r="45906" ht="12" customHeight="1"/>
    <row r="45907" ht="12" customHeight="1"/>
    <row r="45908" ht="12" customHeight="1"/>
    <row r="45909" ht="12" customHeight="1"/>
    <row r="45910" ht="12" customHeight="1"/>
    <row r="45911" ht="12" customHeight="1"/>
    <row r="45912" ht="12" customHeight="1"/>
    <row r="45913" ht="12" customHeight="1"/>
    <row r="45914" ht="12" customHeight="1"/>
    <row r="45915" ht="12" customHeight="1"/>
    <row r="45916" ht="12" customHeight="1"/>
    <row r="45917" ht="12" customHeight="1"/>
    <row r="45918" ht="12" customHeight="1"/>
    <row r="45919" ht="12" customHeight="1"/>
    <row r="45920" ht="12" customHeight="1"/>
    <row r="45921" ht="12" customHeight="1"/>
    <row r="45922" ht="12" customHeight="1"/>
    <row r="45923" ht="12" customHeight="1"/>
    <row r="45924" ht="12" customHeight="1"/>
    <row r="45925" ht="12" customHeight="1"/>
    <row r="45926" ht="12" customHeight="1"/>
    <row r="45927" ht="12" customHeight="1"/>
    <row r="45928" ht="12" customHeight="1"/>
    <row r="45929" ht="12" customHeight="1"/>
    <row r="45930" ht="12" customHeight="1"/>
    <row r="45931" ht="12" customHeight="1"/>
    <row r="45932" ht="12" customHeight="1"/>
    <row r="45933" ht="12" customHeight="1"/>
    <row r="45934" ht="12" customHeight="1"/>
    <row r="45935" ht="12" customHeight="1"/>
    <row r="45936" ht="12" customHeight="1"/>
    <row r="45937" ht="12" customHeight="1"/>
    <row r="45938" ht="12" customHeight="1"/>
    <row r="45939" ht="12" customHeight="1"/>
    <row r="45940" ht="12" customHeight="1"/>
    <row r="45941" ht="12" customHeight="1"/>
    <row r="45942" ht="12" customHeight="1"/>
    <row r="45943" ht="12" customHeight="1"/>
    <row r="45944" ht="12" customHeight="1"/>
    <row r="45945" ht="12" customHeight="1"/>
    <row r="45946" ht="12" customHeight="1"/>
    <row r="45947" ht="12" customHeight="1"/>
    <row r="45948" ht="12" customHeight="1"/>
    <row r="45949" ht="12" customHeight="1"/>
    <row r="45950" ht="12" customHeight="1"/>
    <row r="45951" ht="12" customHeight="1"/>
    <row r="45952" ht="12" customHeight="1"/>
    <row r="45953" ht="12" customHeight="1"/>
    <row r="45954" ht="12" customHeight="1"/>
    <row r="45955" ht="12" customHeight="1"/>
    <row r="45956" ht="12" customHeight="1"/>
    <row r="45957" ht="12" customHeight="1"/>
    <row r="45958" ht="12" customHeight="1"/>
    <row r="45959" ht="12" customHeight="1"/>
    <row r="45960" ht="12" customHeight="1"/>
    <row r="45961" ht="12" customHeight="1"/>
    <row r="45962" ht="12" customHeight="1"/>
    <row r="45963" ht="12" customHeight="1"/>
    <row r="45964" ht="12" customHeight="1"/>
    <row r="45965" ht="12" customHeight="1"/>
    <row r="45966" ht="12" customHeight="1"/>
    <row r="45967" ht="12" customHeight="1"/>
    <row r="45968" ht="12" customHeight="1"/>
    <row r="45969" ht="12" customHeight="1"/>
    <row r="45970" ht="12" customHeight="1"/>
    <row r="45971" ht="12" customHeight="1"/>
    <row r="45972" ht="12" customHeight="1"/>
    <row r="45973" ht="12" customHeight="1"/>
    <row r="45974" ht="12" customHeight="1"/>
    <row r="45975" ht="12" customHeight="1"/>
    <row r="45976" ht="12" customHeight="1"/>
    <row r="45977" ht="12" customHeight="1"/>
    <row r="45978" ht="12" customHeight="1"/>
    <row r="45979" ht="12" customHeight="1"/>
    <row r="45980" ht="12" customHeight="1"/>
    <row r="45981" ht="12" customHeight="1"/>
    <row r="45982" ht="12" customHeight="1"/>
    <row r="45983" ht="12" customHeight="1"/>
    <row r="45984" ht="12" customHeight="1"/>
    <row r="45985" ht="12" customHeight="1"/>
    <row r="45986" ht="12" customHeight="1"/>
    <row r="45987" ht="12" customHeight="1"/>
    <row r="45988" ht="12" customHeight="1"/>
    <row r="45989" ht="12" customHeight="1"/>
    <row r="45990" ht="12" customHeight="1"/>
    <row r="45991" ht="12" customHeight="1"/>
    <row r="45992" ht="12" customHeight="1"/>
    <row r="45993" ht="12" customHeight="1"/>
    <row r="45994" ht="12" customHeight="1"/>
    <row r="45995" ht="12" customHeight="1"/>
    <row r="45996" ht="12" customHeight="1"/>
    <row r="45997" ht="12" customHeight="1"/>
    <row r="45998" ht="12" customHeight="1"/>
    <row r="45999" ht="12" customHeight="1"/>
    <row r="46000" ht="12" customHeight="1"/>
    <row r="46001" ht="12" customHeight="1"/>
    <row r="46002" ht="12" customHeight="1"/>
    <row r="46003" ht="12" customHeight="1"/>
    <row r="46004" ht="12" customHeight="1"/>
    <row r="46005" ht="12" customHeight="1"/>
    <row r="46006" ht="12" customHeight="1"/>
    <row r="46007" ht="12" customHeight="1"/>
    <row r="46008" ht="12" customHeight="1"/>
    <row r="46009" ht="12" customHeight="1"/>
    <row r="46010" ht="12" customHeight="1"/>
    <row r="46011" ht="12" customHeight="1"/>
    <row r="46012" ht="12" customHeight="1"/>
    <row r="46013" ht="12" customHeight="1"/>
    <row r="46014" ht="12" customHeight="1"/>
    <row r="46015" ht="12" customHeight="1"/>
    <row r="46016" ht="12" customHeight="1"/>
    <row r="46017" ht="12" customHeight="1"/>
    <row r="46018" ht="12" customHeight="1"/>
    <row r="46019" ht="12" customHeight="1"/>
    <row r="46020" ht="12" customHeight="1"/>
    <row r="46021" ht="12" customHeight="1"/>
    <row r="46022" ht="12" customHeight="1"/>
    <row r="46023" ht="12" customHeight="1"/>
    <row r="46024" ht="12" customHeight="1"/>
    <row r="46025" ht="12" customHeight="1"/>
    <row r="46026" ht="12" customHeight="1"/>
    <row r="46027" ht="12" customHeight="1"/>
    <row r="46028" ht="12" customHeight="1"/>
    <row r="46029" ht="12" customHeight="1"/>
    <row r="46030" ht="12" customHeight="1"/>
    <row r="46031" ht="12" customHeight="1"/>
    <row r="46032" ht="12" customHeight="1"/>
    <row r="46033" ht="12" customHeight="1"/>
    <row r="46034" ht="12" customHeight="1"/>
    <row r="46035" ht="12" customHeight="1"/>
    <row r="46036" ht="12" customHeight="1"/>
    <row r="46037" ht="12" customHeight="1"/>
    <row r="46038" ht="12" customHeight="1"/>
    <row r="46039" ht="12" customHeight="1"/>
    <row r="46040" ht="12" customHeight="1"/>
    <row r="46041" ht="12" customHeight="1"/>
    <row r="46042" ht="12" customHeight="1"/>
    <row r="46043" ht="12" customHeight="1"/>
    <row r="46044" ht="12" customHeight="1"/>
    <row r="46045" ht="12" customHeight="1"/>
    <row r="46046" ht="12" customHeight="1"/>
    <row r="46047" ht="12" customHeight="1"/>
    <row r="46048" ht="12" customHeight="1"/>
    <row r="46049" ht="12" customHeight="1"/>
    <row r="46050" ht="12" customHeight="1"/>
    <row r="46051" ht="12" customHeight="1"/>
    <row r="46052" ht="12" customHeight="1"/>
    <row r="46053" ht="12" customHeight="1"/>
    <row r="46054" ht="12" customHeight="1"/>
    <row r="46055" ht="12" customHeight="1"/>
    <row r="46056" ht="12" customHeight="1"/>
    <row r="46057" ht="12" customHeight="1"/>
    <row r="46058" ht="12" customHeight="1"/>
    <row r="46059" ht="12" customHeight="1"/>
    <row r="46060" ht="12" customHeight="1"/>
    <row r="46061" ht="12" customHeight="1"/>
    <row r="46062" ht="12" customHeight="1"/>
    <row r="46063" ht="12" customHeight="1"/>
    <row r="46064" ht="12" customHeight="1"/>
    <row r="46065" ht="12" customHeight="1"/>
    <row r="46066" ht="12" customHeight="1"/>
    <row r="46067" ht="12" customHeight="1"/>
    <row r="46068" ht="12" customHeight="1"/>
    <row r="46069" ht="12" customHeight="1"/>
    <row r="46070" ht="12" customHeight="1"/>
    <row r="46071" ht="12" customHeight="1"/>
    <row r="46072" ht="12" customHeight="1"/>
    <row r="46073" ht="12" customHeight="1"/>
    <row r="46074" ht="12" customHeight="1"/>
    <row r="46075" ht="12" customHeight="1"/>
    <row r="46076" ht="12" customHeight="1"/>
    <row r="46077" ht="12" customHeight="1"/>
    <row r="46078" ht="12" customHeight="1"/>
    <row r="46079" ht="12" customHeight="1"/>
    <row r="46080" ht="12" customHeight="1"/>
    <row r="46081" ht="12" customHeight="1"/>
    <row r="46082" ht="12" customHeight="1"/>
    <row r="46083" ht="12" customHeight="1"/>
    <row r="46084" ht="12" customHeight="1"/>
    <row r="46085" ht="12" customHeight="1"/>
    <row r="46086" ht="12" customHeight="1"/>
    <row r="46087" ht="12" customHeight="1"/>
    <row r="46088" ht="12" customHeight="1"/>
    <row r="46089" ht="12" customHeight="1"/>
    <row r="46090" ht="12" customHeight="1"/>
    <row r="46091" ht="12" customHeight="1"/>
    <row r="46092" ht="12" customHeight="1"/>
    <row r="46093" ht="12" customHeight="1"/>
    <row r="46094" ht="12" customHeight="1"/>
    <row r="46095" ht="12" customHeight="1"/>
    <row r="46096" ht="12" customHeight="1"/>
    <row r="46097" ht="12" customHeight="1"/>
    <row r="46098" ht="12" customHeight="1"/>
    <row r="46099" ht="12" customHeight="1"/>
    <row r="46100" ht="12" customHeight="1"/>
    <row r="46101" ht="12" customHeight="1"/>
    <row r="46102" ht="12" customHeight="1"/>
    <row r="46103" ht="12" customHeight="1"/>
    <row r="46104" ht="12" customHeight="1"/>
    <row r="46105" ht="12" customHeight="1"/>
    <row r="46106" ht="12" customHeight="1"/>
    <row r="46107" ht="12" customHeight="1"/>
    <row r="46108" ht="12" customHeight="1"/>
    <row r="46109" ht="12" customHeight="1"/>
    <row r="46110" ht="12" customHeight="1"/>
    <row r="46111" ht="12" customHeight="1"/>
    <row r="46112" ht="12" customHeight="1"/>
    <row r="46113" ht="12" customHeight="1"/>
    <row r="46114" ht="12" customHeight="1"/>
    <row r="46115" ht="12" customHeight="1"/>
    <row r="46116" ht="12" customHeight="1"/>
    <row r="46117" ht="12" customHeight="1"/>
    <row r="46118" ht="12" customHeight="1"/>
    <row r="46119" ht="12" customHeight="1"/>
    <row r="46120" ht="12" customHeight="1"/>
    <row r="46121" ht="12" customHeight="1"/>
    <row r="46122" ht="12" customHeight="1"/>
    <row r="46123" ht="12" customHeight="1"/>
    <row r="46124" ht="12" customHeight="1"/>
    <row r="46125" ht="12" customHeight="1"/>
    <row r="46126" ht="12" customHeight="1"/>
    <row r="46127" ht="12" customHeight="1"/>
    <row r="46128" ht="12" customHeight="1"/>
    <row r="46129" ht="12" customHeight="1"/>
    <row r="46130" ht="12" customHeight="1"/>
    <row r="46131" ht="12" customHeight="1"/>
    <row r="46132" ht="12" customHeight="1"/>
    <row r="46133" ht="12" customHeight="1"/>
    <row r="46134" ht="12" customHeight="1"/>
    <row r="46135" ht="12" customHeight="1"/>
    <row r="46136" ht="12" customHeight="1"/>
    <row r="46137" ht="12" customHeight="1"/>
    <row r="46138" ht="12" customHeight="1"/>
    <row r="46139" ht="12" customHeight="1"/>
    <row r="46140" ht="12" customHeight="1"/>
    <row r="46141" ht="12" customHeight="1"/>
    <row r="46142" ht="12" customHeight="1"/>
    <row r="46143" ht="12" customHeight="1"/>
    <row r="46144" ht="12" customHeight="1"/>
    <row r="46145" ht="12" customHeight="1"/>
    <row r="46146" ht="12" customHeight="1"/>
    <row r="46147" ht="12" customHeight="1"/>
    <row r="46148" ht="12" customHeight="1"/>
    <row r="46149" ht="12" customHeight="1"/>
    <row r="46150" ht="12" customHeight="1"/>
    <row r="46151" ht="12" customHeight="1"/>
    <row r="46152" ht="12" customHeight="1"/>
    <row r="46153" ht="12" customHeight="1"/>
    <row r="46154" ht="12" customHeight="1"/>
    <row r="46155" ht="12" customHeight="1"/>
    <row r="46156" ht="12" customHeight="1"/>
    <row r="46157" ht="12" customHeight="1"/>
    <row r="46158" ht="12" customHeight="1"/>
    <row r="46159" ht="12" customHeight="1"/>
    <row r="46160" ht="12" customHeight="1"/>
    <row r="46161" ht="12" customHeight="1"/>
    <row r="46162" ht="12" customHeight="1"/>
    <row r="46163" ht="12" customHeight="1"/>
    <row r="46164" ht="12" customHeight="1"/>
    <row r="46165" ht="12" customHeight="1"/>
    <row r="46166" ht="12" customHeight="1"/>
    <row r="46167" ht="12" customHeight="1"/>
    <row r="46168" ht="12" customHeight="1"/>
    <row r="46169" ht="12" customHeight="1"/>
    <row r="46170" ht="12" customHeight="1"/>
    <row r="46171" ht="12" customHeight="1"/>
    <row r="46172" ht="12" customHeight="1"/>
    <row r="46173" ht="12" customHeight="1"/>
    <row r="46174" ht="12" customHeight="1"/>
    <row r="46175" ht="12" customHeight="1"/>
    <row r="46176" ht="12" customHeight="1"/>
    <row r="46177" ht="12" customHeight="1"/>
    <row r="46178" ht="12" customHeight="1"/>
    <row r="46179" ht="12" customHeight="1"/>
    <row r="46180" ht="12" customHeight="1"/>
    <row r="46181" ht="12" customHeight="1"/>
    <row r="46182" ht="12" customHeight="1"/>
    <row r="46183" ht="12" customHeight="1"/>
    <row r="46184" ht="12" customHeight="1"/>
    <row r="46185" ht="12" customHeight="1"/>
    <row r="46186" ht="12" customHeight="1"/>
    <row r="46187" ht="12" customHeight="1"/>
    <row r="46188" ht="12" customHeight="1"/>
    <row r="46189" ht="12" customHeight="1"/>
    <row r="46190" ht="12" customHeight="1"/>
    <row r="46191" ht="12" customHeight="1"/>
    <row r="46192" ht="12" customHeight="1"/>
    <row r="46193" ht="12" customHeight="1"/>
    <row r="46194" ht="12" customHeight="1"/>
    <row r="46195" ht="12" customHeight="1"/>
    <row r="46196" ht="12" customHeight="1"/>
    <row r="46197" ht="12" customHeight="1"/>
    <row r="46198" ht="12" customHeight="1"/>
    <row r="46199" ht="12" customHeight="1"/>
    <row r="46200" ht="12" customHeight="1"/>
    <row r="46201" ht="12" customHeight="1"/>
    <row r="46202" ht="12" customHeight="1"/>
    <row r="46203" ht="12" customHeight="1"/>
    <row r="46204" ht="12" customHeight="1"/>
    <row r="46205" ht="12" customHeight="1"/>
    <row r="46206" ht="12" customHeight="1"/>
    <row r="46207" ht="12" customHeight="1"/>
    <row r="46208" ht="12" customHeight="1"/>
    <row r="46209" ht="12" customHeight="1"/>
    <row r="46210" ht="12" customHeight="1"/>
    <row r="46211" ht="12" customHeight="1"/>
    <row r="46212" ht="12" customHeight="1"/>
    <row r="46213" ht="12" customHeight="1"/>
    <row r="46214" ht="12" customHeight="1"/>
    <row r="46215" ht="12" customHeight="1"/>
    <row r="46216" ht="12" customHeight="1"/>
    <row r="46217" ht="12" customHeight="1"/>
    <row r="46218" ht="12" customHeight="1"/>
    <row r="46219" ht="12" customHeight="1"/>
    <row r="46220" ht="12" customHeight="1"/>
    <row r="46221" ht="12" customHeight="1"/>
    <row r="46222" ht="12" customHeight="1"/>
    <row r="46223" ht="12" customHeight="1"/>
    <row r="46224" ht="12" customHeight="1"/>
    <row r="46225" ht="12" customHeight="1"/>
    <row r="46226" ht="12" customHeight="1"/>
    <row r="46227" ht="12" customHeight="1"/>
    <row r="46228" ht="12" customHeight="1"/>
    <row r="46229" ht="12" customHeight="1"/>
    <row r="46230" ht="12" customHeight="1"/>
    <row r="46231" ht="12" customHeight="1"/>
    <row r="46232" ht="12" customHeight="1"/>
    <row r="46233" ht="12" customHeight="1"/>
    <row r="46234" ht="12" customHeight="1"/>
    <row r="46235" ht="12" customHeight="1"/>
    <row r="46236" ht="12" customHeight="1"/>
    <row r="46237" ht="12" customHeight="1"/>
    <row r="46238" ht="12" customHeight="1"/>
    <row r="46239" ht="12" customHeight="1"/>
    <row r="46240" ht="12" customHeight="1"/>
    <row r="46241" ht="12" customHeight="1"/>
    <row r="46242" ht="12" customHeight="1"/>
    <row r="46243" ht="12" customHeight="1"/>
    <row r="46244" ht="12" customHeight="1"/>
    <row r="46245" ht="12" customHeight="1"/>
    <row r="46246" ht="12" customHeight="1"/>
    <row r="46247" ht="12" customHeight="1"/>
    <row r="46248" ht="12" customHeight="1"/>
    <row r="46249" ht="12" customHeight="1"/>
    <row r="46250" ht="12" customHeight="1"/>
    <row r="46251" ht="12" customHeight="1"/>
    <row r="46252" ht="12" customHeight="1"/>
    <row r="46253" ht="12" customHeight="1"/>
    <row r="46254" ht="12" customHeight="1"/>
    <row r="46255" ht="12" customHeight="1"/>
    <row r="46256" ht="12" customHeight="1"/>
    <row r="46257" ht="12" customHeight="1"/>
    <row r="46258" ht="12" customHeight="1"/>
    <row r="46259" ht="12" customHeight="1"/>
    <row r="46260" ht="12" customHeight="1"/>
    <row r="46261" ht="12" customHeight="1"/>
    <row r="46262" ht="12" customHeight="1"/>
    <row r="46263" ht="12" customHeight="1"/>
    <row r="46264" ht="12" customHeight="1"/>
    <row r="46265" ht="12" customHeight="1"/>
    <row r="46266" ht="12" customHeight="1"/>
    <row r="46267" ht="12" customHeight="1"/>
    <row r="46268" ht="12" customHeight="1"/>
    <row r="46269" ht="12" customHeight="1"/>
    <row r="46270" ht="12" customHeight="1"/>
    <row r="46271" ht="12" customHeight="1"/>
    <row r="46272" ht="12" customHeight="1"/>
    <row r="46273" ht="12" customHeight="1"/>
    <row r="46274" ht="12" customHeight="1"/>
    <row r="46275" ht="12" customHeight="1"/>
    <row r="46276" ht="12" customHeight="1"/>
    <row r="46277" ht="12" customHeight="1"/>
    <row r="46278" ht="12" customHeight="1"/>
    <row r="46279" ht="12" customHeight="1"/>
    <row r="46280" ht="12" customHeight="1"/>
    <row r="46281" ht="12" customHeight="1"/>
    <row r="46282" ht="12" customHeight="1"/>
    <row r="46283" ht="12" customHeight="1"/>
    <row r="46284" ht="12" customHeight="1"/>
    <row r="46285" ht="12" customHeight="1"/>
    <row r="46286" ht="12" customHeight="1"/>
    <row r="46287" ht="12" customHeight="1"/>
    <row r="46288" ht="12" customHeight="1"/>
    <row r="46289" ht="12" customHeight="1"/>
    <row r="46290" ht="12" customHeight="1"/>
    <row r="46291" ht="12" customHeight="1"/>
    <row r="46292" ht="12" customHeight="1"/>
    <row r="46293" ht="12" customHeight="1"/>
    <row r="46294" ht="12" customHeight="1"/>
    <row r="46295" ht="12" customHeight="1"/>
    <row r="46296" ht="12" customHeight="1"/>
    <row r="46297" ht="12" customHeight="1"/>
    <row r="46298" ht="12" customHeight="1"/>
    <row r="46299" ht="12" customHeight="1"/>
    <row r="46300" ht="12" customHeight="1"/>
    <row r="46301" ht="12" customHeight="1"/>
    <row r="46302" ht="12" customHeight="1"/>
    <row r="46303" ht="12" customHeight="1"/>
    <row r="46304" ht="12" customHeight="1"/>
    <row r="46305" ht="12" customHeight="1"/>
    <row r="46306" ht="12" customHeight="1"/>
    <row r="46307" ht="12" customHeight="1"/>
    <row r="46308" ht="12" customHeight="1"/>
    <row r="46309" ht="12" customHeight="1"/>
    <row r="46310" ht="12" customHeight="1"/>
    <row r="46311" ht="12" customHeight="1"/>
    <row r="46312" ht="12" customHeight="1"/>
    <row r="46313" ht="12" customHeight="1"/>
    <row r="46314" ht="12" customHeight="1"/>
    <row r="46315" ht="12" customHeight="1"/>
    <row r="46316" ht="12" customHeight="1"/>
    <row r="46317" ht="12" customHeight="1"/>
    <row r="46318" ht="12" customHeight="1"/>
    <row r="46319" ht="12" customHeight="1"/>
    <row r="46320" ht="12" customHeight="1"/>
    <row r="46321" ht="12" customHeight="1"/>
    <row r="46322" ht="12" customHeight="1"/>
    <row r="46323" ht="12" customHeight="1"/>
    <row r="46324" ht="12" customHeight="1"/>
    <row r="46325" ht="12" customHeight="1"/>
    <row r="46326" ht="12" customHeight="1"/>
    <row r="46327" ht="12" customHeight="1"/>
    <row r="46328" ht="12" customHeight="1"/>
    <row r="46329" ht="12" customHeight="1"/>
    <row r="46330" ht="12" customHeight="1"/>
    <row r="46331" ht="12" customHeight="1"/>
    <row r="46332" ht="12" customHeight="1"/>
    <row r="46333" ht="12" customHeight="1"/>
    <row r="46334" ht="12" customHeight="1"/>
    <row r="46335" ht="12" customHeight="1"/>
    <row r="46336" ht="12" customHeight="1"/>
    <row r="46337" ht="12" customHeight="1"/>
    <row r="46338" ht="12" customHeight="1"/>
    <row r="46339" ht="12" customHeight="1"/>
    <row r="46340" ht="12" customHeight="1"/>
    <row r="46341" ht="12" customHeight="1"/>
    <row r="46342" ht="12" customHeight="1"/>
    <row r="46343" ht="12" customHeight="1"/>
    <row r="46344" ht="12" customHeight="1"/>
    <row r="46345" ht="12" customHeight="1"/>
    <row r="46346" ht="12" customHeight="1"/>
    <row r="46347" ht="12" customHeight="1"/>
    <row r="46348" ht="12" customHeight="1"/>
    <row r="46349" ht="12" customHeight="1"/>
    <row r="46350" ht="12" customHeight="1"/>
    <row r="46351" ht="12" customHeight="1"/>
    <row r="46352" ht="12" customHeight="1"/>
    <row r="46353" ht="12" customHeight="1"/>
    <row r="46354" ht="12" customHeight="1"/>
    <row r="46355" ht="12" customHeight="1"/>
    <row r="46356" ht="12" customHeight="1"/>
    <row r="46357" ht="12" customHeight="1"/>
    <row r="46358" ht="12" customHeight="1"/>
    <row r="46359" ht="12" customHeight="1"/>
    <row r="46360" ht="12" customHeight="1"/>
    <row r="46361" ht="12" customHeight="1"/>
    <row r="46362" ht="12" customHeight="1"/>
    <row r="46363" ht="12" customHeight="1"/>
    <row r="46364" ht="12" customHeight="1"/>
    <row r="46365" ht="12" customHeight="1"/>
    <row r="46366" ht="12" customHeight="1"/>
    <row r="46367" ht="12" customHeight="1"/>
    <row r="46368" ht="12" customHeight="1"/>
    <row r="46369" ht="12" customHeight="1"/>
    <row r="46370" ht="12" customHeight="1"/>
    <row r="46371" ht="12" customHeight="1"/>
    <row r="46372" ht="12" customHeight="1"/>
    <row r="46373" ht="12" customHeight="1"/>
    <row r="46374" ht="12" customHeight="1"/>
    <row r="46375" ht="12" customHeight="1"/>
    <row r="46376" ht="12" customHeight="1"/>
    <row r="46377" ht="12" customHeight="1"/>
    <row r="46378" ht="12" customHeight="1"/>
    <row r="46379" ht="12" customHeight="1"/>
    <row r="46380" ht="12" customHeight="1"/>
    <row r="46381" ht="12" customHeight="1"/>
    <row r="46382" ht="12" customHeight="1"/>
    <row r="46383" ht="12" customHeight="1"/>
    <row r="46384" ht="12" customHeight="1"/>
    <row r="46385" ht="12" customHeight="1"/>
    <row r="46386" ht="12" customHeight="1"/>
    <row r="46387" ht="12" customHeight="1"/>
    <row r="46388" ht="12" customHeight="1"/>
    <row r="46389" ht="12" customHeight="1"/>
    <row r="46390" ht="12" customHeight="1"/>
    <row r="46391" ht="12" customHeight="1"/>
    <row r="46392" ht="12" customHeight="1"/>
    <row r="46393" ht="12" customHeight="1"/>
    <row r="46394" ht="12" customHeight="1"/>
    <row r="46395" ht="12" customHeight="1"/>
    <row r="46396" ht="12" customHeight="1"/>
    <row r="46397" ht="12" customHeight="1"/>
    <row r="46398" ht="12" customHeight="1"/>
    <row r="46399" ht="12" customHeight="1"/>
    <row r="46400" ht="12" customHeight="1"/>
    <row r="46401" ht="12" customHeight="1"/>
    <row r="46402" ht="12" customHeight="1"/>
    <row r="46403" ht="12" customHeight="1"/>
    <row r="46404" ht="12" customHeight="1"/>
    <row r="46405" ht="12" customHeight="1"/>
    <row r="46406" ht="12" customHeight="1"/>
    <row r="46407" ht="12" customHeight="1"/>
    <row r="46408" ht="12" customHeight="1"/>
    <row r="46409" ht="12" customHeight="1"/>
    <row r="46410" ht="12" customHeight="1"/>
    <row r="46411" ht="12" customHeight="1"/>
    <row r="46412" ht="12" customHeight="1"/>
    <row r="46413" ht="12" customHeight="1"/>
    <row r="46414" ht="12" customHeight="1"/>
    <row r="46415" ht="12" customHeight="1"/>
    <row r="46416" ht="12" customHeight="1"/>
    <row r="46417" ht="12" customHeight="1"/>
    <row r="46418" ht="12" customHeight="1"/>
    <row r="46419" ht="12" customHeight="1"/>
    <row r="46420" ht="12" customHeight="1"/>
    <row r="46421" ht="12" customHeight="1"/>
    <row r="46422" ht="12" customHeight="1"/>
    <row r="46423" ht="12" customHeight="1"/>
    <row r="46424" ht="12" customHeight="1"/>
    <row r="46425" ht="12" customHeight="1"/>
    <row r="46426" ht="12" customHeight="1"/>
    <row r="46427" ht="12" customHeight="1"/>
    <row r="46428" ht="12" customHeight="1"/>
    <row r="46429" ht="12" customHeight="1"/>
    <row r="46430" ht="12" customHeight="1"/>
    <row r="46431" ht="12" customHeight="1"/>
    <row r="46432" ht="12" customHeight="1"/>
    <row r="46433" ht="12" customHeight="1"/>
    <row r="46434" ht="12" customHeight="1"/>
    <row r="46435" ht="12" customHeight="1"/>
    <row r="46436" ht="12" customHeight="1"/>
    <row r="46437" ht="12" customHeight="1"/>
    <row r="46438" ht="12" customHeight="1"/>
    <row r="46439" ht="12" customHeight="1"/>
    <row r="46440" ht="12" customHeight="1"/>
    <row r="46441" ht="12" customHeight="1"/>
    <row r="46442" ht="12" customHeight="1"/>
    <row r="46443" ht="12" customHeight="1"/>
    <row r="46444" ht="12" customHeight="1"/>
    <row r="46445" ht="12" customHeight="1"/>
    <row r="46446" ht="12" customHeight="1"/>
    <row r="46447" ht="12" customHeight="1"/>
    <row r="46448" ht="12" customHeight="1"/>
    <row r="46449" ht="12" customHeight="1"/>
    <row r="46450" ht="12" customHeight="1"/>
    <row r="46451" ht="12" customHeight="1"/>
    <row r="46452" ht="12" customHeight="1"/>
    <row r="46453" ht="12" customHeight="1"/>
    <row r="46454" ht="12" customHeight="1"/>
    <row r="46455" ht="12" customHeight="1"/>
    <row r="46456" ht="12" customHeight="1"/>
    <row r="46457" ht="12" customHeight="1"/>
    <row r="46458" ht="12" customHeight="1"/>
    <row r="46459" ht="12" customHeight="1"/>
    <row r="46460" ht="12" customHeight="1"/>
    <row r="46461" ht="12" customHeight="1"/>
    <row r="46462" ht="12" customHeight="1"/>
    <row r="46463" ht="12" customHeight="1"/>
    <row r="46464" ht="12" customHeight="1"/>
    <row r="46465" ht="12" customHeight="1"/>
    <row r="46466" ht="12" customHeight="1"/>
    <row r="46467" ht="12" customHeight="1"/>
    <row r="46468" ht="12" customHeight="1"/>
    <row r="46469" ht="12" customHeight="1"/>
    <row r="46470" ht="12" customHeight="1"/>
    <row r="46471" ht="12" customHeight="1"/>
    <row r="46472" ht="12" customHeight="1"/>
    <row r="46473" ht="12" customHeight="1"/>
    <row r="46474" ht="12" customHeight="1"/>
    <row r="46475" ht="12" customHeight="1"/>
    <row r="46476" ht="12" customHeight="1"/>
    <row r="46477" ht="12" customHeight="1"/>
    <row r="46478" ht="12" customHeight="1"/>
    <row r="46479" ht="12" customHeight="1"/>
    <row r="46480" ht="12" customHeight="1"/>
    <row r="46481" ht="12" customHeight="1"/>
    <row r="46482" ht="12" customHeight="1"/>
    <row r="46483" ht="12" customHeight="1"/>
    <row r="46484" ht="12" customHeight="1"/>
    <row r="46485" ht="12" customHeight="1"/>
    <row r="46486" ht="12" customHeight="1"/>
    <row r="46487" ht="12" customHeight="1"/>
    <row r="46488" ht="12" customHeight="1"/>
    <row r="46489" ht="12" customHeight="1"/>
    <row r="46490" ht="12" customHeight="1"/>
    <row r="46491" ht="12" customHeight="1"/>
    <row r="46492" ht="12" customHeight="1"/>
    <row r="46493" ht="12" customHeight="1"/>
    <row r="46494" ht="12" customHeight="1"/>
    <row r="46495" ht="12" customHeight="1"/>
    <row r="46496" ht="12" customHeight="1"/>
    <row r="46497" ht="12" customHeight="1"/>
    <row r="46498" ht="12" customHeight="1"/>
    <row r="46499" ht="12" customHeight="1"/>
    <row r="46500" ht="12" customHeight="1"/>
    <row r="46501" ht="12" customHeight="1"/>
    <row r="46502" ht="12" customHeight="1"/>
    <row r="46503" ht="12" customHeight="1"/>
    <row r="46504" ht="12" customHeight="1"/>
    <row r="46505" ht="12" customHeight="1"/>
    <row r="46506" ht="12" customHeight="1"/>
    <row r="46507" ht="12" customHeight="1"/>
    <row r="46508" ht="12" customHeight="1"/>
    <row r="46509" ht="12" customHeight="1"/>
    <row r="46510" ht="12" customHeight="1"/>
    <row r="46511" ht="12" customHeight="1"/>
    <row r="46512" ht="12" customHeight="1"/>
    <row r="46513" ht="12" customHeight="1"/>
    <row r="46514" ht="12" customHeight="1"/>
    <row r="46515" ht="12" customHeight="1"/>
    <row r="46516" ht="12" customHeight="1"/>
    <row r="46517" ht="12" customHeight="1"/>
    <row r="46518" ht="12" customHeight="1"/>
    <row r="46519" ht="12" customHeight="1"/>
    <row r="46520" ht="12" customHeight="1"/>
    <row r="46521" ht="12" customHeight="1"/>
    <row r="46522" ht="12" customHeight="1"/>
    <row r="46523" ht="12" customHeight="1"/>
    <row r="46524" ht="12" customHeight="1"/>
    <row r="46525" ht="12" customHeight="1"/>
    <row r="46526" ht="12" customHeight="1"/>
    <row r="46527" ht="12" customHeight="1"/>
    <row r="46528" ht="12" customHeight="1"/>
    <row r="46529" ht="12" customHeight="1"/>
    <row r="46530" ht="12" customHeight="1"/>
    <row r="46531" ht="12" customHeight="1"/>
    <row r="46532" ht="12" customHeight="1"/>
    <row r="46533" ht="12" customHeight="1"/>
    <row r="46534" ht="12" customHeight="1"/>
    <row r="46535" ht="12" customHeight="1"/>
    <row r="46536" ht="12" customHeight="1"/>
    <row r="46537" ht="12" customHeight="1"/>
    <row r="46538" ht="12" customHeight="1"/>
    <row r="46539" ht="12" customHeight="1"/>
    <row r="46540" ht="12" customHeight="1"/>
    <row r="46541" ht="12" customHeight="1"/>
    <row r="46542" ht="12" customHeight="1"/>
    <row r="46543" ht="12" customHeight="1"/>
    <row r="46544" ht="12" customHeight="1"/>
    <row r="46545" ht="12" customHeight="1"/>
    <row r="46546" ht="12" customHeight="1"/>
    <row r="46547" ht="12" customHeight="1"/>
    <row r="46548" ht="12" customHeight="1"/>
    <row r="46549" ht="12" customHeight="1"/>
    <row r="46550" ht="12" customHeight="1"/>
    <row r="46551" ht="12" customHeight="1"/>
    <row r="46552" ht="12" customHeight="1"/>
    <row r="46553" ht="12" customHeight="1"/>
    <row r="46554" ht="12" customHeight="1"/>
    <row r="46555" ht="12" customHeight="1"/>
    <row r="46556" ht="12" customHeight="1"/>
    <row r="46557" ht="12" customHeight="1"/>
    <row r="46558" ht="12" customHeight="1"/>
    <row r="46559" ht="12" customHeight="1"/>
    <row r="46560" ht="12" customHeight="1"/>
    <row r="46561" ht="12" customHeight="1"/>
    <row r="46562" ht="12" customHeight="1"/>
    <row r="46563" ht="12" customHeight="1"/>
    <row r="46564" ht="12" customHeight="1"/>
    <row r="46565" ht="12" customHeight="1"/>
    <row r="46566" ht="12" customHeight="1"/>
    <row r="46567" ht="12" customHeight="1"/>
    <row r="46568" ht="12" customHeight="1"/>
    <row r="46569" ht="12" customHeight="1"/>
    <row r="46570" ht="12" customHeight="1"/>
    <row r="46571" ht="12" customHeight="1"/>
    <row r="46572" ht="12" customHeight="1"/>
    <row r="46573" ht="12" customHeight="1"/>
    <row r="46574" ht="12" customHeight="1"/>
    <row r="46575" ht="12" customHeight="1"/>
    <row r="46576" ht="12" customHeight="1"/>
    <row r="46577" ht="12" customHeight="1"/>
    <row r="46578" ht="12" customHeight="1"/>
    <row r="46579" ht="12" customHeight="1"/>
    <row r="46580" ht="12" customHeight="1"/>
    <row r="46581" ht="12" customHeight="1"/>
    <row r="46582" ht="12" customHeight="1"/>
    <row r="46583" ht="12" customHeight="1"/>
    <row r="46584" ht="12" customHeight="1"/>
    <row r="46585" ht="12" customHeight="1"/>
    <row r="46586" ht="12" customHeight="1"/>
    <row r="46587" ht="12" customHeight="1"/>
    <row r="46588" ht="12" customHeight="1"/>
    <row r="46589" ht="12" customHeight="1"/>
    <row r="46590" ht="12" customHeight="1"/>
    <row r="46591" ht="12" customHeight="1"/>
    <row r="46592" ht="12" customHeight="1"/>
    <row r="46593" ht="12" customHeight="1"/>
    <row r="46594" ht="12" customHeight="1"/>
    <row r="46595" ht="12" customHeight="1"/>
    <row r="46596" ht="12" customHeight="1"/>
    <row r="46597" ht="12" customHeight="1"/>
    <row r="46598" ht="12" customHeight="1"/>
    <row r="46599" ht="12" customHeight="1"/>
    <row r="46600" ht="12" customHeight="1"/>
    <row r="46601" ht="12" customHeight="1"/>
    <row r="46602" ht="12" customHeight="1"/>
    <row r="46603" ht="12" customHeight="1"/>
    <row r="46604" ht="12" customHeight="1"/>
    <row r="46605" ht="12" customHeight="1"/>
    <row r="46606" ht="12" customHeight="1"/>
    <row r="46607" ht="12" customHeight="1"/>
    <row r="46608" ht="12" customHeight="1"/>
    <row r="46609" ht="12" customHeight="1"/>
    <row r="46610" ht="12" customHeight="1"/>
    <row r="46611" ht="12" customHeight="1"/>
    <row r="46612" ht="12" customHeight="1"/>
    <row r="46613" ht="12" customHeight="1"/>
    <row r="46614" ht="12" customHeight="1"/>
    <row r="46615" ht="12" customHeight="1"/>
    <row r="46616" ht="12" customHeight="1"/>
    <row r="46617" ht="12" customHeight="1"/>
    <row r="46618" ht="12" customHeight="1"/>
    <row r="46619" ht="12" customHeight="1"/>
    <row r="46620" ht="12" customHeight="1"/>
    <row r="46621" ht="12" customHeight="1"/>
    <row r="46622" ht="12" customHeight="1"/>
    <row r="46623" ht="12" customHeight="1"/>
    <row r="46624" ht="12" customHeight="1"/>
    <row r="46625" ht="12" customHeight="1"/>
    <row r="46626" ht="12" customHeight="1"/>
    <row r="46627" ht="12" customHeight="1"/>
    <row r="46628" ht="12" customHeight="1"/>
    <row r="46629" ht="12" customHeight="1"/>
    <row r="46630" ht="12" customHeight="1"/>
    <row r="46631" ht="12" customHeight="1"/>
    <row r="46632" ht="12" customHeight="1"/>
    <row r="46633" ht="12" customHeight="1"/>
    <row r="46634" ht="12" customHeight="1"/>
    <row r="46635" ht="12" customHeight="1"/>
    <row r="46636" ht="12" customHeight="1"/>
    <row r="46637" ht="12" customHeight="1"/>
    <row r="46638" ht="12" customHeight="1"/>
    <row r="46639" ht="12" customHeight="1"/>
    <row r="46640" ht="12" customHeight="1"/>
    <row r="46641" ht="12" customHeight="1"/>
    <row r="46642" ht="12" customHeight="1"/>
    <row r="46643" ht="12" customHeight="1"/>
    <row r="46644" ht="12" customHeight="1"/>
    <row r="46645" ht="12" customHeight="1"/>
    <row r="46646" ht="12" customHeight="1"/>
    <row r="46647" ht="12" customHeight="1"/>
    <row r="46648" ht="12" customHeight="1"/>
    <row r="46649" ht="12" customHeight="1"/>
    <row r="46650" ht="12" customHeight="1"/>
    <row r="46651" ht="12" customHeight="1"/>
    <row r="46652" ht="12" customHeight="1"/>
    <row r="46653" ht="12" customHeight="1"/>
    <row r="46654" ht="12" customHeight="1"/>
    <row r="46655" ht="12" customHeight="1"/>
    <row r="46656" ht="12" customHeight="1"/>
    <row r="46657" ht="12" customHeight="1"/>
    <row r="46658" ht="12" customHeight="1"/>
    <row r="46659" ht="12" customHeight="1"/>
    <row r="46660" ht="12" customHeight="1"/>
    <row r="46661" ht="12" customHeight="1"/>
    <row r="46662" ht="12" customHeight="1"/>
    <row r="46663" ht="12" customHeight="1"/>
    <row r="46664" ht="12" customHeight="1"/>
    <row r="46665" ht="12" customHeight="1"/>
    <row r="46666" ht="12" customHeight="1"/>
    <row r="46667" ht="12" customHeight="1"/>
    <row r="46668" ht="12" customHeight="1"/>
    <row r="46669" ht="12" customHeight="1"/>
    <row r="46670" ht="12" customHeight="1"/>
    <row r="46671" ht="12" customHeight="1"/>
    <row r="46672" ht="12" customHeight="1"/>
    <row r="46673" ht="12" customHeight="1"/>
    <row r="46674" ht="12" customHeight="1"/>
    <row r="46675" ht="12" customHeight="1"/>
    <row r="46676" ht="12" customHeight="1"/>
    <row r="46677" ht="12" customHeight="1"/>
    <row r="46678" ht="12" customHeight="1"/>
    <row r="46679" ht="12" customHeight="1"/>
    <row r="46680" ht="12" customHeight="1"/>
    <row r="46681" ht="12" customHeight="1"/>
    <row r="46682" ht="12" customHeight="1"/>
    <row r="46683" ht="12" customHeight="1"/>
    <row r="46684" ht="12" customHeight="1"/>
    <row r="46685" ht="12" customHeight="1"/>
    <row r="46686" ht="12" customHeight="1"/>
    <row r="46687" ht="12" customHeight="1"/>
    <row r="46688" ht="12" customHeight="1"/>
    <row r="46689" ht="12" customHeight="1"/>
    <row r="46690" ht="12" customHeight="1"/>
    <row r="46691" ht="12" customHeight="1"/>
    <row r="46692" ht="12" customHeight="1"/>
    <row r="46693" ht="12" customHeight="1"/>
    <row r="46694" ht="12" customHeight="1"/>
    <row r="46695" ht="12" customHeight="1"/>
    <row r="46696" ht="12" customHeight="1"/>
    <row r="46697" ht="12" customHeight="1"/>
    <row r="46698" ht="12" customHeight="1"/>
    <row r="46699" ht="12" customHeight="1"/>
    <row r="46700" ht="12" customHeight="1"/>
    <row r="46701" ht="12" customHeight="1"/>
    <row r="46702" ht="12" customHeight="1"/>
    <row r="46703" ht="12" customHeight="1"/>
    <row r="46704" ht="12" customHeight="1"/>
    <row r="46705" ht="12" customHeight="1"/>
    <row r="46706" ht="12" customHeight="1"/>
    <row r="46707" ht="12" customHeight="1"/>
    <row r="46708" ht="12" customHeight="1"/>
    <row r="46709" ht="12" customHeight="1"/>
    <row r="46710" ht="12" customHeight="1"/>
    <row r="46711" ht="12" customHeight="1"/>
    <row r="46712" ht="12" customHeight="1"/>
    <row r="46713" ht="12" customHeight="1"/>
    <row r="46714" ht="12" customHeight="1"/>
    <row r="46715" ht="12" customHeight="1"/>
    <row r="46716" ht="12" customHeight="1"/>
    <row r="46717" ht="12" customHeight="1"/>
    <row r="46718" ht="12" customHeight="1"/>
    <row r="46719" ht="12" customHeight="1"/>
    <row r="46720" ht="12" customHeight="1"/>
    <row r="46721" ht="12" customHeight="1"/>
    <row r="46722" ht="12" customHeight="1"/>
    <row r="46723" ht="12" customHeight="1"/>
    <row r="46724" ht="12" customHeight="1"/>
    <row r="46725" ht="12" customHeight="1"/>
    <row r="46726" ht="12" customHeight="1"/>
    <row r="46727" ht="12" customHeight="1"/>
    <row r="46728" ht="12" customHeight="1"/>
    <row r="46729" ht="12" customHeight="1"/>
    <row r="46730" ht="12" customHeight="1"/>
    <row r="46731" ht="12" customHeight="1"/>
    <row r="46732" ht="12" customHeight="1"/>
    <row r="46733" ht="12" customHeight="1"/>
    <row r="46734" ht="12" customHeight="1"/>
    <row r="46735" ht="12" customHeight="1"/>
    <row r="46736" ht="12" customHeight="1"/>
    <row r="46737" ht="12" customHeight="1"/>
    <row r="46738" ht="12" customHeight="1"/>
    <row r="46739" ht="12" customHeight="1"/>
    <row r="46740" ht="12" customHeight="1"/>
    <row r="46741" ht="12" customHeight="1"/>
    <row r="46742" ht="12" customHeight="1"/>
    <row r="46743" ht="12" customHeight="1"/>
    <row r="46744" ht="12" customHeight="1"/>
    <row r="46745" ht="12" customHeight="1"/>
    <row r="46746" ht="12" customHeight="1"/>
    <row r="46747" ht="12" customHeight="1"/>
    <row r="46748" ht="12" customHeight="1"/>
    <row r="46749" ht="12" customHeight="1"/>
    <row r="46750" ht="12" customHeight="1"/>
    <row r="46751" ht="12" customHeight="1"/>
    <row r="46752" ht="12" customHeight="1"/>
    <row r="46753" ht="12" customHeight="1"/>
    <row r="46754" ht="12" customHeight="1"/>
    <row r="46755" ht="12" customHeight="1"/>
    <row r="46756" ht="12" customHeight="1"/>
    <row r="46757" ht="12" customHeight="1"/>
    <row r="46758" ht="12" customHeight="1"/>
    <row r="46759" ht="12" customHeight="1"/>
    <row r="46760" ht="12" customHeight="1"/>
    <row r="46761" ht="12" customHeight="1"/>
    <row r="46762" ht="12" customHeight="1"/>
    <row r="46763" ht="12" customHeight="1"/>
    <row r="46764" ht="12" customHeight="1"/>
    <row r="46765" ht="12" customHeight="1"/>
    <row r="46766" ht="12" customHeight="1"/>
    <row r="46767" ht="12" customHeight="1"/>
    <row r="46768" ht="12" customHeight="1"/>
    <row r="46769" ht="12" customHeight="1"/>
    <row r="46770" ht="12" customHeight="1"/>
    <row r="46771" ht="12" customHeight="1"/>
    <row r="46772" ht="12" customHeight="1"/>
    <row r="46773" ht="12" customHeight="1"/>
    <row r="46774" ht="12" customHeight="1"/>
    <row r="46775" ht="12" customHeight="1"/>
    <row r="46776" ht="12" customHeight="1"/>
    <row r="46777" ht="12" customHeight="1"/>
    <row r="46778" ht="12" customHeight="1"/>
    <row r="46779" ht="12" customHeight="1"/>
    <row r="46780" ht="12" customHeight="1"/>
    <row r="46781" ht="12" customHeight="1"/>
    <row r="46782" ht="12" customHeight="1"/>
    <row r="46783" ht="12" customHeight="1"/>
    <row r="46784" ht="12" customHeight="1"/>
    <row r="46785" ht="12" customHeight="1"/>
    <row r="46786" ht="12" customHeight="1"/>
    <row r="46787" ht="12" customHeight="1"/>
    <row r="46788" ht="12" customHeight="1"/>
    <row r="46789" ht="12" customHeight="1"/>
    <row r="46790" ht="12" customHeight="1"/>
    <row r="46791" ht="12" customHeight="1"/>
    <row r="46792" ht="12" customHeight="1"/>
    <row r="46793" ht="12" customHeight="1"/>
    <row r="46794" ht="12" customHeight="1"/>
    <row r="46795" ht="12" customHeight="1"/>
    <row r="46796" ht="12" customHeight="1"/>
    <row r="46797" ht="12" customHeight="1"/>
    <row r="46798" ht="12" customHeight="1"/>
    <row r="46799" ht="12" customHeight="1"/>
    <row r="46800" ht="12" customHeight="1"/>
    <row r="46801" ht="12" customHeight="1"/>
    <row r="46802" ht="12" customHeight="1"/>
    <row r="46803" ht="12" customHeight="1"/>
    <row r="46804" ht="12" customHeight="1"/>
    <row r="46805" ht="12" customHeight="1"/>
    <row r="46806" ht="12" customHeight="1"/>
    <row r="46807" ht="12" customHeight="1"/>
    <row r="46808" ht="12" customHeight="1"/>
    <row r="46809" ht="12" customHeight="1"/>
    <row r="46810" ht="12" customHeight="1"/>
    <row r="46811" ht="12" customHeight="1"/>
    <row r="46812" ht="12" customHeight="1"/>
    <row r="46813" ht="12" customHeight="1"/>
    <row r="46814" ht="12" customHeight="1"/>
    <row r="46815" ht="12" customHeight="1"/>
    <row r="46816" ht="12" customHeight="1"/>
    <row r="46817" ht="12" customHeight="1"/>
    <row r="46818" ht="12" customHeight="1"/>
    <row r="46819" ht="12" customHeight="1"/>
    <row r="46820" ht="12" customHeight="1"/>
    <row r="46821" ht="12" customHeight="1"/>
    <row r="46822" ht="12" customHeight="1"/>
    <row r="46823" ht="12" customHeight="1"/>
    <row r="46824" ht="12" customHeight="1"/>
    <row r="46825" ht="12" customHeight="1"/>
    <row r="46826" ht="12" customHeight="1"/>
    <row r="46827" ht="12" customHeight="1"/>
    <row r="46828" ht="12" customHeight="1"/>
    <row r="46829" ht="12" customHeight="1"/>
    <row r="46830" ht="12" customHeight="1"/>
    <row r="46831" ht="12" customHeight="1"/>
    <row r="46832" ht="12" customHeight="1"/>
    <row r="46833" ht="12" customHeight="1"/>
    <row r="46834" ht="12" customHeight="1"/>
    <row r="46835" ht="12" customHeight="1"/>
    <row r="46836" ht="12" customHeight="1"/>
    <row r="46837" ht="12" customHeight="1"/>
    <row r="46838" ht="12" customHeight="1"/>
    <row r="46839" ht="12" customHeight="1"/>
    <row r="46840" ht="12" customHeight="1"/>
    <row r="46841" ht="12" customHeight="1"/>
    <row r="46842" ht="12" customHeight="1"/>
    <row r="46843" ht="12" customHeight="1"/>
    <row r="46844" ht="12" customHeight="1"/>
    <row r="46845" ht="12" customHeight="1"/>
    <row r="46846" ht="12" customHeight="1"/>
    <row r="46847" ht="12" customHeight="1"/>
    <row r="46848" ht="12" customHeight="1"/>
    <row r="46849" ht="12" customHeight="1"/>
    <row r="46850" ht="12" customHeight="1"/>
    <row r="46851" ht="12" customHeight="1"/>
    <row r="46852" ht="12" customHeight="1"/>
    <row r="46853" ht="12" customHeight="1"/>
    <row r="46854" ht="12" customHeight="1"/>
    <row r="46855" ht="12" customHeight="1"/>
    <row r="46856" ht="12" customHeight="1"/>
    <row r="46857" ht="12" customHeight="1"/>
    <row r="46858" ht="12" customHeight="1"/>
    <row r="46859" ht="12" customHeight="1"/>
    <row r="46860" ht="12" customHeight="1"/>
    <row r="46861" ht="12" customHeight="1"/>
    <row r="46862" ht="12" customHeight="1"/>
    <row r="46863" ht="12" customHeight="1"/>
    <row r="46864" ht="12" customHeight="1"/>
    <row r="46865" ht="12" customHeight="1"/>
    <row r="46866" ht="12" customHeight="1"/>
    <row r="46867" ht="12" customHeight="1"/>
    <row r="46868" ht="12" customHeight="1"/>
    <row r="46869" ht="12" customHeight="1"/>
    <row r="46870" ht="12" customHeight="1"/>
    <row r="46871" ht="12" customHeight="1"/>
    <row r="46872" ht="12" customHeight="1"/>
    <row r="46873" ht="12" customHeight="1"/>
    <row r="46874" ht="12" customHeight="1"/>
    <row r="46875" ht="12" customHeight="1"/>
    <row r="46876" ht="12" customHeight="1"/>
    <row r="46877" ht="12" customHeight="1"/>
    <row r="46878" ht="12" customHeight="1"/>
    <row r="46879" ht="12" customHeight="1"/>
    <row r="46880" ht="12" customHeight="1"/>
    <row r="46881" ht="12" customHeight="1"/>
    <row r="46882" ht="12" customHeight="1"/>
    <row r="46883" ht="12" customHeight="1"/>
    <row r="46884" ht="12" customHeight="1"/>
    <row r="46885" ht="12" customHeight="1"/>
    <row r="46886" ht="12" customHeight="1"/>
    <row r="46887" ht="12" customHeight="1"/>
    <row r="46888" ht="12" customHeight="1"/>
    <row r="46889" ht="12" customHeight="1"/>
    <row r="46890" ht="12" customHeight="1"/>
    <row r="46891" ht="12" customHeight="1"/>
    <row r="46892" ht="12" customHeight="1"/>
    <row r="46893" ht="12" customHeight="1"/>
    <row r="46894" ht="12" customHeight="1"/>
    <row r="46895" ht="12" customHeight="1"/>
    <row r="46896" ht="12" customHeight="1"/>
    <row r="46897" ht="12" customHeight="1"/>
    <row r="46898" ht="12" customHeight="1"/>
    <row r="46899" ht="12" customHeight="1"/>
    <row r="46900" ht="12" customHeight="1"/>
    <row r="46901" ht="12" customHeight="1"/>
    <row r="46902" ht="12" customHeight="1"/>
    <row r="46903" ht="12" customHeight="1"/>
    <row r="46904" ht="12" customHeight="1"/>
    <row r="46905" ht="12" customHeight="1"/>
    <row r="46906" ht="12" customHeight="1"/>
    <row r="46907" ht="12" customHeight="1"/>
    <row r="46908" ht="12" customHeight="1"/>
    <row r="46909" ht="12" customHeight="1"/>
    <row r="46910" ht="12" customHeight="1"/>
    <row r="46911" ht="12" customHeight="1"/>
    <row r="46912" ht="12" customHeight="1"/>
    <row r="46913" ht="12" customHeight="1"/>
    <row r="46914" ht="12" customHeight="1"/>
    <row r="46915" ht="12" customHeight="1"/>
    <row r="46916" ht="12" customHeight="1"/>
    <row r="46917" ht="12" customHeight="1"/>
    <row r="46918" ht="12" customHeight="1"/>
    <row r="46919" ht="12" customHeight="1"/>
    <row r="46920" ht="12" customHeight="1"/>
    <row r="46921" ht="12" customHeight="1"/>
    <row r="46922" ht="12" customHeight="1"/>
    <row r="46923" ht="12" customHeight="1"/>
    <row r="46924" ht="12" customHeight="1"/>
    <row r="46925" ht="12" customHeight="1"/>
    <row r="46926" ht="12" customHeight="1"/>
    <row r="46927" ht="12" customHeight="1"/>
    <row r="46928" ht="12" customHeight="1"/>
    <row r="46929" ht="12" customHeight="1"/>
    <row r="46930" ht="12" customHeight="1"/>
    <row r="46931" ht="12" customHeight="1"/>
    <row r="46932" ht="12" customHeight="1"/>
    <row r="46933" ht="12" customHeight="1"/>
    <row r="46934" ht="12" customHeight="1"/>
    <row r="46935" ht="12" customHeight="1"/>
    <row r="46936" ht="12" customHeight="1"/>
    <row r="46937" ht="12" customHeight="1"/>
    <row r="46938" ht="12" customHeight="1"/>
    <row r="46939" ht="12" customHeight="1"/>
    <row r="46940" ht="12" customHeight="1"/>
    <row r="46941" ht="12" customHeight="1"/>
    <row r="46942" ht="12" customHeight="1"/>
    <row r="46943" ht="12" customHeight="1"/>
    <row r="46944" ht="12" customHeight="1"/>
    <row r="46945" ht="12" customHeight="1"/>
    <row r="46946" ht="12" customHeight="1"/>
    <row r="46947" ht="12" customHeight="1"/>
    <row r="46948" ht="12" customHeight="1"/>
    <row r="46949" ht="12" customHeight="1"/>
    <row r="46950" ht="12" customHeight="1"/>
    <row r="46951" ht="12" customHeight="1"/>
    <row r="46952" ht="12" customHeight="1"/>
    <row r="46953" ht="12" customHeight="1"/>
    <row r="46954" ht="12" customHeight="1"/>
    <row r="46955" ht="12" customHeight="1"/>
    <row r="46956" ht="12" customHeight="1"/>
    <row r="46957" ht="12" customHeight="1"/>
    <row r="46958" ht="12" customHeight="1"/>
    <row r="46959" ht="12" customHeight="1"/>
    <row r="46960" ht="12" customHeight="1"/>
    <row r="46961" ht="12" customHeight="1"/>
    <row r="46962" ht="12" customHeight="1"/>
    <row r="46963" ht="12" customHeight="1"/>
    <row r="46964" ht="12" customHeight="1"/>
    <row r="46965" ht="12" customHeight="1"/>
    <row r="46966" ht="12" customHeight="1"/>
    <row r="46967" ht="12" customHeight="1"/>
    <row r="46968" ht="12" customHeight="1"/>
    <row r="46969" ht="12" customHeight="1"/>
    <row r="46970" ht="12" customHeight="1"/>
    <row r="46971" ht="12" customHeight="1"/>
    <row r="46972" ht="12" customHeight="1"/>
    <row r="46973" ht="12" customHeight="1"/>
    <row r="46974" ht="12" customHeight="1"/>
    <row r="46975" ht="12" customHeight="1"/>
    <row r="46976" ht="12" customHeight="1"/>
    <row r="46977" ht="12" customHeight="1"/>
    <row r="46978" ht="12" customHeight="1"/>
    <row r="46979" ht="12" customHeight="1"/>
    <row r="46980" ht="12" customHeight="1"/>
    <row r="46981" ht="12" customHeight="1"/>
    <row r="46982" ht="12" customHeight="1"/>
    <row r="46983" ht="12" customHeight="1"/>
    <row r="46984" ht="12" customHeight="1"/>
    <row r="46985" ht="12" customHeight="1"/>
    <row r="46986" ht="12" customHeight="1"/>
    <row r="46987" ht="12" customHeight="1"/>
    <row r="46988" ht="12" customHeight="1"/>
    <row r="46989" ht="12" customHeight="1"/>
    <row r="46990" ht="12" customHeight="1"/>
    <row r="46991" ht="12" customHeight="1"/>
    <row r="46992" ht="12" customHeight="1"/>
    <row r="46993" ht="12" customHeight="1"/>
    <row r="46994" ht="12" customHeight="1"/>
    <row r="46995" ht="12" customHeight="1"/>
    <row r="46996" ht="12" customHeight="1"/>
    <row r="46997" ht="12" customHeight="1"/>
    <row r="46998" ht="12" customHeight="1"/>
    <row r="46999" ht="12" customHeight="1"/>
    <row r="47000" ht="12" customHeight="1"/>
    <row r="47001" ht="12" customHeight="1"/>
    <row r="47002" ht="12" customHeight="1"/>
    <row r="47003" ht="12" customHeight="1"/>
    <row r="47004" ht="12" customHeight="1"/>
    <row r="47005" ht="12" customHeight="1"/>
    <row r="47006" ht="12" customHeight="1"/>
    <row r="47007" ht="12" customHeight="1"/>
    <row r="47008" ht="12" customHeight="1"/>
    <row r="47009" ht="12" customHeight="1"/>
    <row r="47010" ht="12" customHeight="1"/>
    <row r="47011" ht="12" customHeight="1"/>
    <row r="47012" ht="12" customHeight="1"/>
    <row r="47013" ht="12" customHeight="1"/>
    <row r="47014" ht="12" customHeight="1"/>
    <row r="47015" ht="12" customHeight="1"/>
    <row r="47016" ht="12" customHeight="1"/>
    <row r="47017" ht="12" customHeight="1"/>
    <row r="47018" ht="12" customHeight="1"/>
    <row r="47019" ht="12" customHeight="1"/>
    <row r="47020" ht="12" customHeight="1"/>
    <row r="47021" ht="12" customHeight="1"/>
    <row r="47022" ht="12" customHeight="1"/>
    <row r="47023" ht="12" customHeight="1"/>
    <row r="47024" ht="12" customHeight="1"/>
    <row r="47025" ht="12" customHeight="1"/>
    <row r="47026" ht="12" customHeight="1"/>
    <row r="47027" ht="12" customHeight="1"/>
    <row r="47028" ht="12" customHeight="1"/>
    <row r="47029" ht="12" customHeight="1"/>
    <row r="47030" ht="12" customHeight="1"/>
    <row r="47031" ht="12" customHeight="1"/>
    <row r="47032" ht="12" customHeight="1"/>
    <row r="47033" ht="12" customHeight="1"/>
    <row r="47034" ht="12" customHeight="1"/>
    <row r="47035" ht="12" customHeight="1"/>
    <row r="47036" ht="12" customHeight="1"/>
    <row r="47037" ht="12" customHeight="1"/>
    <row r="47038" ht="12" customHeight="1"/>
    <row r="47039" ht="12" customHeight="1"/>
    <row r="47040" ht="12" customHeight="1"/>
    <row r="47041" ht="12" customHeight="1"/>
    <row r="47042" ht="12" customHeight="1"/>
    <row r="47043" ht="12" customHeight="1"/>
    <row r="47044" ht="12" customHeight="1"/>
    <row r="47045" ht="12" customHeight="1"/>
    <row r="47046" ht="12" customHeight="1"/>
    <row r="47047" ht="12" customHeight="1"/>
    <row r="47048" ht="12" customHeight="1"/>
    <row r="47049" ht="12" customHeight="1"/>
    <row r="47050" ht="12" customHeight="1"/>
    <row r="47051" ht="12" customHeight="1"/>
    <row r="47052" ht="12" customHeight="1"/>
    <row r="47053" ht="12" customHeight="1"/>
    <row r="47054" ht="12" customHeight="1"/>
    <row r="47055" ht="12" customHeight="1"/>
    <row r="47056" ht="12" customHeight="1"/>
    <row r="47057" ht="12" customHeight="1"/>
    <row r="47058" ht="12" customHeight="1"/>
    <row r="47059" ht="12" customHeight="1"/>
    <row r="47060" ht="12" customHeight="1"/>
    <row r="47061" ht="12" customHeight="1"/>
    <row r="47062" ht="12" customHeight="1"/>
    <row r="47063" ht="12" customHeight="1"/>
    <row r="47064" ht="12" customHeight="1"/>
    <row r="47065" ht="12" customHeight="1"/>
    <row r="47066" ht="12" customHeight="1"/>
    <row r="47067" ht="12" customHeight="1"/>
    <row r="47068" ht="12" customHeight="1"/>
    <row r="47069" ht="12" customHeight="1"/>
    <row r="47070" ht="12" customHeight="1"/>
    <row r="47071" ht="12" customHeight="1"/>
    <row r="47072" ht="12" customHeight="1"/>
    <row r="47073" ht="12" customHeight="1"/>
    <row r="47074" ht="12" customHeight="1"/>
    <row r="47075" ht="12" customHeight="1"/>
    <row r="47076" ht="12" customHeight="1"/>
    <row r="47077" ht="12" customHeight="1"/>
    <row r="47078" ht="12" customHeight="1"/>
    <row r="47079" ht="12" customHeight="1"/>
    <row r="47080" ht="12" customHeight="1"/>
    <row r="47081" ht="12" customHeight="1"/>
    <row r="47082" ht="12" customHeight="1"/>
    <row r="47083" ht="12" customHeight="1"/>
    <row r="47084" ht="12" customHeight="1"/>
    <row r="47085" ht="12" customHeight="1"/>
    <row r="47086" ht="12" customHeight="1"/>
    <row r="47087" ht="12" customHeight="1"/>
    <row r="47088" ht="12" customHeight="1"/>
    <row r="47089" ht="12" customHeight="1"/>
    <row r="47090" ht="12" customHeight="1"/>
    <row r="47091" ht="12" customHeight="1"/>
    <row r="47092" ht="12" customHeight="1"/>
    <row r="47093" ht="12" customHeight="1"/>
    <row r="47094" ht="12" customHeight="1"/>
    <row r="47095" ht="12" customHeight="1"/>
    <row r="47096" ht="12" customHeight="1"/>
    <row r="47097" ht="12" customHeight="1"/>
    <row r="47098" ht="12" customHeight="1"/>
    <row r="47099" ht="12" customHeight="1"/>
    <row r="47100" ht="12" customHeight="1"/>
    <row r="47101" ht="12" customHeight="1"/>
    <row r="47102" ht="12" customHeight="1"/>
    <row r="47103" ht="12" customHeight="1"/>
    <row r="47104" ht="12" customHeight="1"/>
    <row r="47105" ht="12" customHeight="1"/>
    <row r="47106" ht="12" customHeight="1"/>
    <row r="47107" ht="12" customHeight="1"/>
    <row r="47108" ht="12" customHeight="1"/>
    <row r="47109" ht="12" customHeight="1"/>
    <row r="47110" ht="12" customHeight="1"/>
    <row r="47111" ht="12" customHeight="1"/>
    <row r="47112" ht="12" customHeight="1"/>
    <row r="47113" ht="12" customHeight="1"/>
    <row r="47114" ht="12" customHeight="1"/>
    <row r="47115" ht="12" customHeight="1"/>
    <row r="47116" ht="12" customHeight="1"/>
    <row r="47117" ht="12" customHeight="1"/>
    <row r="47118" ht="12" customHeight="1"/>
    <row r="47119" ht="12" customHeight="1"/>
    <row r="47120" ht="12" customHeight="1"/>
    <row r="47121" ht="12" customHeight="1"/>
    <row r="47122" ht="12" customHeight="1"/>
    <row r="47123" ht="12" customHeight="1"/>
    <row r="47124" ht="12" customHeight="1"/>
    <row r="47125" ht="12" customHeight="1"/>
    <row r="47126" ht="12" customHeight="1"/>
    <row r="47127" ht="12" customHeight="1"/>
    <row r="47128" ht="12" customHeight="1"/>
    <row r="47129" ht="12" customHeight="1"/>
    <row r="47130" ht="12" customHeight="1"/>
    <row r="47131" ht="12" customHeight="1"/>
    <row r="47132" ht="12" customHeight="1"/>
    <row r="47133" ht="12" customHeight="1"/>
    <row r="47134" ht="12" customHeight="1"/>
    <row r="47135" ht="12" customHeight="1"/>
    <row r="47136" ht="12" customHeight="1"/>
    <row r="47137" ht="12" customHeight="1"/>
    <row r="47138" ht="12" customHeight="1"/>
    <row r="47139" ht="12" customHeight="1"/>
    <row r="47140" ht="12" customHeight="1"/>
    <row r="47141" ht="12" customHeight="1"/>
    <row r="47142" ht="12" customHeight="1"/>
    <row r="47143" ht="12" customHeight="1"/>
    <row r="47144" ht="12" customHeight="1"/>
    <row r="47145" ht="12" customHeight="1"/>
    <row r="47146" ht="12" customHeight="1"/>
    <row r="47147" ht="12" customHeight="1"/>
    <row r="47148" ht="12" customHeight="1"/>
    <row r="47149" ht="12" customHeight="1"/>
    <row r="47150" ht="12" customHeight="1"/>
    <row r="47151" ht="12" customHeight="1"/>
    <row r="47152" ht="12" customHeight="1"/>
    <row r="47153" ht="12" customHeight="1"/>
    <row r="47154" ht="12" customHeight="1"/>
    <row r="47155" ht="12" customHeight="1"/>
    <row r="47156" ht="12" customHeight="1"/>
    <row r="47157" ht="12" customHeight="1"/>
    <row r="47158" ht="12" customHeight="1"/>
    <row r="47159" ht="12" customHeight="1"/>
    <row r="47160" ht="12" customHeight="1"/>
    <row r="47161" ht="12" customHeight="1"/>
    <row r="47162" ht="12" customHeight="1"/>
    <row r="47163" ht="12" customHeight="1"/>
    <row r="47164" ht="12" customHeight="1"/>
    <row r="47165" ht="12" customHeight="1"/>
    <row r="47166" ht="12" customHeight="1"/>
    <row r="47167" ht="12" customHeight="1"/>
    <row r="47168" ht="12" customHeight="1"/>
    <row r="47169" ht="12" customHeight="1"/>
    <row r="47170" ht="12" customHeight="1"/>
    <row r="47171" ht="12" customHeight="1"/>
    <row r="47172" ht="12" customHeight="1"/>
    <row r="47173" ht="12" customHeight="1"/>
    <row r="47174" ht="12" customHeight="1"/>
    <row r="47175" ht="12" customHeight="1"/>
    <row r="47176" ht="12" customHeight="1"/>
    <row r="47177" ht="12" customHeight="1"/>
    <row r="47178" ht="12" customHeight="1"/>
    <row r="47179" ht="12" customHeight="1"/>
    <row r="47180" ht="12" customHeight="1"/>
    <row r="47181" ht="12" customHeight="1"/>
    <row r="47182" ht="12" customHeight="1"/>
    <row r="47183" ht="12" customHeight="1"/>
    <row r="47184" ht="12" customHeight="1"/>
    <row r="47185" ht="12" customHeight="1"/>
    <row r="47186" ht="12" customHeight="1"/>
    <row r="47187" ht="12" customHeight="1"/>
    <row r="47188" ht="12" customHeight="1"/>
    <row r="47189" ht="12" customHeight="1"/>
    <row r="47190" ht="12" customHeight="1"/>
    <row r="47191" ht="12" customHeight="1"/>
    <row r="47192" ht="12" customHeight="1"/>
    <row r="47193" ht="12" customHeight="1"/>
    <row r="47194" ht="12" customHeight="1"/>
    <row r="47195" ht="12" customHeight="1"/>
    <row r="47196" ht="12" customHeight="1"/>
    <row r="47197" ht="12" customHeight="1"/>
    <row r="47198" ht="12" customHeight="1"/>
    <row r="47199" ht="12" customHeight="1"/>
    <row r="47200" ht="12" customHeight="1"/>
    <row r="47201" ht="12" customHeight="1"/>
    <row r="47202" ht="12" customHeight="1"/>
    <row r="47203" ht="12" customHeight="1"/>
    <row r="47204" ht="12" customHeight="1"/>
    <row r="47205" ht="12" customHeight="1"/>
    <row r="47206" ht="12" customHeight="1"/>
    <row r="47207" ht="12" customHeight="1"/>
    <row r="47208" ht="12" customHeight="1"/>
    <row r="47209" ht="12" customHeight="1"/>
    <row r="47210" ht="12" customHeight="1"/>
    <row r="47211" ht="12" customHeight="1"/>
    <row r="47212" ht="12" customHeight="1"/>
    <row r="47213" ht="12" customHeight="1"/>
    <row r="47214" ht="12" customHeight="1"/>
    <row r="47215" ht="12" customHeight="1"/>
    <row r="47216" ht="12" customHeight="1"/>
    <row r="47217" ht="12" customHeight="1"/>
    <row r="47218" ht="12" customHeight="1"/>
    <row r="47219" ht="12" customHeight="1"/>
    <row r="47220" ht="12" customHeight="1"/>
    <row r="47221" ht="12" customHeight="1"/>
    <row r="47222" ht="12" customHeight="1"/>
    <row r="47223" ht="12" customHeight="1"/>
    <row r="47224" ht="12" customHeight="1"/>
    <row r="47225" ht="12" customHeight="1"/>
    <row r="47226" ht="12" customHeight="1"/>
    <row r="47227" ht="12" customHeight="1"/>
    <row r="47228" ht="12" customHeight="1"/>
    <row r="47229" ht="12" customHeight="1"/>
    <row r="47230" ht="12" customHeight="1"/>
    <row r="47231" ht="12" customHeight="1"/>
    <row r="47232" ht="12" customHeight="1"/>
    <row r="47233" ht="12" customHeight="1"/>
    <row r="47234" ht="12" customHeight="1"/>
    <row r="47235" ht="12" customHeight="1"/>
    <row r="47236" ht="12" customHeight="1"/>
    <row r="47237" ht="12" customHeight="1"/>
    <row r="47238" ht="12" customHeight="1"/>
    <row r="47239" ht="12" customHeight="1"/>
    <row r="47240" ht="12" customHeight="1"/>
    <row r="47241" ht="12" customHeight="1"/>
    <row r="47242" ht="12" customHeight="1"/>
    <row r="47243" ht="12" customHeight="1"/>
    <row r="47244" ht="12" customHeight="1"/>
    <row r="47245" ht="12" customHeight="1"/>
    <row r="47246" ht="12" customHeight="1"/>
    <row r="47247" ht="12" customHeight="1"/>
    <row r="47248" ht="12" customHeight="1"/>
    <row r="47249" ht="12" customHeight="1"/>
    <row r="47250" ht="12" customHeight="1"/>
    <row r="47251" ht="12" customHeight="1"/>
    <row r="47252" ht="12" customHeight="1"/>
    <row r="47253" ht="12" customHeight="1"/>
    <row r="47254" ht="12" customHeight="1"/>
    <row r="47255" ht="12" customHeight="1"/>
    <row r="47256" ht="12" customHeight="1"/>
    <row r="47257" ht="12" customHeight="1"/>
    <row r="47258" ht="12" customHeight="1"/>
    <row r="47259" ht="12" customHeight="1"/>
    <row r="47260" ht="12" customHeight="1"/>
    <row r="47261" ht="12" customHeight="1"/>
    <row r="47262" ht="12" customHeight="1"/>
    <row r="47263" ht="12" customHeight="1"/>
    <row r="47264" ht="12" customHeight="1"/>
    <row r="47265" ht="12" customHeight="1"/>
    <row r="47266" ht="12" customHeight="1"/>
    <row r="47267" ht="12" customHeight="1"/>
    <row r="47268" ht="12" customHeight="1"/>
    <row r="47269" ht="12" customHeight="1"/>
    <row r="47270" ht="12" customHeight="1"/>
    <row r="47271" ht="12" customHeight="1"/>
    <row r="47272" ht="12" customHeight="1"/>
    <row r="47273" ht="12" customHeight="1"/>
    <row r="47274" ht="12" customHeight="1"/>
    <row r="47275" ht="12" customHeight="1"/>
    <row r="47276" ht="12" customHeight="1"/>
    <row r="47277" ht="12" customHeight="1"/>
    <row r="47278" ht="12" customHeight="1"/>
    <row r="47279" ht="12" customHeight="1"/>
    <row r="47280" ht="12" customHeight="1"/>
    <row r="47281" ht="12" customHeight="1"/>
    <row r="47282" ht="12" customHeight="1"/>
    <row r="47283" ht="12" customHeight="1"/>
    <row r="47284" ht="12" customHeight="1"/>
    <row r="47285" ht="12" customHeight="1"/>
    <row r="47286" ht="12" customHeight="1"/>
    <row r="47287" ht="12" customHeight="1"/>
    <row r="47288" ht="12" customHeight="1"/>
    <row r="47289" ht="12" customHeight="1"/>
    <row r="47290" ht="12" customHeight="1"/>
    <row r="47291" ht="12" customHeight="1"/>
    <row r="47292" ht="12" customHeight="1"/>
    <row r="47293" ht="12" customHeight="1"/>
    <row r="47294" ht="12" customHeight="1"/>
    <row r="47295" ht="12" customHeight="1"/>
    <row r="47296" ht="12" customHeight="1"/>
    <row r="47297" ht="12" customHeight="1"/>
    <row r="47298" ht="12" customHeight="1"/>
    <row r="47299" ht="12" customHeight="1"/>
    <row r="47300" ht="12" customHeight="1"/>
    <row r="47301" ht="12" customHeight="1"/>
    <row r="47302" ht="12" customHeight="1"/>
    <row r="47303" ht="12" customHeight="1"/>
    <row r="47304" ht="12" customHeight="1"/>
    <row r="47305" ht="12" customHeight="1"/>
    <row r="47306" ht="12" customHeight="1"/>
    <row r="47307" ht="12" customHeight="1"/>
    <row r="47308" ht="12" customHeight="1"/>
    <row r="47309" ht="12" customHeight="1"/>
    <row r="47310" ht="12" customHeight="1"/>
    <row r="47311" ht="12" customHeight="1"/>
    <row r="47312" ht="12" customHeight="1"/>
    <row r="47313" ht="12" customHeight="1"/>
    <row r="47314" ht="12" customHeight="1"/>
    <row r="47315" ht="12" customHeight="1"/>
    <row r="47316" ht="12" customHeight="1"/>
    <row r="47317" ht="12" customHeight="1"/>
    <row r="47318" ht="12" customHeight="1"/>
    <row r="47319" ht="12" customHeight="1"/>
    <row r="47320" ht="12" customHeight="1"/>
    <row r="47321" ht="12" customHeight="1"/>
    <row r="47322" ht="12" customHeight="1"/>
    <row r="47323" ht="12" customHeight="1"/>
    <row r="47324" ht="12" customHeight="1"/>
    <row r="47325" ht="12" customHeight="1"/>
    <row r="47326" ht="12" customHeight="1"/>
    <row r="47327" ht="12" customHeight="1"/>
    <row r="47328" ht="12" customHeight="1"/>
    <row r="47329" ht="12" customHeight="1"/>
    <row r="47330" ht="12" customHeight="1"/>
    <row r="47331" ht="12" customHeight="1"/>
    <row r="47332" ht="12" customHeight="1"/>
    <row r="47333" ht="12" customHeight="1"/>
    <row r="47334" ht="12" customHeight="1"/>
    <row r="47335" ht="12" customHeight="1"/>
    <row r="47336" ht="12" customHeight="1"/>
    <row r="47337" ht="12" customHeight="1"/>
    <row r="47338" ht="12" customHeight="1"/>
    <row r="47339" ht="12" customHeight="1"/>
    <row r="47340" ht="12" customHeight="1"/>
    <row r="47341" ht="12" customHeight="1"/>
    <row r="47342" ht="12" customHeight="1"/>
    <row r="47343" ht="12" customHeight="1"/>
    <row r="47344" ht="12" customHeight="1"/>
    <row r="47345" ht="12" customHeight="1"/>
    <row r="47346" ht="12" customHeight="1"/>
    <row r="47347" ht="12" customHeight="1"/>
    <row r="47348" ht="12" customHeight="1"/>
    <row r="47349" ht="12" customHeight="1"/>
    <row r="47350" ht="12" customHeight="1"/>
    <row r="47351" ht="12" customHeight="1"/>
    <row r="47352" ht="12" customHeight="1"/>
    <row r="47353" ht="12" customHeight="1"/>
    <row r="47354" ht="12" customHeight="1"/>
    <row r="47355" ht="12" customHeight="1"/>
    <row r="47356" ht="12" customHeight="1"/>
    <row r="47357" ht="12" customHeight="1"/>
    <row r="47358" ht="12" customHeight="1"/>
    <row r="47359" ht="12" customHeight="1"/>
    <row r="47360" ht="12" customHeight="1"/>
    <row r="47361" ht="12" customHeight="1"/>
    <row r="47362" ht="12" customHeight="1"/>
    <row r="47363" ht="12" customHeight="1"/>
    <row r="47364" ht="12" customHeight="1"/>
    <row r="47365" ht="12" customHeight="1"/>
    <row r="47366" ht="12" customHeight="1"/>
    <row r="47367" ht="12" customHeight="1"/>
    <row r="47368" ht="12" customHeight="1"/>
    <row r="47369" ht="12" customHeight="1"/>
    <row r="47370" ht="12" customHeight="1"/>
    <row r="47371" ht="12" customHeight="1"/>
    <row r="47372" ht="12" customHeight="1"/>
    <row r="47373" ht="12" customHeight="1"/>
    <row r="47374" ht="12" customHeight="1"/>
    <row r="47375" ht="12" customHeight="1"/>
    <row r="47376" ht="12" customHeight="1"/>
    <row r="47377" ht="12" customHeight="1"/>
    <row r="47378" ht="12" customHeight="1"/>
    <row r="47379" ht="12" customHeight="1"/>
    <row r="47380" ht="12" customHeight="1"/>
    <row r="47381" ht="12" customHeight="1"/>
    <row r="47382" ht="12" customHeight="1"/>
    <row r="47383" ht="12" customHeight="1"/>
    <row r="47384" ht="12" customHeight="1"/>
    <row r="47385" ht="12" customHeight="1"/>
    <row r="47386" ht="12" customHeight="1"/>
    <row r="47387" ht="12" customHeight="1"/>
    <row r="47388" ht="12" customHeight="1"/>
    <row r="47389" ht="12" customHeight="1"/>
    <row r="47390" ht="12" customHeight="1"/>
    <row r="47391" ht="12" customHeight="1"/>
    <row r="47392" ht="12" customHeight="1"/>
    <row r="47393" ht="12" customHeight="1"/>
    <row r="47394" ht="12" customHeight="1"/>
    <row r="47395" ht="12" customHeight="1"/>
    <row r="47396" ht="12" customHeight="1"/>
    <row r="47397" ht="12" customHeight="1"/>
    <row r="47398" ht="12" customHeight="1"/>
    <row r="47399" ht="12" customHeight="1"/>
    <row r="47400" ht="12" customHeight="1"/>
    <row r="47401" ht="12" customHeight="1"/>
    <row r="47402" ht="12" customHeight="1"/>
    <row r="47403" ht="12" customHeight="1"/>
    <row r="47404" ht="12" customHeight="1"/>
    <row r="47405" ht="12" customHeight="1"/>
    <row r="47406" ht="12" customHeight="1"/>
    <row r="47407" ht="12" customHeight="1"/>
    <row r="47408" ht="12" customHeight="1"/>
    <row r="47409" ht="12" customHeight="1"/>
    <row r="47410" ht="12" customHeight="1"/>
    <row r="47411" ht="12" customHeight="1"/>
    <row r="47412" ht="12" customHeight="1"/>
    <row r="47413" ht="12" customHeight="1"/>
    <row r="47414" ht="12" customHeight="1"/>
    <row r="47415" ht="12" customHeight="1"/>
    <row r="47416" ht="12" customHeight="1"/>
    <row r="47417" ht="12" customHeight="1"/>
    <row r="47418" ht="12" customHeight="1"/>
    <row r="47419" ht="12" customHeight="1"/>
    <row r="47420" ht="12" customHeight="1"/>
    <row r="47421" ht="12" customHeight="1"/>
    <row r="47422" ht="12" customHeight="1"/>
    <row r="47423" ht="12" customHeight="1"/>
    <row r="47424" ht="12" customHeight="1"/>
    <row r="47425" ht="12" customHeight="1"/>
    <row r="47426" ht="12" customHeight="1"/>
    <row r="47427" ht="12" customHeight="1"/>
    <row r="47428" ht="12" customHeight="1"/>
    <row r="47429" ht="12" customHeight="1"/>
    <row r="47430" ht="12" customHeight="1"/>
    <row r="47431" ht="12" customHeight="1"/>
    <row r="47432" ht="12" customHeight="1"/>
    <row r="47433" ht="12" customHeight="1"/>
    <row r="47434" ht="12" customHeight="1"/>
    <row r="47435" ht="12" customHeight="1"/>
    <row r="47436" ht="12" customHeight="1"/>
    <row r="47437" ht="12" customHeight="1"/>
    <row r="47438" ht="12" customHeight="1"/>
    <row r="47439" ht="12" customHeight="1"/>
    <row r="47440" ht="12" customHeight="1"/>
    <row r="47441" ht="12" customHeight="1"/>
    <row r="47442" ht="12" customHeight="1"/>
    <row r="47443" ht="12" customHeight="1"/>
    <row r="47444" ht="12" customHeight="1"/>
    <row r="47445" ht="12" customHeight="1"/>
    <row r="47446" ht="12" customHeight="1"/>
    <row r="47447" ht="12" customHeight="1"/>
    <row r="47448" ht="12" customHeight="1"/>
    <row r="47449" ht="12" customHeight="1"/>
    <row r="47450" ht="12" customHeight="1"/>
    <row r="47451" ht="12" customHeight="1"/>
    <row r="47452" ht="12" customHeight="1"/>
    <row r="47453" ht="12" customHeight="1"/>
    <row r="47454" ht="12" customHeight="1"/>
    <row r="47455" ht="12" customHeight="1"/>
    <row r="47456" ht="12" customHeight="1"/>
    <row r="47457" ht="12" customHeight="1"/>
    <row r="47458" ht="12" customHeight="1"/>
    <row r="47459" ht="12" customHeight="1"/>
    <row r="47460" ht="12" customHeight="1"/>
    <row r="47461" ht="12" customHeight="1"/>
    <row r="47462" ht="12" customHeight="1"/>
    <row r="47463" ht="12" customHeight="1"/>
    <row r="47464" ht="12" customHeight="1"/>
    <row r="47465" ht="12" customHeight="1"/>
    <row r="47466" ht="12" customHeight="1"/>
    <row r="47467" ht="12" customHeight="1"/>
    <row r="47468" ht="12" customHeight="1"/>
    <row r="47469" ht="12" customHeight="1"/>
    <row r="47470" ht="12" customHeight="1"/>
    <row r="47471" ht="12" customHeight="1"/>
    <row r="47472" ht="12" customHeight="1"/>
    <row r="47473" ht="12" customHeight="1"/>
    <row r="47474" ht="12" customHeight="1"/>
    <row r="47475" ht="12" customHeight="1"/>
    <row r="47476" ht="12" customHeight="1"/>
    <row r="47477" ht="12" customHeight="1"/>
    <row r="47478" ht="12" customHeight="1"/>
    <row r="47479" ht="12" customHeight="1"/>
    <row r="47480" ht="12" customHeight="1"/>
    <row r="47481" ht="12" customHeight="1"/>
    <row r="47482" ht="12" customHeight="1"/>
    <row r="47483" ht="12" customHeight="1"/>
    <row r="47484" ht="12" customHeight="1"/>
    <row r="47485" ht="12" customHeight="1"/>
    <row r="47486" ht="12" customHeight="1"/>
    <row r="47487" ht="12" customHeight="1"/>
    <row r="47488" ht="12" customHeight="1"/>
    <row r="47489" ht="12" customHeight="1"/>
    <row r="47490" ht="12" customHeight="1"/>
    <row r="47491" ht="12" customHeight="1"/>
    <row r="47492" ht="12" customHeight="1"/>
    <row r="47493" ht="12" customHeight="1"/>
    <row r="47494" ht="12" customHeight="1"/>
    <row r="47495" ht="12" customHeight="1"/>
    <row r="47496" ht="12" customHeight="1"/>
    <row r="47497" ht="12" customHeight="1"/>
    <row r="47498" ht="12" customHeight="1"/>
    <row r="47499" ht="12" customHeight="1"/>
    <row r="47500" ht="12" customHeight="1"/>
    <row r="47501" ht="12" customHeight="1"/>
    <row r="47502" ht="12" customHeight="1"/>
    <row r="47503" ht="12" customHeight="1"/>
    <row r="47504" ht="12" customHeight="1"/>
    <row r="47505" ht="12" customHeight="1"/>
    <row r="47506" ht="12" customHeight="1"/>
    <row r="47507" ht="12" customHeight="1"/>
    <row r="47508" ht="12" customHeight="1"/>
    <row r="47509" ht="12" customHeight="1"/>
    <row r="47510" ht="12" customHeight="1"/>
    <row r="47511" ht="12" customHeight="1"/>
    <row r="47512" ht="12" customHeight="1"/>
    <row r="47513" ht="12" customHeight="1"/>
    <row r="47514" ht="12" customHeight="1"/>
    <row r="47515" ht="12" customHeight="1"/>
    <row r="47516" ht="12" customHeight="1"/>
    <row r="47517" ht="12" customHeight="1"/>
    <row r="47518" ht="12" customHeight="1"/>
    <row r="47519" ht="12" customHeight="1"/>
    <row r="47520" ht="12" customHeight="1"/>
    <row r="47521" ht="12" customHeight="1"/>
    <row r="47522" ht="12" customHeight="1"/>
    <row r="47523" ht="12" customHeight="1"/>
    <row r="47524" ht="12" customHeight="1"/>
    <row r="47525" ht="12" customHeight="1"/>
    <row r="47526" ht="12" customHeight="1"/>
    <row r="47527" ht="12" customHeight="1"/>
    <row r="47528" ht="12" customHeight="1"/>
    <row r="47529" ht="12" customHeight="1"/>
    <row r="47530" ht="12" customHeight="1"/>
    <row r="47531" ht="12" customHeight="1"/>
    <row r="47532" ht="12" customHeight="1"/>
    <row r="47533" ht="12" customHeight="1"/>
    <row r="47534" ht="12" customHeight="1"/>
    <row r="47535" ht="12" customHeight="1"/>
    <row r="47536" ht="12" customHeight="1"/>
    <row r="47537" ht="12" customHeight="1"/>
    <row r="47538" ht="12" customHeight="1"/>
    <row r="47539" ht="12" customHeight="1"/>
    <row r="47540" ht="12" customHeight="1"/>
    <row r="47541" ht="12" customHeight="1"/>
    <row r="47542" ht="12" customHeight="1"/>
    <row r="47543" ht="12" customHeight="1"/>
    <row r="47544" ht="12" customHeight="1"/>
    <row r="47545" ht="12" customHeight="1"/>
    <row r="47546" ht="12" customHeight="1"/>
    <row r="47547" ht="12" customHeight="1"/>
    <row r="47548" ht="12" customHeight="1"/>
    <row r="47549" ht="12" customHeight="1"/>
    <row r="47550" ht="12" customHeight="1"/>
    <row r="47551" ht="12" customHeight="1"/>
    <row r="47552" ht="12" customHeight="1"/>
    <row r="47553" ht="12" customHeight="1"/>
    <row r="47554" ht="12" customHeight="1"/>
    <row r="47555" ht="12" customHeight="1"/>
    <row r="47556" ht="12" customHeight="1"/>
    <row r="47557" ht="12" customHeight="1"/>
    <row r="47558" ht="12" customHeight="1"/>
    <row r="47559" ht="12" customHeight="1"/>
    <row r="47560" ht="12" customHeight="1"/>
    <row r="47561" ht="12" customHeight="1"/>
    <row r="47562" ht="12" customHeight="1"/>
    <row r="47563" ht="12" customHeight="1"/>
    <row r="47564" ht="12" customHeight="1"/>
    <row r="47565" ht="12" customHeight="1"/>
    <row r="47566" ht="12" customHeight="1"/>
    <row r="47567" ht="12" customHeight="1"/>
    <row r="47568" ht="12" customHeight="1"/>
    <row r="47569" ht="12" customHeight="1"/>
    <row r="47570" ht="12" customHeight="1"/>
    <row r="47571" ht="12" customHeight="1"/>
    <row r="47572" ht="12" customHeight="1"/>
    <row r="47573" ht="12" customHeight="1"/>
    <row r="47574" ht="12" customHeight="1"/>
    <row r="47575" ht="12" customHeight="1"/>
    <row r="47576" ht="12" customHeight="1"/>
    <row r="47577" ht="12" customHeight="1"/>
    <row r="47578" ht="12" customHeight="1"/>
    <row r="47579" ht="12" customHeight="1"/>
    <row r="47580" ht="12" customHeight="1"/>
    <row r="47581" ht="12" customHeight="1"/>
    <row r="47582" ht="12" customHeight="1"/>
    <row r="47583" ht="12" customHeight="1"/>
    <row r="47584" ht="12" customHeight="1"/>
    <row r="47585" ht="12" customHeight="1"/>
    <row r="47586" ht="12" customHeight="1"/>
    <row r="47587" ht="12" customHeight="1"/>
    <row r="47588" ht="12" customHeight="1"/>
    <row r="47589" ht="12" customHeight="1"/>
    <row r="47590" ht="12" customHeight="1"/>
    <row r="47591" ht="12" customHeight="1"/>
    <row r="47592" ht="12" customHeight="1"/>
    <row r="47593" ht="12" customHeight="1"/>
    <row r="47594" ht="12" customHeight="1"/>
    <row r="47595" ht="12" customHeight="1"/>
    <row r="47596" ht="12" customHeight="1"/>
    <row r="47597" ht="12" customHeight="1"/>
    <row r="47598" ht="12" customHeight="1"/>
    <row r="47599" ht="12" customHeight="1"/>
    <row r="47600" ht="12" customHeight="1"/>
    <row r="47601" ht="12" customHeight="1"/>
    <row r="47602" ht="12" customHeight="1"/>
    <row r="47603" ht="12" customHeight="1"/>
    <row r="47604" ht="12" customHeight="1"/>
    <row r="47605" ht="12" customHeight="1"/>
    <row r="47606" ht="12" customHeight="1"/>
    <row r="47607" ht="12" customHeight="1"/>
    <row r="47608" ht="12" customHeight="1"/>
    <row r="47609" ht="12" customHeight="1"/>
    <row r="47610" ht="12" customHeight="1"/>
    <row r="47611" ht="12" customHeight="1"/>
    <row r="47612" ht="12" customHeight="1"/>
    <row r="47613" ht="12" customHeight="1"/>
    <row r="47614" ht="12" customHeight="1"/>
    <row r="47615" ht="12" customHeight="1"/>
    <row r="47616" ht="12" customHeight="1"/>
    <row r="47617" ht="12" customHeight="1"/>
    <row r="47618" ht="12" customHeight="1"/>
    <row r="47619" ht="12" customHeight="1"/>
    <row r="47620" ht="12" customHeight="1"/>
    <row r="47621" ht="12" customHeight="1"/>
    <row r="47622" ht="12" customHeight="1"/>
    <row r="47623" ht="12" customHeight="1"/>
    <row r="47624" ht="12" customHeight="1"/>
    <row r="47625" ht="12" customHeight="1"/>
    <row r="47626" ht="12" customHeight="1"/>
    <row r="47627" ht="12" customHeight="1"/>
    <row r="47628" ht="12" customHeight="1"/>
    <row r="47629" ht="12" customHeight="1"/>
    <row r="47630" ht="12" customHeight="1"/>
    <row r="47631" ht="12" customHeight="1"/>
    <row r="47632" ht="12" customHeight="1"/>
    <row r="47633" ht="12" customHeight="1"/>
    <row r="47634" ht="12" customHeight="1"/>
    <row r="47635" ht="12" customHeight="1"/>
    <row r="47636" ht="12" customHeight="1"/>
    <row r="47637" ht="12" customHeight="1"/>
    <row r="47638" ht="12" customHeight="1"/>
    <row r="47639" ht="12" customHeight="1"/>
    <row r="47640" ht="12" customHeight="1"/>
    <row r="47641" ht="12" customHeight="1"/>
    <row r="47642" ht="12" customHeight="1"/>
    <row r="47643" ht="12" customHeight="1"/>
    <row r="47644" ht="12" customHeight="1"/>
    <row r="47645" ht="12" customHeight="1"/>
    <row r="47646" ht="12" customHeight="1"/>
    <row r="47647" ht="12" customHeight="1"/>
    <row r="47648" ht="12" customHeight="1"/>
    <row r="47649" ht="12" customHeight="1"/>
    <row r="47650" ht="12" customHeight="1"/>
    <row r="47651" ht="12" customHeight="1"/>
    <row r="47652" ht="12" customHeight="1"/>
    <row r="47653" ht="12" customHeight="1"/>
    <row r="47654" ht="12" customHeight="1"/>
    <row r="47655" ht="12" customHeight="1"/>
    <row r="47656" ht="12" customHeight="1"/>
    <row r="47657" ht="12" customHeight="1"/>
    <row r="47658" ht="12" customHeight="1"/>
    <row r="47659" ht="12" customHeight="1"/>
    <row r="47660" ht="12" customHeight="1"/>
    <row r="47661" ht="12" customHeight="1"/>
    <row r="47662" ht="12" customHeight="1"/>
    <row r="47663" ht="12" customHeight="1"/>
    <row r="47664" ht="12" customHeight="1"/>
    <row r="47665" ht="12" customHeight="1"/>
    <row r="47666" ht="12" customHeight="1"/>
    <row r="47667" ht="12" customHeight="1"/>
    <row r="47668" ht="12" customHeight="1"/>
    <row r="47669" ht="12" customHeight="1"/>
    <row r="47670" ht="12" customHeight="1"/>
    <row r="47671" ht="12" customHeight="1"/>
    <row r="47672" ht="12" customHeight="1"/>
    <row r="47673" ht="12" customHeight="1"/>
    <row r="47674" ht="12" customHeight="1"/>
    <row r="47675" ht="12" customHeight="1"/>
    <row r="47676" ht="12" customHeight="1"/>
    <row r="47677" ht="12" customHeight="1"/>
    <row r="47678" ht="12" customHeight="1"/>
    <row r="47679" ht="12" customHeight="1"/>
    <row r="47680" ht="12" customHeight="1"/>
    <row r="47681" ht="12" customHeight="1"/>
    <row r="47682" ht="12" customHeight="1"/>
    <row r="47683" ht="12" customHeight="1"/>
    <row r="47684" ht="12" customHeight="1"/>
    <row r="47685" ht="12" customHeight="1"/>
    <row r="47686" ht="12" customHeight="1"/>
    <row r="47687" ht="12" customHeight="1"/>
    <row r="47688" ht="12" customHeight="1"/>
    <row r="47689" ht="12" customHeight="1"/>
    <row r="47690" ht="12" customHeight="1"/>
    <row r="47691" ht="12" customHeight="1"/>
    <row r="47692" ht="12" customHeight="1"/>
    <row r="47693" ht="12" customHeight="1"/>
    <row r="47694" ht="12" customHeight="1"/>
    <row r="47695" ht="12" customHeight="1"/>
    <row r="47696" ht="12" customHeight="1"/>
    <row r="47697" ht="12" customHeight="1"/>
    <row r="47698" ht="12" customHeight="1"/>
    <row r="47699" ht="12" customHeight="1"/>
    <row r="47700" ht="12" customHeight="1"/>
    <row r="47701" ht="12" customHeight="1"/>
    <row r="47702" ht="12" customHeight="1"/>
    <row r="47703" ht="12" customHeight="1"/>
    <row r="47704" ht="12" customHeight="1"/>
    <row r="47705" ht="12" customHeight="1"/>
    <row r="47706" ht="12" customHeight="1"/>
    <row r="47707" ht="12" customHeight="1"/>
    <row r="47708" ht="12" customHeight="1"/>
    <row r="47709" ht="12" customHeight="1"/>
    <row r="47710" ht="12" customHeight="1"/>
    <row r="47711" ht="12" customHeight="1"/>
    <row r="47712" ht="12" customHeight="1"/>
    <row r="47713" ht="12" customHeight="1"/>
    <row r="47714" ht="12" customHeight="1"/>
    <row r="47715" ht="12" customHeight="1"/>
    <row r="47716" ht="12" customHeight="1"/>
    <row r="47717" ht="12" customHeight="1"/>
    <row r="47718" ht="12" customHeight="1"/>
    <row r="47719" ht="12" customHeight="1"/>
    <row r="47720" ht="12" customHeight="1"/>
    <row r="47721" ht="12" customHeight="1"/>
    <row r="47722" ht="12" customHeight="1"/>
    <row r="47723" ht="12" customHeight="1"/>
    <row r="47724" ht="12" customHeight="1"/>
    <row r="47725" ht="12" customHeight="1"/>
    <row r="47726" ht="12" customHeight="1"/>
    <row r="47727" ht="12" customHeight="1"/>
    <row r="47728" ht="12" customHeight="1"/>
    <row r="47729" ht="12" customHeight="1"/>
    <row r="47730" ht="12" customHeight="1"/>
    <row r="47731" ht="12" customHeight="1"/>
    <row r="47732" ht="12" customHeight="1"/>
    <row r="47733" ht="12" customHeight="1"/>
    <row r="47734" ht="12" customHeight="1"/>
    <row r="47735" ht="12" customHeight="1"/>
    <row r="47736" ht="12" customHeight="1"/>
    <row r="47737" ht="12" customHeight="1"/>
    <row r="47738" ht="12" customHeight="1"/>
    <row r="47739" ht="12" customHeight="1"/>
    <row r="47740" ht="12" customHeight="1"/>
    <row r="47741" ht="12" customHeight="1"/>
    <row r="47742" ht="12" customHeight="1"/>
    <row r="47743" ht="12" customHeight="1"/>
    <row r="47744" ht="12" customHeight="1"/>
    <row r="47745" ht="12" customHeight="1"/>
    <row r="47746" ht="12" customHeight="1"/>
    <row r="47747" ht="12" customHeight="1"/>
    <row r="47748" ht="12" customHeight="1"/>
    <row r="47749" ht="12" customHeight="1"/>
    <row r="47750" ht="12" customHeight="1"/>
    <row r="47751" ht="12" customHeight="1"/>
    <row r="47752" ht="12" customHeight="1"/>
    <row r="47753" ht="12" customHeight="1"/>
    <row r="47754" ht="12" customHeight="1"/>
    <row r="47755" ht="12" customHeight="1"/>
    <row r="47756" ht="12" customHeight="1"/>
    <row r="47757" ht="12" customHeight="1"/>
    <row r="47758" ht="12" customHeight="1"/>
    <row r="47759" ht="12" customHeight="1"/>
    <row r="47760" ht="12" customHeight="1"/>
    <row r="47761" ht="12" customHeight="1"/>
    <row r="47762" ht="12" customHeight="1"/>
    <row r="47763" ht="12" customHeight="1"/>
    <row r="47764" ht="12" customHeight="1"/>
    <row r="47765" ht="12" customHeight="1"/>
    <row r="47766" ht="12" customHeight="1"/>
    <row r="47767" ht="12" customHeight="1"/>
    <row r="47768" ht="12" customHeight="1"/>
    <row r="47769" ht="12" customHeight="1"/>
    <row r="47770" ht="12" customHeight="1"/>
    <row r="47771" ht="12" customHeight="1"/>
    <row r="47772" ht="12" customHeight="1"/>
    <row r="47773" ht="12" customHeight="1"/>
    <row r="47774" ht="12" customHeight="1"/>
    <row r="47775" ht="12" customHeight="1"/>
    <row r="47776" ht="12" customHeight="1"/>
    <row r="47777" ht="12" customHeight="1"/>
    <row r="47778" ht="12" customHeight="1"/>
    <row r="47779" ht="12" customHeight="1"/>
    <row r="47780" ht="12" customHeight="1"/>
    <row r="47781" ht="12" customHeight="1"/>
    <row r="47782" ht="12" customHeight="1"/>
    <row r="47783" ht="12" customHeight="1"/>
    <row r="47784" ht="12" customHeight="1"/>
    <row r="47785" ht="12" customHeight="1"/>
    <row r="47786" ht="12" customHeight="1"/>
    <row r="47787" ht="12" customHeight="1"/>
    <row r="47788" ht="12" customHeight="1"/>
    <row r="47789" ht="12" customHeight="1"/>
    <row r="47790" ht="12" customHeight="1"/>
    <row r="47791" ht="12" customHeight="1"/>
    <row r="47792" ht="12" customHeight="1"/>
    <row r="47793" ht="12" customHeight="1"/>
    <row r="47794" ht="12" customHeight="1"/>
    <row r="47795" ht="12" customHeight="1"/>
    <row r="47796" ht="12" customHeight="1"/>
    <row r="47797" ht="12" customHeight="1"/>
    <row r="47798" ht="12" customHeight="1"/>
    <row r="47799" ht="12" customHeight="1"/>
    <row r="47800" ht="12" customHeight="1"/>
    <row r="47801" ht="12" customHeight="1"/>
    <row r="47802" ht="12" customHeight="1"/>
    <row r="47803" ht="12" customHeight="1"/>
    <row r="47804" ht="12" customHeight="1"/>
    <row r="47805" ht="12" customHeight="1"/>
    <row r="47806" ht="12" customHeight="1"/>
    <row r="47807" ht="12" customHeight="1"/>
    <row r="47808" ht="12" customHeight="1"/>
    <row r="47809" ht="12" customHeight="1"/>
    <row r="47810" ht="12" customHeight="1"/>
    <row r="47811" ht="12" customHeight="1"/>
    <row r="47812" ht="12" customHeight="1"/>
    <row r="47813" ht="12" customHeight="1"/>
    <row r="47814" ht="12" customHeight="1"/>
    <row r="47815" ht="12" customHeight="1"/>
    <row r="47816" ht="12" customHeight="1"/>
    <row r="47817" ht="12" customHeight="1"/>
    <row r="47818" ht="12" customHeight="1"/>
    <row r="47819" ht="12" customHeight="1"/>
    <row r="47820" ht="12" customHeight="1"/>
    <row r="47821" ht="12" customHeight="1"/>
    <row r="47822" ht="12" customHeight="1"/>
    <row r="47823" ht="12" customHeight="1"/>
    <row r="47824" ht="12" customHeight="1"/>
    <row r="47825" ht="12" customHeight="1"/>
    <row r="47826" ht="12" customHeight="1"/>
    <row r="47827" ht="12" customHeight="1"/>
    <row r="47828" ht="12" customHeight="1"/>
    <row r="47829" ht="12" customHeight="1"/>
    <row r="47830" ht="12" customHeight="1"/>
    <row r="47831" ht="12" customHeight="1"/>
    <row r="47832" ht="12" customHeight="1"/>
    <row r="47833" ht="12" customHeight="1"/>
    <row r="47834" ht="12" customHeight="1"/>
    <row r="47835" ht="12" customHeight="1"/>
    <row r="47836" ht="12" customHeight="1"/>
    <row r="47837" ht="12" customHeight="1"/>
    <row r="47838" ht="12" customHeight="1"/>
    <row r="47839" ht="12" customHeight="1"/>
    <row r="47840" ht="12" customHeight="1"/>
    <row r="47841" ht="12" customHeight="1"/>
    <row r="47842" ht="12" customHeight="1"/>
    <row r="47843" ht="12" customHeight="1"/>
    <row r="47844" ht="12" customHeight="1"/>
    <row r="47845" ht="12" customHeight="1"/>
    <row r="47846" ht="12" customHeight="1"/>
    <row r="47847" ht="12" customHeight="1"/>
    <row r="47848" ht="12" customHeight="1"/>
    <row r="47849" ht="12" customHeight="1"/>
    <row r="47850" ht="12" customHeight="1"/>
    <row r="47851" ht="12" customHeight="1"/>
    <row r="47852" ht="12" customHeight="1"/>
    <row r="47853" ht="12" customHeight="1"/>
    <row r="47854" ht="12" customHeight="1"/>
    <row r="47855" ht="12" customHeight="1"/>
    <row r="47856" ht="12" customHeight="1"/>
    <row r="47857" ht="12" customHeight="1"/>
    <row r="47858" ht="12" customHeight="1"/>
    <row r="47859" ht="12" customHeight="1"/>
    <row r="47860" ht="12" customHeight="1"/>
    <row r="47861" ht="12" customHeight="1"/>
    <row r="47862" ht="12" customHeight="1"/>
    <row r="47863" ht="12" customHeight="1"/>
    <row r="47864" ht="12" customHeight="1"/>
    <row r="47865" ht="12" customHeight="1"/>
    <row r="47866" ht="12" customHeight="1"/>
    <row r="47867" ht="12" customHeight="1"/>
    <row r="47868" ht="12" customHeight="1"/>
    <row r="47869" ht="12" customHeight="1"/>
    <row r="47870" ht="12" customHeight="1"/>
    <row r="47871" ht="12" customHeight="1"/>
    <row r="47872" ht="12" customHeight="1"/>
    <row r="47873" ht="12" customHeight="1"/>
    <row r="47874" ht="12" customHeight="1"/>
    <row r="47875" ht="12" customHeight="1"/>
    <row r="47876" ht="12" customHeight="1"/>
    <row r="47877" ht="12" customHeight="1"/>
    <row r="47878" ht="12" customHeight="1"/>
    <row r="47879" ht="12" customHeight="1"/>
    <row r="47880" ht="12" customHeight="1"/>
    <row r="47881" ht="12" customHeight="1"/>
    <row r="47882" ht="12" customHeight="1"/>
    <row r="47883" ht="12" customHeight="1"/>
    <row r="47884" ht="12" customHeight="1"/>
    <row r="47885" ht="12" customHeight="1"/>
    <row r="47886" ht="12" customHeight="1"/>
    <row r="47887" ht="12" customHeight="1"/>
    <row r="47888" ht="12" customHeight="1"/>
    <row r="47889" ht="12" customHeight="1"/>
    <row r="47890" ht="12" customHeight="1"/>
    <row r="47891" ht="12" customHeight="1"/>
    <row r="47892" ht="12" customHeight="1"/>
    <row r="47893" ht="12" customHeight="1"/>
    <row r="47894" ht="12" customHeight="1"/>
    <row r="47895" ht="12" customHeight="1"/>
    <row r="47896" ht="12" customHeight="1"/>
    <row r="47897" ht="12" customHeight="1"/>
    <row r="47898" ht="12" customHeight="1"/>
    <row r="47899" ht="12" customHeight="1"/>
    <row r="47900" ht="12" customHeight="1"/>
    <row r="47901" ht="12" customHeight="1"/>
    <row r="47902" ht="12" customHeight="1"/>
    <row r="47903" ht="12" customHeight="1"/>
    <row r="47904" ht="12" customHeight="1"/>
    <row r="47905" ht="12" customHeight="1"/>
    <row r="47906" ht="12" customHeight="1"/>
    <row r="47907" ht="12" customHeight="1"/>
    <row r="47908" ht="12" customHeight="1"/>
    <row r="47909" ht="12" customHeight="1"/>
    <row r="47910" ht="12" customHeight="1"/>
    <row r="47911" ht="12" customHeight="1"/>
    <row r="47912" ht="12" customHeight="1"/>
    <row r="47913" ht="12" customHeight="1"/>
    <row r="47914" ht="12" customHeight="1"/>
    <row r="47915" ht="12" customHeight="1"/>
    <row r="47916" ht="12" customHeight="1"/>
    <row r="47917" ht="12" customHeight="1"/>
    <row r="47918" ht="12" customHeight="1"/>
    <row r="47919" ht="12" customHeight="1"/>
    <row r="47920" ht="12" customHeight="1"/>
    <row r="47921" ht="12" customHeight="1"/>
    <row r="47922" ht="12" customHeight="1"/>
    <row r="47923" ht="12" customHeight="1"/>
    <row r="47924" ht="12" customHeight="1"/>
    <row r="47925" ht="12" customHeight="1"/>
    <row r="47926" ht="12" customHeight="1"/>
    <row r="47927" ht="12" customHeight="1"/>
    <row r="47928" ht="12" customHeight="1"/>
    <row r="47929" ht="12" customHeight="1"/>
    <row r="47930" ht="12" customHeight="1"/>
    <row r="47931" ht="12" customHeight="1"/>
    <row r="47932" ht="12" customHeight="1"/>
    <row r="47933" ht="12" customHeight="1"/>
    <row r="47934" ht="12" customHeight="1"/>
    <row r="47935" ht="12" customHeight="1"/>
    <row r="47936" ht="12" customHeight="1"/>
    <row r="47937" ht="12" customHeight="1"/>
    <row r="47938" ht="12" customHeight="1"/>
    <row r="47939" ht="12" customHeight="1"/>
    <row r="47940" ht="12" customHeight="1"/>
    <row r="47941" ht="12" customHeight="1"/>
    <row r="47942" ht="12" customHeight="1"/>
    <row r="47943" ht="12" customHeight="1"/>
    <row r="47944" ht="12" customHeight="1"/>
    <row r="47945" ht="12" customHeight="1"/>
    <row r="47946" ht="12" customHeight="1"/>
    <row r="47947" ht="12" customHeight="1"/>
    <row r="47948" ht="12" customHeight="1"/>
    <row r="47949" ht="12" customHeight="1"/>
    <row r="47950" ht="12" customHeight="1"/>
    <row r="47951" ht="12" customHeight="1"/>
    <row r="47952" ht="12" customHeight="1"/>
    <row r="47953" ht="12" customHeight="1"/>
    <row r="47954" ht="12" customHeight="1"/>
    <row r="47955" ht="12" customHeight="1"/>
    <row r="47956" ht="12" customHeight="1"/>
    <row r="47957" ht="12" customHeight="1"/>
    <row r="47958" ht="12" customHeight="1"/>
    <row r="47959" ht="12" customHeight="1"/>
    <row r="47960" ht="12" customHeight="1"/>
    <row r="47961" ht="12" customHeight="1"/>
    <row r="47962" ht="12" customHeight="1"/>
    <row r="47963" ht="12" customHeight="1"/>
    <row r="47964" ht="12" customHeight="1"/>
    <row r="47965" ht="12" customHeight="1"/>
    <row r="47966" ht="12" customHeight="1"/>
    <row r="47967" ht="12" customHeight="1"/>
    <row r="47968" ht="12" customHeight="1"/>
    <row r="47969" ht="12" customHeight="1"/>
    <row r="47970" ht="12" customHeight="1"/>
    <row r="47971" ht="12" customHeight="1"/>
    <row r="47972" ht="12" customHeight="1"/>
    <row r="47973" ht="12" customHeight="1"/>
    <row r="47974" ht="12" customHeight="1"/>
    <row r="47975" ht="12" customHeight="1"/>
    <row r="47976" ht="12" customHeight="1"/>
    <row r="47977" ht="12" customHeight="1"/>
    <row r="47978" ht="12" customHeight="1"/>
    <row r="47979" ht="12" customHeight="1"/>
    <row r="47980" ht="12" customHeight="1"/>
    <row r="47981" ht="12" customHeight="1"/>
    <row r="47982" ht="12" customHeight="1"/>
    <row r="47983" ht="12" customHeight="1"/>
    <row r="47984" ht="12" customHeight="1"/>
    <row r="47985" ht="12" customHeight="1"/>
    <row r="47986" ht="12" customHeight="1"/>
    <row r="47987" ht="12" customHeight="1"/>
    <row r="47988" ht="12" customHeight="1"/>
    <row r="47989" ht="12" customHeight="1"/>
    <row r="47990" ht="12" customHeight="1"/>
    <row r="47991" ht="12" customHeight="1"/>
    <row r="47992" ht="12" customHeight="1"/>
    <row r="47993" ht="12" customHeight="1"/>
    <row r="47994" ht="12" customHeight="1"/>
    <row r="47995" ht="12" customHeight="1"/>
    <row r="47996" ht="12" customHeight="1"/>
    <row r="47997" ht="12" customHeight="1"/>
    <row r="47998" ht="12" customHeight="1"/>
    <row r="47999" ht="12" customHeight="1"/>
    <row r="48000" ht="12" customHeight="1"/>
    <row r="48001" ht="12" customHeight="1"/>
    <row r="48002" ht="12" customHeight="1"/>
    <row r="48003" ht="12" customHeight="1"/>
    <row r="48004" ht="12" customHeight="1"/>
    <row r="48005" ht="12" customHeight="1"/>
    <row r="48006" ht="12" customHeight="1"/>
    <row r="48007" ht="12" customHeight="1"/>
    <row r="48008" ht="12" customHeight="1"/>
    <row r="48009" ht="12" customHeight="1"/>
    <row r="48010" ht="12" customHeight="1"/>
    <row r="48011" ht="12" customHeight="1"/>
    <row r="48012" ht="12" customHeight="1"/>
    <row r="48013" ht="12" customHeight="1"/>
    <row r="48014" ht="12" customHeight="1"/>
    <row r="48015" ht="12" customHeight="1"/>
    <row r="48016" ht="12" customHeight="1"/>
    <row r="48017" ht="12" customHeight="1"/>
    <row r="48018" ht="12" customHeight="1"/>
    <row r="48019" ht="12" customHeight="1"/>
    <row r="48020" ht="12" customHeight="1"/>
    <row r="48021" ht="12" customHeight="1"/>
    <row r="48022" ht="12" customHeight="1"/>
    <row r="48023" ht="12" customHeight="1"/>
    <row r="48024" ht="12" customHeight="1"/>
    <row r="48025" ht="12" customHeight="1"/>
    <row r="48026" ht="12" customHeight="1"/>
    <row r="48027" ht="12" customHeight="1"/>
    <row r="48028" ht="12" customHeight="1"/>
    <row r="48029" ht="12" customHeight="1"/>
    <row r="48030" ht="12" customHeight="1"/>
    <row r="48031" ht="12" customHeight="1"/>
    <row r="48032" ht="12" customHeight="1"/>
    <row r="48033" ht="12" customHeight="1"/>
    <row r="48034" ht="12" customHeight="1"/>
    <row r="48035" ht="12" customHeight="1"/>
    <row r="48036" ht="12" customHeight="1"/>
    <row r="48037" ht="12" customHeight="1"/>
    <row r="48038" ht="12" customHeight="1"/>
    <row r="48039" ht="12" customHeight="1"/>
    <row r="48040" ht="12" customHeight="1"/>
    <row r="48041" ht="12" customHeight="1"/>
    <row r="48042" ht="12" customHeight="1"/>
    <row r="48043" ht="12" customHeight="1"/>
    <row r="48044" ht="12" customHeight="1"/>
    <row r="48045" ht="12" customHeight="1"/>
    <row r="48046" ht="12" customHeight="1"/>
    <row r="48047" ht="12" customHeight="1"/>
    <row r="48048" ht="12" customHeight="1"/>
    <row r="48049" ht="12" customHeight="1"/>
    <row r="48050" ht="12" customHeight="1"/>
    <row r="48051" ht="12" customHeight="1"/>
    <row r="48052" ht="12" customHeight="1"/>
    <row r="48053" ht="12" customHeight="1"/>
    <row r="48054" ht="12" customHeight="1"/>
    <row r="48055" ht="12" customHeight="1"/>
    <row r="48056" ht="12" customHeight="1"/>
    <row r="48057" ht="12" customHeight="1"/>
    <row r="48058" ht="12" customHeight="1"/>
    <row r="48059" ht="12" customHeight="1"/>
    <row r="48060" ht="12" customHeight="1"/>
    <row r="48061" ht="12" customHeight="1"/>
    <row r="48062" ht="12" customHeight="1"/>
    <row r="48063" ht="12" customHeight="1"/>
    <row r="48064" ht="12" customHeight="1"/>
    <row r="48065" ht="12" customHeight="1"/>
    <row r="48066" ht="12" customHeight="1"/>
    <row r="48067" ht="12" customHeight="1"/>
    <row r="48068" ht="12" customHeight="1"/>
    <row r="48069" ht="12" customHeight="1"/>
    <row r="48070" ht="12" customHeight="1"/>
    <row r="48071" ht="12" customHeight="1"/>
    <row r="48072" ht="12" customHeight="1"/>
    <row r="48073" ht="12" customHeight="1"/>
    <row r="48074" ht="12" customHeight="1"/>
    <row r="48075" ht="12" customHeight="1"/>
    <row r="48076" ht="12" customHeight="1"/>
    <row r="48077" ht="12" customHeight="1"/>
    <row r="48078" ht="12" customHeight="1"/>
    <row r="48079" ht="12" customHeight="1"/>
    <row r="48080" ht="12" customHeight="1"/>
    <row r="48081" ht="12" customHeight="1"/>
    <row r="48082" ht="12" customHeight="1"/>
    <row r="48083" ht="12" customHeight="1"/>
    <row r="48084" ht="12" customHeight="1"/>
    <row r="48085" ht="12" customHeight="1"/>
    <row r="48086" ht="12" customHeight="1"/>
    <row r="48087" ht="12" customHeight="1"/>
    <row r="48088" ht="12" customHeight="1"/>
    <row r="48089" ht="12" customHeight="1"/>
    <row r="48090" ht="12" customHeight="1"/>
    <row r="48091" ht="12" customHeight="1"/>
    <row r="48092" ht="12" customHeight="1"/>
    <row r="48093" ht="12" customHeight="1"/>
    <row r="48094" ht="12" customHeight="1"/>
    <row r="48095" ht="12" customHeight="1"/>
    <row r="48096" ht="12" customHeight="1"/>
    <row r="48097" ht="12" customHeight="1"/>
    <row r="48098" ht="12" customHeight="1"/>
    <row r="48099" ht="12" customHeight="1"/>
    <row r="48100" ht="12" customHeight="1"/>
    <row r="48101" ht="12" customHeight="1"/>
    <row r="48102" ht="12" customHeight="1"/>
    <row r="48103" ht="12" customHeight="1"/>
    <row r="48104" ht="12" customHeight="1"/>
    <row r="48105" ht="12" customHeight="1"/>
    <row r="48106" ht="12" customHeight="1"/>
    <row r="48107" ht="12" customHeight="1"/>
    <row r="48108" ht="12" customHeight="1"/>
    <row r="48109" ht="12" customHeight="1"/>
    <row r="48110" ht="12" customHeight="1"/>
    <row r="48111" ht="12" customHeight="1"/>
    <row r="48112" ht="12" customHeight="1"/>
    <row r="48113" ht="12" customHeight="1"/>
    <row r="48114" ht="12" customHeight="1"/>
    <row r="48115" ht="12" customHeight="1"/>
    <row r="48116" ht="12" customHeight="1"/>
    <row r="48117" ht="12" customHeight="1"/>
    <row r="48118" ht="12" customHeight="1"/>
    <row r="48119" ht="12" customHeight="1"/>
    <row r="48120" ht="12" customHeight="1"/>
    <row r="48121" ht="12" customHeight="1"/>
    <row r="48122" ht="12" customHeight="1"/>
    <row r="48123" ht="12" customHeight="1"/>
    <row r="48124" ht="12" customHeight="1"/>
    <row r="48125" ht="12" customHeight="1"/>
    <row r="48126" ht="12" customHeight="1"/>
    <row r="48127" ht="12" customHeight="1"/>
    <row r="48128" ht="12" customHeight="1"/>
    <row r="48129" ht="12" customHeight="1"/>
    <row r="48130" ht="12" customHeight="1"/>
    <row r="48131" ht="12" customHeight="1"/>
    <row r="48132" ht="12" customHeight="1"/>
    <row r="48133" ht="12" customHeight="1"/>
    <row r="48134" ht="12" customHeight="1"/>
    <row r="48135" ht="12" customHeight="1"/>
    <row r="48136" ht="12" customHeight="1"/>
    <row r="48137" ht="12" customHeight="1"/>
    <row r="48138" ht="12" customHeight="1"/>
    <row r="48139" ht="12" customHeight="1"/>
    <row r="48140" ht="12" customHeight="1"/>
    <row r="48141" ht="12" customHeight="1"/>
    <row r="48142" ht="12" customHeight="1"/>
    <row r="48143" ht="12" customHeight="1"/>
    <row r="48144" ht="12" customHeight="1"/>
    <row r="48145" ht="12" customHeight="1"/>
    <row r="48146" ht="12" customHeight="1"/>
    <row r="48147" ht="12" customHeight="1"/>
    <row r="48148" ht="12" customHeight="1"/>
    <row r="48149" ht="12" customHeight="1"/>
    <row r="48150" ht="12" customHeight="1"/>
    <row r="48151" ht="12" customHeight="1"/>
    <row r="48152" ht="12" customHeight="1"/>
    <row r="48153" ht="12" customHeight="1"/>
    <row r="48154" ht="12" customHeight="1"/>
    <row r="48155" ht="12" customHeight="1"/>
    <row r="48156" ht="12" customHeight="1"/>
    <row r="48157" ht="12" customHeight="1"/>
    <row r="48158" ht="12" customHeight="1"/>
    <row r="48159" ht="12" customHeight="1"/>
    <row r="48160" ht="12" customHeight="1"/>
    <row r="48161" ht="12" customHeight="1"/>
    <row r="48162" ht="12" customHeight="1"/>
    <row r="48163" ht="12" customHeight="1"/>
    <row r="48164" ht="12" customHeight="1"/>
    <row r="48165" ht="12" customHeight="1"/>
    <row r="48166" ht="12" customHeight="1"/>
    <row r="48167" ht="12" customHeight="1"/>
    <row r="48168" ht="12" customHeight="1"/>
    <row r="48169" ht="12" customHeight="1"/>
    <row r="48170" ht="12" customHeight="1"/>
    <row r="48171" ht="12" customHeight="1"/>
    <row r="48172" ht="12" customHeight="1"/>
    <row r="48173" ht="12" customHeight="1"/>
    <row r="48174" ht="12" customHeight="1"/>
    <row r="48175" ht="12" customHeight="1"/>
    <row r="48176" ht="12" customHeight="1"/>
    <row r="48177" ht="12" customHeight="1"/>
    <row r="48178" ht="12" customHeight="1"/>
    <row r="48179" ht="12" customHeight="1"/>
    <row r="48180" ht="12" customHeight="1"/>
    <row r="48181" ht="12" customHeight="1"/>
    <row r="48182" ht="12" customHeight="1"/>
    <row r="48183" ht="12" customHeight="1"/>
    <row r="48184" ht="12" customHeight="1"/>
    <row r="48185" ht="12" customHeight="1"/>
    <row r="48186" ht="12" customHeight="1"/>
    <row r="48187" ht="12" customHeight="1"/>
    <row r="48188" ht="12" customHeight="1"/>
    <row r="48189" ht="12" customHeight="1"/>
    <row r="48190" ht="12" customHeight="1"/>
    <row r="48191" ht="12" customHeight="1"/>
    <row r="48192" ht="12" customHeight="1"/>
    <row r="48193" ht="12" customHeight="1"/>
    <row r="48194" ht="12" customHeight="1"/>
    <row r="48195" ht="12" customHeight="1"/>
    <row r="48196" ht="12" customHeight="1"/>
    <row r="48197" ht="12" customHeight="1"/>
    <row r="48198" ht="12" customHeight="1"/>
    <row r="48199" ht="12" customHeight="1"/>
    <row r="48200" ht="12" customHeight="1"/>
    <row r="48201" ht="12" customHeight="1"/>
    <row r="48202" ht="12" customHeight="1"/>
    <row r="48203" ht="12" customHeight="1"/>
    <row r="48204" ht="12" customHeight="1"/>
    <row r="48205" ht="12" customHeight="1"/>
    <row r="48206" ht="12" customHeight="1"/>
    <row r="48207" ht="12" customHeight="1"/>
    <row r="48208" ht="12" customHeight="1"/>
    <row r="48209" ht="12" customHeight="1"/>
    <row r="48210" ht="12" customHeight="1"/>
    <row r="48211" ht="12" customHeight="1"/>
    <row r="48212" ht="12" customHeight="1"/>
    <row r="48213" ht="12" customHeight="1"/>
    <row r="48214" ht="12" customHeight="1"/>
    <row r="48215" ht="12" customHeight="1"/>
    <row r="48216" ht="12" customHeight="1"/>
    <row r="48217" ht="12" customHeight="1"/>
    <row r="48218" ht="12" customHeight="1"/>
    <row r="48219" ht="12" customHeight="1"/>
    <row r="48220" ht="12" customHeight="1"/>
    <row r="48221" ht="12" customHeight="1"/>
    <row r="48222" ht="12" customHeight="1"/>
    <row r="48223" ht="12" customHeight="1"/>
    <row r="48224" ht="12" customHeight="1"/>
    <row r="48225" ht="12" customHeight="1"/>
    <row r="48226" ht="12" customHeight="1"/>
    <row r="48227" ht="12" customHeight="1"/>
    <row r="48228" ht="12" customHeight="1"/>
    <row r="48229" ht="12" customHeight="1"/>
    <row r="48230" ht="12" customHeight="1"/>
    <row r="48231" ht="12" customHeight="1"/>
    <row r="48232" ht="12" customHeight="1"/>
    <row r="48233" ht="12" customHeight="1"/>
    <row r="48234" ht="12" customHeight="1"/>
    <row r="48235" ht="12" customHeight="1"/>
    <row r="48236" ht="12" customHeight="1"/>
    <row r="48237" ht="12" customHeight="1"/>
    <row r="48238" ht="12" customHeight="1"/>
    <row r="48239" ht="12" customHeight="1"/>
    <row r="48240" ht="12" customHeight="1"/>
    <row r="48241" ht="12" customHeight="1"/>
    <row r="48242" ht="12" customHeight="1"/>
    <row r="48243" ht="12" customHeight="1"/>
    <row r="48244" ht="12" customHeight="1"/>
    <row r="48245" ht="12" customHeight="1"/>
    <row r="48246" ht="12" customHeight="1"/>
    <row r="48247" ht="12" customHeight="1"/>
    <row r="48248" ht="12" customHeight="1"/>
    <row r="48249" ht="12" customHeight="1"/>
    <row r="48250" ht="12" customHeight="1"/>
    <row r="48251" ht="12" customHeight="1"/>
    <row r="48252" ht="12" customHeight="1"/>
    <row r="48253" ht="12" customHeight="1"/>
    <row r="48254" ht="12" customHeight="1"/>
    <row r="48255" ht="12" customHeight="1"/>
    <row r="48256" ht="12" customHeight="1"/>
    <row r="48257" ht="12" customHeight="1"/>
    <row r="48258" ht="12" customHeight="1"/>
    <row r="48259" ht="12" customHeight="1"/>
    <row r="48260" ht="12" customHeight="1"/>
    <row r="48261" ht="12" customHeight="1"/>
    <row r="48262" ht="12" customHeight="1"/>
    <row r="48263" ht="12" customHeight="1"/>
    <row r="48264" ht="12" customHeight="1"/>
    <row r="48265" ht="12" customHeight="1"/>
    <row r="48266" ht="12" customHeight="1"/>
    <row r="48267" ht="12" customHeight="1"/>
    <row r="48268" ht="12" customHeight="1"/>
    <row r="48269" ht="12" customHeight="1"/>
    <row r="48270" ht="12" customHeight="1"/>
    <row r="48271" ht="12" customHeight="1"/>
    <row r="48272" ht="12" customHeight="1"/>
    <row r="48273" ht="12" customHeight="1"/>
    <row r="48274" ht="12" customHeight="1"/>
    <row r="48275" ht="12" customHeight="1"/>
    <row r="48276" ht="12" customHeight="1"/>
    <row r="48277" ht="12" customHeight="1"/>
    <row r="48278" ht="12" customHeight="1"/>
    <row r="48279" ht="12" customHeight="1"/>
    <row r="48280" ht="12" customHeight="1"/>
    <row r="48281" ht="12" customHeight="1"/>
    <row r="48282" ht="12" customHeight="1"/>
    <row r="48283" ht="12" customHeight="1"/>
    <row r="48284" ht="12" customHeight="1"/>
    <row r="48285" ht="12" customHeight="1"/>
    <row r="48286" ht="12" customHeight="1"/>
    <row r="48287" ht="12" customHeight="1"/>
    <row r="48288" ht="12" customHeight="1"/>
    <row r="48289" ht="12" customHeight="1"/>
    <row r="48290" ht="12" customHeight="1"/>
    <row r="48291" ht="12" customHeight="1"/>
    <row r="48292" ht="12" customHeight="1"/>
    <row r="48293" ht="12" customHeight="1"/>
    <row r="48294" ht="12" customHeight="1"/>
    <row r="48295" ht="12" customHeight="1"/>
    <row r="48296" ht="12" customHeight="1"/>
    <row r="48297" ht="12" customHeight="1"/>
    <row r="48298" ht="12" customHeight="1"/>
    <row r="48299" ht="12" customHeight="1"/>
    <row r="48300" ht="12" customHeight="1"/>
    <row r="48301" ht="12" customHeight="1"/>
    <row r="48302" ht="12" customHeight="1"/>
    <row r="48303" ht="12" customHeight="1"/>
    <row r="48304" ht="12" customHeight="1"/>
    <row r="48305" ht="12" customHeight="1"/>
    <row r="48306" ht="12" customHeight="1"/>
    <row r="48307" ht="12" customHeight="1"/>
    <row r="48308" ht="12" customHeight="1"/>
    <row r="48309" ht="12" customHeight="1"/>
    <row r="48310" ht="12" customHeight="1"/>
    <row r="48311" ht="12" customHeight="1"/>
    <row r="48312" ht="12" customHeight="1"/>
    <row r="48313" ht="12" customHeight="1"/>
    <row r="48314" ht="12" customHeight="1"/>
    <row r="48315" ht="12" customHeight="1"/>
    <row r="48316" ht="12" customHeight="1"/>
    <row r="48317" ht="12" customHeight="1"/>
    <row r="48318" ht="12" customHeight="1"/>
    <row r="48319" ht="12" customHeight="1"/>
    <row r="48320" ht="12" customHeight="1"/>
    <row r="48321" ht="12" customHeight="1"/>
    <row r="48322" ht="12" customHeight="1"/>
    <row r="48323" ht="12" customHeight="1"/>
    <row r="48324" ht="12" customHeight="1"/>
    <row r="48325" ht="12" customHeight="1"/>
    <row r="48326" ht="12" customHeight="1"/>
    <row r="48327" ht="12" customHeight="1"/>
    <row r="48328" ht="12" customHeight="1"/>
    <row r="48329" ht="12" customHeight="1"/>
    <row r="48330" ht="12" customHeight="1"/>
    <row r="48331" ht="12" customHeight="1"/>
    <row r="48332" ht="12" customHeight="1"/>
    <row r="48333" ht="12" customHeight="1"/>
    <row r="48334" ht="12" customHeight="1"/>
    <row r="48335" ht="12" customHeight="1"/>
    <row r="48336" ht="12" customHeight="1"/>
    <row r="48337" ht="12" customHeight="1"/>
    <row r="48338" ht="12" customHeight="1"/>
    <row r="48339" ht="12" customHeight="1"/>
    <row r="48340" ht="12" customHeight="1"/>
    <row r="48341" ht="12" customHeight="1"/>
    <row r="48342" ht="12" customHeight="1"/>
    <row r="48343" ht="12" customHeight="1"/>
    <row r="48344" ht="12" customHeight="1"/>
    <row r="48345" ht="12" customHeight="1"/>
    <row r="48346" ht="12" customHeight="1"/>
    <row r="48347" ht="12" customHeight="1"/>
    <row r="48348" ht="12" customHeight="1"/>
    <row r="48349" ht="12" customHeight="1"/>
    <row r="48350" ht="12" customHeight="1"/>
    <row r="48351" ht="12" customHeight="1"/>
    <row r="48352" ht="12" customHeight="1"/>
    <row r="48353" ht="12" customHeight="1"/>
    <row r="48354" ht="12" customHeight="1"/>
    <row r="48355" ht="12" customHeight="1"/>
    <row r="48356" ht="12" customHeight="1"/>
    <row r="48357" ht="12" customHeight="1"/>
    <row r="48358" ht="12" customHeight="1"/>
    <row r="48359" ht="12" customHeight="1"/>
    <row r="48360" ht="12" customHeight="1"/>
    <row r="48361" ht="12" customHeight="1"/>
    <row r="48362" ht="12" customHeight="1"/>
    <row r="48363" ht="12" customHeight="1"/>
    <row r="48364" ht="12" customHeight="1"/>
    <row r="48365" ht="12" customHeight="1"/>
    <row r="48366" ht="12" customHeight="1"/>
    <row r="48367" ht="12" customHeight="1"/>
    <row r="48368" ht="12" customHeight="1"/>
    <row r="48369" ht="12" customHeight="1"/>
    <row r="48370" ht="12" customHeight="1"/>
    <row r="48371" ht="12" customHeight="1"/>
    <row r="48372" ht="12" customHeight="1"/>
    <row r="48373" ht="12" customHeight="1"/>
    <row r="48374" ht="12" customHeight="1"/>
    <row r="48375" ht="12" customHeight="1"/>
    <row r="48376" ht="12" customHeight="1"/>
    <row r="48377" ht="12" customHeight="1"/>
    <row r="48378" ht="12" customHeight="1"/>
    <row r="48379" ht="12" customHeight="1"/>
    <row r="48380" ht="12" customHeight="1"/>
    <row r="48381" ht="12" customHeight="1"/>
    <row r="48382" ht="12" customHeight="1"/>
    <row r="48383" ht="12" customHeight="1"/>
    <row r="48384" ht="12" customHeight="1"/>
    <row r="48385" ht="12" customHeight="1"/>
    <row r="48386" ht="12" customHeight="1"/>
    <row r="48387" ht="12" customHeight="1"/>
    <row r="48388" ht="12" customHeight="1"/>
    <row r="48389" ht="12" customHeight="1"/>
    <row r="48390" ht="12" customHeight="1"/>
    <row r="48391" ht="12" customHeight="1"/>
    <row r="48392" ht="12" customHeight="1"/>
    <row r="48393" ht="12" customHeight="1"/>
    <row r="48394" ht="12" customHeight="1"/>
    <row r="48395" ht="12" customHeight="1"/>
    <row r="48396" ht="12" customHeight="1"/>
    <row r="48397" ht="12" customHeight="1"/>
    <row r="48398" ht="12" customHeight="1"/>
    <row r="48399" ht="12" customHeight="1"/>
    <row r="48400" ht="12" customHeight="1"/>
    <row r="48401" ht="12" customHeight="1"/>
    <row r="48402" ht="12" customHeight="1"/>
    <row r="48403" ht="12" customHeight="1"/>
    <row r="48404" ht="12" customHeight="1"/>
    <row r="48405" ht="12" customHeight="1"/>
    <row r="48406" ht="12" customHeight="1"/>
    <row r="48407" ht="12" customHeight="1"/>
    <row r="48408" ht="12" customHeight="1"/>
    <row r="48409" ht="12" customHeight="1"/>
    <row r="48410" ht="12" customHeight="1"/>
    <row r="48411" ht="12" customHeight="1"/>
    <row r="48412" ht="12" customHeight="1"/>
    <row r="48413" ht="12" customHeight="1"/>
    <row r="48414" ht="12" customHeight="1"/>
    <row r="48415" ht="12" customHeight="1"/>
    <row r="48416" ht="12" customHeight="1"/>
    <row r="48417" ht="12" customHeight="1"/>
    <row r="48418" ht="12" customHeight="1"/>
    <row r="48419" ht="12" customHeight="1"/>
    <row r="48420" ht="12" customHeight="1"/>
    <row r="48421" ht="12" customHeight="1"/>
    <row r="48422" ht="12" customHeight="1"/>
    <row r="48423" ht="12" customHeight="1"/>
    <row r="48424" ht="12" customHeight="1"/>
    <row r="48425" ht="12" customHeight="1"/>
    <row r="48426" ht="12" customHeight="1"/>
    <row r="48427" ht="12" customHeight="1"/>
    <row r="48428" ht="12" customHeight="1"/>
    <row r="48429" ht="12" customHeight="1"/>
    <row r="48430" ht="12" customHeight="1"/>
    <row r="48431" ht="12" customHeight="1"/>
    <row r="48432" ht="12" customHeight="1"/>
    <row r="48433" ht="12" customHeight="1"/>
    <row r="48434" ht="12" customHeight="1"/>
    <row r="48435" ht="12" customHeight="1"/>
    <row r="48436" ht="12" customHeight="1"/>
    <row r="48437" ht="12" customHeight="1"/>
    <row r="48438" ht="12" customHeight="1"/>
    <row r="48439" ht="12" customHeight="1"/>
    <row r="48440" ht="12" customHeight="1"/>
    <row r="48441" ht="12" customHeight="1"/>
    <row r="48442" ht="12" customHeight="1"/>
    <row r="48443" ht="12" customHeight="1"/>
    <row r="48444" ht="12" customHeight="1"/>
    <row r="48445" ht="12" customHeight="1"/>
    <row r="48446" ht="12" customHeight="1"/>
    <row r="48447" ht="12" customHeight="1"/>
    <row r="48448" ht="12" customHeight="1"/>
    <row r="48449" ht="12" customHeight="1"/>
    <row r="48450" ht="12" customHeight="1"/>
    <row r="48451" ht="12" customHeight="1"/>
    <row r="48452" ht="12" customHeight="1"/>
    <row r="48453" ht="12" customHeight="1"/>
    <row r="48454" ht="12" customHeight="1"/>
    <row r="48455" ht="12" customHeight="1"/>
    <row r="48456" ht="12" customHeight="1"/>
    <row r="48457" ht="12" customHeight="1"/>
    <row r="48458" ht="12" customHeight="1"/>
    <row r="48459" ht="12" customHeight="1"/>
    <row r="48460" ht="12" customHeight="1"/>
    <row r="48461" ht="12" customHeight="1"/>
    <row r="48462" ht="12" customHeight="1"/>
    <row r="48463" ht="12" customHeight="1"/>
    <row r="48464" ht="12" customHeight="1"/>
    <row r="48465" ht="12" customHeight="1"/>
    <row r="48466" ht="12" customHeight="1"/>
    <row r="48467" ht="12" customHeight="1"/>
    <row r="48468" ht="12" customHeight="1"/>
    <row r="48469" ht="12" customHeight="1"/>
    <row r="48470" ht="12" customHeight="1"/>
    <row r="48471" ht="12" customHeight="1"/>
    <row r="48472" ht="12" customHeight="1"/>
    <row r="48473" ht="12" customHeight="1"/>
    <row r="48474" ht="12" customHeight="1"/>
    <row r="48475" ht="12" customHeight="1"/>
    <row r="48476" ht="12" customHeight="1"/>
    <row r="48477" ht="12" customHeight="1"/>
    <row r="48478" ht="12" customHeight="1"/>
    <row r="48479" ht="12" customHeight="1"/>
    <row r="48480" ht="12" customHeight="1"/>
    <row r="48481" ht="12" customHeight="1"/>
    <row r="48482" ht="12" customHeight="1"/>
    <row r="48483" ht="12" customHeight="1"/>
    <row r="48484" ht="12" customHeight="1"/>
    <row r="48485" ht="12" customHeight="1"/>
    <row r="48486" ht="12" customHeight="1"/>
    <row r="48487" ht="12" customHeight="1"/>
    <row r="48488" ht="12" customHeight="1"/>
    <row r="48489" ht="12" customHeight="1"/>
    <row r="48490" ht="12" customHeight="1"/>
    <row r="48491" ht="12" customHeight="1"/>
    <row r="48492" ht="12" customHeight="1"/>
    <row r="48493" ht="12" customHeight="1"/>
    <row r="48494" ht="12" customHeight="1"/>
    <row r="48495" ht="12" customHeight="1"/>
    <row r="48496" ht="12" customHeight="1"/>
    <row r="48497" ht="12" customHeight="1"/>
    <row r="48498" ht="12" customHeight="1"/>
    <row r="48499" ht="12" customHeight="1"/>
    <row r="48500" ht="12" customHeight="1"/>
    <row r="48501" ht="12" customHeight="1"/>
    <row r="48502" ht="12" customHeight="1"/>
    <row r="48503" ht="12" customHeight="1"/>
    <row r="48504" ht="12" customHeight="1"/>
    <row r="48505" ht="12" customHeight="1"/>
    <row r="48506" ht="12" customHeight="1"/>
    <row r="48507" ht="12" customHeight="1"/>
    <row r="48508" ht="12" customHeight="1"/>
    <row r="48509" ht="12" customHeight="1"/>
    <row r="48510" ht="12" customHeight="1"/>
    <row r="48511" ht="12" customHeight="1"/>
    <row r="48512" ht="12" customHeight="1"/>
    <row r="48513" ht="12" customHeight="1"/>
    <row r="48514" ht="12" customHeight="1"/>
    <row r="48515" ht="12" customHeight="1"/>
    <row r="48516" ht="12" customHeight="1"/>
    <row r="48517" ht="12" customHeight="1"/>
    <row r="48518" ht="12" customHeight="1"/>
    <row r="48519" ht="12" customHeight="1"/>
    <row r="48520" ht="12" customHeight="1"/>
    <row r="48521" ht="12" customHeight="1"/>
    <row r="48522" ht="12" customHeight="1"/>
    <row r="48523" ht="12" customHeight="1"/>
    <row r="48524" ht="12" customHeight="1"/>
    <row r="48525" ht="12" customHeight="1"/>
    <row r="48526" ht="12" customHeight="1"/>
    <row r="48527" ht="12" customHeight="1"/>
    <row r="48528" ht="12" customHeight="1"/>
    <row r="48529" ht="12" customHeight="1"/>
    <row r="48530" ht="12" customHeight="1"/>
    <row r="48531" ht="12" customHeight="1"/>
    <row r="48532" ht="12" customHeight="1"/>
    <row r="48533" ht="12" customHeight="1"/>
    <row r="48534" ht="12" customHeight="1"/>
    <row r="48535" ht="12" customHeight="1"/>
    <row r="48536" ht="12" customHeight="1"/>
    <row r="48537" ht="12" customHeight="1"/>
    <row r="48538" ht="12" customHeight="1"/>
    <row r="48539" ht="12" customHeight="1"/>
    <row r="48540" ht="12" customHeight="1"/>
    <row r="48541" ht="12" customHeight="1"/>
    <row r="48542" ht="12" customHeight="1"/>
    <row r="48543" ht="12" customHeight="1"/>
    <row r="48544" ht="12" customHeight="1"/>
    <row r="48545" ht="12" customHeight="1"/>
    <row r="48546" ht="12" customHeight="1"/>
    <row r="48547" ht="12" customHeight="1"/>
    <row r="48548" ht="12" customHeight="1"/>
    <row r="48549" ht="12" customHeight="1"/>
    <row r="48550" ht="12" customHeight="1"/>
    <row r="48551" ht="12" customHeight="1"/>
    <row r="48552" ht="12" customHeight="1"/>
    <row r="48553" ht="12" customHeight="1"/>
    <row r="48554" ht="12" customHeight="1"/>
    <row r="48555" ht="12" customHeight="1"/>
    <row r="48556" ht="12" customHeight="1"/>
    <row r="48557" ht="12" customHeight="1"/>
    <row r="48558" ht="12" customHeight="1"/>
    <row r="48559" ht="12" customHeight="1"/>
    <row r="48560" ht="12" customHeight="1"/>
    <row r="48561" ht="12" customHeight="1"/>
    <row r="48562" ht="12" customHeight="1"/>
    <row r="48563" ht="12" customHeight="1"/>
    <row r="48564" ht="12" customHeight="1"/>
    <row r="48565" ht="12" customHeight="1"/>
    <row r="48566" ht="12" customHeight="1"/>
    <row r="48567" ht="12" customHeight="1"/>
    <row r="48568" ht="12" customHeight="1"/>
    <row r="48569" ht="12" customHeight="1"/>
    <row r="48570" ht="12" customHeight="1"/>
    <row r="48571" ht="12" customHeight="1"/>
    <row r="48572" ht="12" customHeight="1"/>
    <row r="48573" ht="12" customHeight="1"/>
    <row r="48574" ht="12" customHeight="1"/>
    <row r="48575" ht="12" customHeight="1"/>
    <row r="48576" ht="12" customHeight="1"/>
    <row r="48577" ht="12" customHeight="1"/>
    <row r="48578" ht="12" customHeight="1"/>
    <row r="48579" ht="12" customHeight="1"/>
    <row r="48580" ht="12" customHeight="1"/>
    <row r="48581" ht="12" customHeight="1"/>
    <row r="48582" ht="12" customHeight="1"/>
    <row r="48583" ht="12" customHeight="1"/>
    <row r="48584" ht="12" customHeight="1"/>
    <row r="48585" ht="12" customHeight="1"/>
    <row r="48586" ht="12" customHeight="1"/>
    <row r="48587" ht="12" customHeight="1"/>
    <row r="48588" ht="12" customHeight="1"/>
    <row r="48589" ht="12" customHeight="1"/>
    <row r="48590" ht="12" customHeight="1"/>
    <row r="48591" ht="12" customHeight="1"/>
    <row r="48592" ht="12" customHeight="1"/>
    <row r="48593" ht="12" customHeight="1"/>
    <row r="48594" ht="12" customHeight="1"/>
    <row r="48595" ht="12" customHeight="1"/>
    <row r="48596" ht="12" customHeight="1"/>
    <row r="48597" ht="12" customHeight="1"/>
    <row r="48598" ht="12" customHeight="1"/>
    <row r="48599" ht="12" customHeight="1"/>
    <row r="48600" ht="12" customHeight="1"/>
    <row r="48601" ht="12" customHeight="1"/>
    <row r="48602" ht="12" customHeight="1"/>
    <row r="48603" ht="12" customHeight="1"/>
    <row r="48604" ht="12" customHeight="1"/>
    <row r="48605" ht="12" customHeight="1"/>
    <row r="48606" ht="12" customHeight="1"/>
    <row r="48607" ht="12" customHeight="1"/>
    <row r="48608" ht="12" customHeight="1"/>
    <row r="48609" ht="12" customHeight="1"/>
    <row r="48610" ht="12" customHeight="1"/>
    <row r="48611" ht="12" customHeight="1"/>
    <row r="48612" ht="12" customHeight="1"/>
    <row r="48613" ht="12" customHeight="1"/>
    <row r="48614" ht="12" customHeight="1"/>
    <row r="48615" ht="12" customHeight="1"/>
    <row r="48616" ht="12" customHeight="1"/>
    <row r="48617" ht="12" customHeight="1"/>
    <row r="48618" ht="12" customHeight="1"/>
    <row r="48619" ht="12" customHeight="1"/>
    <row r="48620" ht="12" customHeight="1"/>
    <row r="48621" ht="12" customHeight="1"/>
    <row r="48622" ht="12" customHeight="1"/>
    <row r="48623" ht="12" customHeight="1"/>
    <row r="48624" ht="12" customHeight="1"/>
    <row r="48625" ht="12" customHeight="1"/>
    <row r="48626" ht="12" customHeight="1"/>
    <row r="48627" ht="12" customHeight="1"/>
    <row r="48628" ht="12" customHeight="1"/>
    <row r="48629" ht="12" customHeight="1"/>
    <row r="48630" ht="12" customHeight="1"/>
    <row r="48631" ht="12" customHeight="1"/>
    <row r="48632" ht="12" customHeight="1"/>
    <row r="48633" ht="12" customHeight="1"/>
    <row r="48634" ht="12" customHeight="1"/>
    <row r="48635" ht="12" customHeight="1"/>
    <row r="48636" ht="12" customHeight="1"/>
    <row r="48637" ht="12" customHeight="1"/>
    <row r="48638" ht="12" customHeight="1"/>
    <row r="48639" ht="12" customHeight="1"/>
    <row r="48640" ht="12" customHeight="1"/>
    <row r="48641" ht="12" customHeight="1"/>
    <row r="48642" ht="12" customHeight="1"/>
    <row r="48643" ht="12" customHeight="1"/>
    <row r="48644" ht="12" customHeight="1"/>
    <row r="48645" ht="12" customHeight="1"/>
    <row r="48646" ht="12" customHeight="1"/>
    <row r="48647" ht="12" customHeight="1"/>
    <row r="48648" ht="12" customHeight="1"/>
    <row r="48649" ht="12" customHeight="1"/>
    <row r="48650" ht="12" customHeight="1"/>
    <row r="48651" ht="12" customHeight="1"/>
    <row r="48652" ht="12" customHeight="1"/>
    <row r="48653" ht="12" customHeight="1"/>
    <row r="48654" ht="12" customHeight="1"/>
    <row r="48655" ht="12" customHeight="1"/>
    <row r="48656" ht="12" customHeight="1"/>
    <row r="48657" ht="12" customHeight="1"/>
    <row r="48658" ht="12" customHeight="1"/>
    <row r="48659" ht="12" customHeight="1"/>
    <row r="48660" ht="12" customHeight="1"/>
    <row r="48661" ht="12" customHeight="1"/>
    <row r="48662" ht="12" customHeight="1"/>
    <row r="48663" ht="12" customHeight="1"/>
    <row r="48664" ht="12" customHeight="1"/>
    <row r="48665" ht="12" customHeight="1"/>
    <row r="48666" ht="12" customHeight="1"/>
    <row r="48667" ht="12" customHeight="1"/>
    <row r="48668" ht="12" customHeight="1"/>
    <row r="48669" ht="12" customHeight="1"/>
    <row r="48670" ht="12" customHeight="1"/>
    <row r="48671" ht="12" customHeight="1"/>
    <row r="48672" ht="12" customHeight="1"/>
    <row r="48673" ht="12" customHeight="1"/>
    <row r="48674" ht="12" customHeight="1"/>
    <row r="48675" ht="12" customHeight="1"/>
    <row r="48676" ht="12" customHeight="1"/>
    <row r="48677" ht="12" customHeight="1"/>
    <row r="48678" ht="12" customHeight="1"/>
    <row r="48679" ht="12" customHeight="1"/>
    <row r="48680" ht="12" customHeight="1"/>
    <row r="48681" ht="12" customHeight="1"/>
    <row r="48682" ht="12" customHeight="1"/>
    <row r="48683" ht="12" customHeight="1"/>
    <row r="48684" ht="12" customHeight="1"/>
    <row r="48685" ht="12" customHeight="1"/>
    <row r="48686" ht="12" customHeight="1"/>
    <row r="48687" ht="12" customHeight="1"/>
    <row r="48688" ht="12" customHeight="1"/>
    <row r="48689" ht="12" customHeight="1"/>
    <row r="48690" ht="12" customHeight="1"/>
    <row r="48691" ht="12" customHeight="1"/>
    <row r="48692" ht="12" customHeight="1"/>
    <row r="48693" ht="12" customHeight="1"/>
    <row r="48694" ht="12" customHeight="1"/>
    <row r="48695" ht="12" customHeight="1"/>
    <row r="48696" ht="12" customHeight="1"/>
    <row r="48697" ht="12" customHeight="1"/>
    <row r="48698" ht="12" customHeight="1"/>
    <row r="48699" ht="12" customHeight="1"/>
    <row r="48700" ht="12" customHeight="1"/>
    <row r="48701" ht="12" customHeight="1"/>
    <row r="48702" ht="12" customHeight="1"/>
    <row r="48703" ht="12" customHeight="1"/>
    <row r="48704" ht="12" customHeight="1"/>
    <row r="48705" ht="12" customHeight="1"/>
    <row r="48706" ht="12" customHeight="1"/>
    <row r="48707" ht="12" customHeight="1"/>
    <row r="48708" ht="12" customHeight="1"/>
    <row r="48709" ht="12" customHeight="1"/>
    <row r="48710" ht="12" customHeight="1"/>
    <row r="48711" ht="12" customHeight="1"/>
    <row r="48712" ht="12" customHeight="1"/>
    <row r="48713" ht="12" customHeight="1"/>
    <row r="48714" ht="12" customHeight="1"/>
    <row r="48715" ht="12" customHeight="1"/>
    <row r="48716" ht="12" customHeight="1"/>
    <row r="48717" ht="12" customHeight="1"/>
    <row r="48718" ht="12" customHeight="1"/>
    <row r="48719" ht="12" customHeight="1"/>
    <row r="48720" ht="12" customHeight="1"/>
    <row r="48721" ht="12" customHeight="1"/>
    <row r="48722" ht="12" customHeight="1"/>
    <row r="48723" ht="12" customHeight="1"/>
    <row r="48724" ht="12" customHeight="1"/>
    <row r="48725" ht="12" customHeight="1"/>
    <row r="48726" ht="12" customHeight="1"/>
    <row r="48727" ht="12" customHeight="1"/>
    <row r="48728" ht="12" customHeight="1"/>
    <row r="48729" ht="12" customHeight="1"/>
    <row r="48730" ht="12" customHeight="1"/>
    <row r="48731" ht="12" customHeight="1"/>
    <row r="48732" ht="12" customHeight="1"/>
    <row r="48733" ht="12" customHeight="1"/>
    <row r="48734" ht="12" customHeight="1"/>
    <row r="48735" ht="12" customHeight="1"/>
    <row r="48736" ht="12" customHeight="1"/>
    <row r="48737" ht="12" customHeight="1"/>
    <row r="48738" ht="12" customHeight="1"/>
    <row r="48739" ht="12" customHeight="1"/>
    <row r="48740" ht="12" customHeight="1"/>
    <row r="48741" ht="12" customHeight="1"/>
    <row r="48742" ht="12" customHeight="1"/>
    <row r="48743" ht="12" customHeight="1"/>
    <row r="48744" ht="12" customHeight="1"/>
    <row r="48745" ht="12" customHeight="1"/>
    <row r="48746" ht="12" customHeight="1"/>
    <row r="48747" ht="12" customHeight="1"/>
    <row r="48748" ht="12" customHeight="1"/>
    <row r="48749" ht="12" customHeight="1"/>
    <row r="48750" ht="12" customHeight="1"/>
    <row r="48751" ht="12" customHeight="1"/>
    <row r="48752" ht="12" customHeight="1"/>
    <row r="48753" ht="12" customHeight="1"/>
    <row r="48754" ht="12" customHeight="1"/>
    <row r="48755" ht="12" customHeight="1"/>
    <row r="48756" ht="12" customHeight="1"/>
    <row r="48757" ht="12" customHeight="1"/>
    <row r="48758" ht="12" customHeight="1"/>
    <row r="48759" ht="12" customHeight="1"/>
    <row r="48760" ht="12" customHeight="1"/>
    <row r="48761" ht="12" customHeight="1"/>
    <row r="48762" ht="12" customHeight="1"/>
    <row r="48763" ht="12" customHeight="1"/>
    <row r="48764" ht="12" customHeight="1"/>
    <row r="48765" ht="12" customHeight="1"/>
    <row r="48766" ht="12" customHeight="1"/>
    <row r="48767" ht="12" customHeight="1"/>
    <row r="48768" ht="12" customHeight="1"/>
    <row r="48769" ht="12" customHeight="1"/>
    <row r="48770" ht="12" customHeight="1"/>
    <row r="48771" ht="12" customHeight="1"/>
    <row r="48772" ht="12" customHeight="1"/>
    <row r="48773" ht="12" customHeight="1"/>
    <row r="48774" ht="12" customHeight="1"/>
    <row r="48775" ht="12" customHeight="1"/>
    <row r="48776" ht="12" customHeight="1"/>
    <row r="48777" ht="12" customHeight="1"/>
    <row r="48778" ht="12" customHeight="1"/>
    <row r="48779" ht="12" customHeight="1"/>
    <row r="48780" ht="12" customHeight="1"/>
    <row r="48781" ht="12" customHeight="1"/>
    <row r="48782" ht="12" customHeight="1"/>
    <row r="48783" ht="12" customHeight="1"/>
    <row r="48784" ht="12" customHeight="1"/>
    <row r="48785" ht="12" customHeight="1"/>
    <row r="48786" ht="12" customHeight="1"/>
    <row r="48787" ht="12" customHeight="1"/>
    <row r="48788" ht="12" customHeight="1"/>
    <row r="48789" ht="12" customHeight="1"/>
    <row r="48790" ht="12" customHeight="1"/>
    <row r="48791" ht="12" customHeight="1"/>
    <row r="48792" ht="12" customHeight="1"/>
    <row r="48793" ht="12" customHeight="1"/>
    <row r="48794" ht="12" customHeight="1"/>
    <row r="48795" ht="12" customHeight="1"/>
    <row r="48796" ht="12" customHeight="1"/>
    <row r="48797" ht="12" customHeight="1"/>
    <row r="48798" ht="12" customHeight="1"/>
    <row r="48799" ht="12" customHeight="1"/>
    <row r="48800" ht="12" customHeight="1"/>
    <row r="48801" ht="12" customHeight="1"/>
    <row r="48802" ht="12" customHeight="1"/>
    <row r="48803" ht="12" customHeight="1"/>
    <row r="48804" ht="12" customHeight="1"/>
    <row r="48805" ht="12" customHeight="1"/>
    <row r="48806" ht="12" customHeight="1"/>
    <row r="48807" ht="12" customHeight="1"/>
    <row r="48808" ht="12" customHeight="1"/>
    <row r="48809" ht="12" customHeight="1"/>
    <row r="48810" ht="12" customHeight="1"/>
    <row r="48811" ht="12" customHeight="1"/>
    <row r="48812" ht="12" customHeight="1"/>
    <row r="48813" ht="12" customHeight="1"/>
    <row r="48814" ht="12" customHeight="1"/>
    <row r="48815" ht="12" customHeight="1"/>
    <row r="48816" ht="12" customHeight="1"/>
    <row r="48817" ht="12" customHeight="1"/>
    <row r="48818" ht="12" customHeight="1"/>
    <row r="48819" ht="12" customHeight="1"/>
    <row r="48820" ht="12" customHeight="1"/>
    <row r="48821" ht="12" customHeight="1"/>
    <row r="48822" ht="12" customHeight="1"/>
    <row r="48823" ht="12" customHeight="1"/>
    <row r="48824" ht="12" customHeight="1"/>
    <row r="48825" ht="12" customHeight="1"/>
    <row r="48826" ht="12" customHeight="1"/>
    <row r="48827" ht="12" customHeight="1"/>
    <row r="48828" ht="12" customHeight="1"/>
    <row r="48829" ht="12" customHeight="1"/>
    <row r="48830" ht="12" customHeight="1"/>
    <row r="48831" ht="12" customHeight="1"/>
    <row r="48832" ht="12" customHeight="1"/>
    <row r="48833" ht="12" customHeight="1"/>
    <row r="48834" ht="12" customHeight="1"/>
    <row r="48835" ht="12" customHeight="1"/>
    <row r="48836" ht="12" customHeight="1"/>
    <row r="48837" ht="12" customHeight="1"/>
    <row r="48838" ht="12" customHeight="1"/>
    <row r="48839" ht="12" customHeight="1"/>
    <row r="48840" ht="12" customHeight="1"/>
    <row r="48841" ht="12" customHeight="1"/>
    <row r="48842" ht="12" customHeight="1"/>
    <row r="48843" ht="12" customHeight="1"/>
    <row r="48844" ht="12" customHeight="1"/>
    <row r="48845" ht="12" customHeight="1"/>
    <row r="48846" ht="12" customHeight="1"/>
    <row r="48847" ht="12" customHeight="1"/>
    <row r="48848" ht="12" customHeight="1"/>
    <row r="48849" ht="12" customHeight="1"/>
    <row r="48850" ht="12" customHeight="1"/>
    <row r="48851" ht="12" customHeight="1"/>
    <row r="48852" ht="12" customHeight="1"/>
    <row r="48853" ht="12" customHeight="1"/>
    <row r="48854" ht="12" customHeight="1"/>
    <row r="48855" ht="12" customHeight="1"/>
    <row r="48856" ht="12" customHeight="1"/>
    <row r="48857" ht="12" customHeight="1"/>
    <row r="48858" ht="12" customHeight="1"/>
    <row r="48859" ht="12" customHeight="1"/>
    <row r="48860" ht="12" customHeight="1"/>
    <row r="48861" ht="12" customHeight="1"/>
    <row r="48862" ht="12" customHeight="1"/>
    <row r="48863" ht="12" customHeight="1"/>
    <row r="48864" ht="12" customHeight="1"/>
    <row r="48865" ht="12" customHeight="1"/>
    <row r="48866" ht="12" customHeight="1"/>
    <row r="48867" ht="12" customHeight="1"/>
    <row r="48868" ht="12" customHeight="1"/>
    <row r="48869" ht="12" customHeight="1"/>
    <row r="48870" ht="12" customHeight="1"/>
    <row r="48871" ht="12" customHeight="1"/>
    <row r="48872" ht="12" customHeight="1"/>
    <row r="48873" ht="12" customHeight="1"/>
    <row r="48874" ht="12" customHeight="1"/>
    <row r="48875" ht="12" customHeight="1"/>
    <row r="48876" ht="12" customHeight="1"/>
    <row r="48877" ht="12" customHeight="1"/>
    <row r="48878" ht="12" customHeight="1"/>
    <row r="48879" ht="12" customHeight="1"/>
    <row r="48880" ht="12" customHeight="1"/>
    <row r="48881" ht="12" customHeight="1"/>
    <row r="48882" ht="12" customHeight="1"/>
    <row r="48883" ht="12" customHeight="1"/>
    <row r="48884" ht="12" customHeight="1"/>
    <row r="48885" ht="12" customHeight="1"/>
    <row r="48886" ht="12" customHeight="1"/>
    <row r="48887" ht="12" customHeight="1"/>
    <row r="48888" ht="12" customHeight="1"/>
    <row r="48889" ht="12" customHeight="1"/>
    <row r="48890" ht="12" customHeight="1"/>
    <row r="48891" ht="12" customHeight="1"/>
    <row r="48892" ht="12" customHeight="1"/>
    <row r="48893" ht="12" customHeight="1"/>
    <row r="48894" ht="12" customHeight="1"/>
    <row r="48895" ht="12" customHeight="1"/>
    <row r="48896" ht="12" customHeight="1"/>
    <row r="48897" ht="12" customHeight="1"/>
    <row r="48898" ht="12" customHeight="1"/>
    <row r="48899" ht="12" customHeight="1"/>
    <row r="48900" ht="12" customHeight="1"/>
    <row r="48901" ht="12" customHeight="1"/>
    <row r="48902" ht="12" customHeight="1"/>
    <row r="48903" ht="12" customHeight="1"/>
    <row r="48904" ht="12" customHeight="1"/>
    <row r="48905" ht="12" customHeight="1"/>
    <row r="48906" ht="12" customHeight="1"/>
    <row r="48907" ht="12" customHeight="1"/>
    <row r="48908" ht="12" customHeight="1"/>
    <row r="48909" ht="12" customHeight="1"/>
    <row r="48910" ht="12" customHeight="1"/>
    <row r="48911" ht="12" customHeight="1"/>
    <row r="48912" ht="12" customHeight="1"/>
    <row r="48913" ht="12" customHeight="1"/>
    <row r="48914" ht="12" customHeight="1"/>
    <row r="48915" ht="12" customHeight="1"/>
    <row r="48916" ht="12" customHeight="1"/>
    <row r="48917" ht="12" customHeight="1"/>
    <row r="48918" ht="12" customHeight="1"/>
    <row r="48919" ht="12" customHeight="1"/>
    <row r="48920" ht="12" customHeight="1"/>
    <row r="48921" ht="12" customHeight="1"/>
    <row r="48922" ht="12" customHeight="1"/>
    <row r="48923" ht="12" customHeight="1"/>
    <row r="48924" ht="12" customHeight="1"/>
    <row r="48925" ht="12" customHeight="1"/>
    <row r="48926" ht="12" customHeight="1"/>
    <row r="48927" ht="12" customHeight="1"/>
    <row r="48928" ht="12" customHeight="1"/>
    <row r="48929" ht="12" customHeight="1"/>
    <row r="48930" ht="12" customHeight="1"/>
    <row r="48931" ht="12" customHeight="1"/>
    <row r="48932" ht="12" customHeight="1"/>
    <row r="48933" ht="12" customHeight="1"/>
    <row r="48934" ht="12" customHeight="1"/>
    <row r="48935" ht="12" customHeight="1"/>
    <row r="48936" ht="12" customHeight="1"/>
    <row r="48937" ht="12" customHeight="1"/>
    <row r="48938" ht="12" customHeight="1"/>
    <row r="48939" ht="12" customHeight="1"/>
    <row r="48940" ht="12" customHeight="1"/>
    <row r="48941" ht="12" customHeight="1"/>
    <row r="48942" ht="12" customHeight="1"/>
    <row r="48943" ht="12" customHeight="1"/>
    <row r="48944" ht="12" customHeight="1"/>
    <row r="48945" ht="12" customHeight="1"/>
    <row r="48946" ht="12" customHeight="1"/>
    <row r="48947" ht="12" customHeight="1"/>
    <row r="48948" ht="12" customHeight="1"/>
    <row r="48949" ht="12" customHeight="1"/>
    <row r="48950" ht="12" customHeight="1"/>
    <row r="48951" ht="12" customHeight="1"/>
    <row r="48952" ht="12" customHeight="1"/>
    <row r="48953" ht="12" customHeight="1"/>
    <row r="48954" ht="12" customHeight="1"/>
    <row r="48955" ht="12" customHeight="1"/>
    <row r="48956" ht="12" customHeight="1"/>
    <row r="48957" ht="12" customHeight="1"/>
    <row r="48958" ht="12" customHeight="1"/>
    <row r="48959" ht="12" customHeight="1"/>
    <row r="48960" ht="12" customHeight="1"/>
    <row r="48961" ht="12" customHeight="1"/>
    <row r="48962" ht="12" customHeight="1"/>
    <row r="48963" ht="12" customHeight="1"/>
    <row r="48964" ht="12" customHeight="1"/>
    <row r="48965" ht="12" customHeight="1"/>
    <row r="48966" ht="12" customHeight="1"/>
    <row r="48967" ht="12" customHeight="1"/>
    <row r="48968" ht="12" customHeight="1"/>
    <row r="48969" ht="12" customHeight="1"/>
    <row r="48970" ht="12" customHeight="1"/>
    <row r="48971" ht="12" customHeight="1"/>
    <row r="48972" ht="12" customHeight="1"/>
    <row r="48973" ht="12" customHeight="1"/>
    <row r="48974" ht="12" customHeight="1"/>
    <row r="48975" ht="12" customHeight="1"/>
    <row r="48976" ht="12" customHeight="1"/>
    <row r="48977" ht="12" customHeight="1"/>
    <row r="48978" ht="12" customHeight="1"/>
    <row r="48979" ht="12" customHeight="1"/>
    <row r="48980" ht="12" customHeight="1"/>
    <row r="48981" ht="12" customHeight="1"/>
    <row r="48982" ht="12" customHeight="1"/>
    <row r="48983" ht="12" customHeight="1"/>
    <row r="48984" ht="12" customHeight="1"/>
    <row r="48985" ht="12" customHeight="1"/>
    <row r="48986" ht="12" customHeight="1"/>
    <row r="48987" ht="12" customHeight="1"/>
    <row r="48988" ht="12" customHeight="1"/>
    <row r="48989" ht="12" customHeight="1"/>
    <row r="48990" ht="12" customHeight="1"/>
    <row r="48991" ht="12" customHeight="1"/>
    <row r="48992" ht="12" customHeight="1"/>
    <row r="48993" ht="12" customHeight="1"/>
    <row r="48994" ht="12" customHeight="1"/>
    <row r="48995" ht="12" customHeight="1"/>
    <row r="48996" ht="12" customHeight="1"/>
    <row r="48997" ht="12" customHeight="1"/>
    <row r="48998" ht="12" customHeight="1"/>
    <row r="48999" ht="12" customHeight="1"/>
    <row r="49000" ht="12" customHeight="1"/>
    <row r="49001" ht="12" customHeight="1"/>
    <row r="49002" ht="12" customHeight="1"/>
    <row r="49003" ht="12" customHeight="1"/>
    <row r="49004" ht="12" customHeight="1"/>
    <row r="49005" ht="12" customHeight="1"/>
    <row r="49006" ht="12" customHeight="1"/>
    <row r="49007" ht="12" customHeight="1"/>
    <row r="49008" ht="12" customHeight="1"/>
    <row r="49009" ht="12" customHeight="1"/>
    <row r="49010" ht="12" customHeight="1"/>
    <row r="49011" ht="12" customHeight="1"/>
    <row r="49012" ht="12" customHeight="1"/>
    <row r="49013" ht="12" customHeight="1"/>
    <row r="49014" ht="12" customHeight="1"/>
    <row r="49015" ht="12" customHeight="1"/>
    <row r="49016" ht="12" customHeight="1"/>
    <row r="49017" ht="12" customHeight="1"/>
    <row r="49018" ht="12" customHeight="1"/>
    <row r="49019" ht="12" customHeight="1"/>
    <row r="49020" ht="12" customHeight="1"/>
    <row r="49021" ht="12" customHeight="1"/>
    <row r="49022" ht="12" customHeight="1"/>
    <row r="49023" ht="12" customHeight="1"/>
    <row r="49024" ht="12" customHeight="1"/>
    <row r="49025" ht="12" customHeight="1"/>
    <row r="49026" ht="12" customHeight="1"/>
    <row r="49027" ht="12" customHeight="1"/>
    <row r="49028" ht="12" customHeight="1"/>
    <row r="49029" ht="12" customHeight="1"/>
    <row r="49030" ht="12" customHeight="1"/>
    <row r="49031" ht="12" customHeight="1"/>
    <row r="49032" ht="12" customHeight="1"/>
    <row r="49033" ht="12" customHeight="1"/>
    <row r="49034" ht="12" customHeight="1"/>
    <row r="49035" ht="12" customHeight="1"/>
    <row r="49036" ht="12" customHeight="1"/>
    <row r="49037" ht="12" customHeight="1"/>
    <row r="49038" ht="12" customHeight="1"/>
    <row r="49039" ht="12" customHeight="1"/>
    <row r="49040" ht="12" customHeight="1"/>
    <row r="49041" ht="12" customHeight="1"/>
    <row r="49042" ht="12" customHeight="1"/>
    <row r="49043" ht="12" customHeight="1"/>
    <row r="49044" ht="12" customHeight="1"/>
    <row r="49045" ht="12" customHeight="1"/>
    <row r="49046" ht="12" customHeight="1"/>
    <row r="49047" ht="12" customHeight="1"/>
    <row r="49048" ht="12" customHeight="1"/>
    <row r="49049" ht="12" customHeight="1"/>
    <row r="49050" ht="12" customHeight="1"/>
    <row r="49051" ht="12" customHeight="1"/>
    <row r="49052" ht="12" customHeight="1"/>
    <row r="49053" ht="12" customHeight="1"/>
    <row r="49054" ht="12" customHeight="1"/>
    <row r="49055" ht="12" customHeight="1"/>
    <row r="49056" ht="12" customHeight="1"/>
    <row r="49057" ht="12" customHeight="1"/>
    <row r="49058" ht="12" customHeight="1"/>
    <row r="49059" ht="12" customHeight="1"/>
    <row r="49060" ht="12" customHeight="1"/>
    <row r="49061" ht="12" customHeight="1"/>
    <row r="49062" ht="12" customHeight="1"/>
    <row r="49063" ht="12" customHeight="1"/>
    <row r="49064" ht="12" customHeight="1"/>
    <row r="49065" ht="12" customHeight="1"/>
    <row r="49066" ht="12" customHeight="1"/>
    <row r="49067" ht="12" customHeight="1"/>
    <row r="49068" ht="12" customHeight="1"/>
    <row r="49069" ht="12" customHeight="1"/>
    <row r="49070" ht="12" customHeight="1"/>
    <row r="49071" ht="12" customHeight="1"/>
    <row r="49072" ht="12" customHeight="1"/>
    <row r="49073" ht="12" customHeight="1"/>
    <row r="49074" ht="12" customHeight="1"/>
    <row r="49075" ht="12" customHeight="1"/>
    <row r="49076" ht="12" customHeight="1"/>
    <row r="49077" ht="12" customHeight="1"/>
    <row r="49078" ht="12" customHeight="1"/>
    <row r="49079" ht="12" customHeight="1"/>
    <row r="49080" ht="12" customHeight="1"/>
    <row r="49081" ht="12" customHeight="1"/>
    <row r="49082" ht="12" customHeight="1"/>
    <row r="49083" ht="12" customHeight="1"/>
    <row r="49084" ht="12" customHeight="1"/>
    <row r="49085" ht="12" customHeight="1"/>
    <row r="49086" ht="12" customHeight="1"/>
    <row r="49087" ht="12" customHeight="1"/>
    <row r="49088" ht="12" customHeight="1"/>
    <row r="49089" ht="12" customHeight="1"/>
    <row r="49090" ht="12" customHeight="1"/>
    <row r="49091" ht="12" customHeight="1"/>
    <row r="49092" ht="12" customHeight="1"/>
    <row r="49093" ht="12" customHeight="1"/>
    <row r="49094" ht="12" customHeight="1"/>
    <row r="49095" ht="12" customHeight="1"/>
    <row r="49096" ht="12" customHeight="1"/>
    <row r="49097" ht="12" customHeight="1"/>
    <row r="49098" ht="12" customHeight="1"/>
    <row r="49099" ht="12" customHeight="1"/>
    <row r="49100" ht="12" customHeight="1"/>
    <row r="49101" ht="12" customHeight="1"/>
    <row r="49102" ht="12" customHeight="1"/>
    <row r="49103" ht="12" customHeight="1"/>
    <row r="49104" ht="12" customHeight="1"/>
    <row r="49105" ht="12" customHeight="1"/>
    <row r="49106" ht="12" customHeight="1"/>
    <row r="49107" ht="12" customHeight="1"/>
    <row r="49108" ht="12" customHeight="1"/>
    <row r="49109" ht="12" customHeight="1"/>
    <row r="49110" ht="12" customHeight="1"/>
    <row r="49111" ht="12" customHeight="1"/>
    <row r="49112" ht="12" customHeight="1"/>
    <row r="49113" ht="12" customHeight="1"/>
    <row r="49114" ht="12" customHeight="1"/>
    <row r="49115" ht="12" customHeight="1"/>
    <row r="49116" ht="12" customHeight="1"/>
    <row r="49117" ht="12" customHeight="1"/>
    <row r="49118" ht="12" customHeight="1"/>
    <row r="49119" ht="12" customHeight="1"/>
    <row r="49120" ht="12" customHeight="1"/>
    <row r="49121" ht="12" customHeight="1"/>
    <row r="49122" ht="12" customHeight="1"/>
    <row r="49123" ht="12" customHeight="1"/>
    <row r="49124" ht="12" customHeight="1"/>
    <row r="49125" ht="12" customHeight="1"/>
    <row r="49126" ht="12" customHeight="1"/>
    <row r="49127" ht="12" customHeight="1"/>
    <row r="49128" ht="12" customHeight="1"/>
    <row r="49129" ht="12" customHeight="1"/>
    <row r="49130" ht="12" customHeight="1"/>
    <row r="49131" ht="12" customHeight="1"/>
    <row r="49132" ht="12" customHeight="1"/>
    <row r="49133" ht="12" customHeight="1"/>
    <row r="49134" ht="12" customHeight="1"/>
    <row r="49135" ht="12" customHeight="1"/>
    <row r="49136" ht="12" customHeight="1"/>
    <row r="49137" ht="12" customHeight="1"/>
    <row r="49138" ht="12" customHeight="1"/>
    <row r="49139" ht="12" customHeight="1"/>
    <row r="49140" ht="12" customHeight="1"/>
    <row r="49141" ht="12" customHeight="1"/>
    <row r="49142" ht="12" customHeight="1"/>
    <row r="49143" ht="12" customHeight="1"/>
    <row r="49144" ht="12" customHeight="1"/>
    <row r="49145" ht="12" customHeight="1"/>
    <row r="49146" ht="12" customHeight="1"/>
    <row r="49147" ht="12" customHeight="1"/>
    <row r="49148" ht="12" customHeight="1"/>
    <row r="49149" ht="12" customHeight="1"/>
    <row r="49150" ht="12" customHeight="1"/>
    <row r="49151" ht="12" customHeight="1"/>
    <row r="49152" ht="12" customHeight="1"/>
    <row r="49153" ht="12" customHeight="1"/>
    <row r="49154" ht="12" customHeight="1"/>
    <row r="49155" ht="12" customHeight="1"/>
    <row r="49156" ht="12" customHeight="1"/>
    <row r="49157" ht="12" customHeight="1"/>
    <row r="49158" ht="12" customHeight="1"/>
    <row r="49159" ht="12" customHeight="1"/>
    <row r="49160" ht="12" customHeight="1"/>
    <row r="49161" ht="12" customHeight="1"/>
    <row r="49162" ht="12" customHeight="1"/>
    <row r="49163" ht="12" customHeight="1"/>
    <row r="49164" ht="12" customHeight="1"/>
    <row r="49165" ht="12" customHeight="1"/>
    <row r="49166" ht="12" customHeight="1"/>
    <row r="49167" ht="12" customHeight="1"/>
    <row r="49168" ht="12" customHeight="1"/>
    <row r="49169" ht="12" customHeight="1"/>
    <row r="49170" ht="12" customHeight="1"/>
    <row r="49171" ht="12" customHeight="1"/>
    <row r="49172" ht="12" customHeight="1"/>
    <row r="49173" ht="12" customHeight="1"/>
    <row r="49174" ht="12" customHeight="1"/>
    <row r="49175" ht="12" customHeight="1"/>
    <row r="49176" ht="12" customHeight="1"/>
    <row r="49177" ht="12" customHeight="1"/>
    <row r="49178" ht="12" customHeight="1"/>
    <row r="49179" ht="12" customHeight="1"/>
    <row r="49180" ht="12" customHeight="1"/>
    <row r="49181" ht="12" customHeight="1"/>
    <row r="49182" ht="12" customHeight="1"/>
    <row r="49183" ht="12" customHeight="1"/>
    <row r="49184" ht="12" customHeight="1"/>
    <row r="49185" ht="12" customHeight="1"/>
    <row r="49186" ht="12" customHeight="1"/>
    <row r="49187" ht="12" customHeight="1"/>
    <row r="49188" ht="12" customHeight="1"/>
    <row r="49189" ht="12" customHeight="1"/>
    <row r="49190" ht="12" customHeight="1"/>
    <row r="49191" ht="12" customHeight="1"/>
    <row r="49192" ht="12" customHeight="1"/>
    <row r="49193" ht="12" customHeight="1"/>
    <row r="49194" ht="12" customHeight="1"/>
    <row r="49195" ht="12" customHeight="1"/>
    <row r="49196" ht="12" customHeight="1"/>
    <row r="49197" ht="12" customHeight="1"/>
    <row r="49198" ht="12" customHeight="1"/>
    <row r="49199" ht="12" customHeight="1"/>
    <row r="49200" ht="12" customHeight="1"/>
    <row r="49201" ht="12" customHeight="1"/>
    <row r="49202" ht="12" customHeight="1"/>
    <row r="49203" ht="12" customHeight="1"/>
    <row r="49204" ht="12" customHeight="1"/>
    <row r="49205" ht="12" customHeight="1"/>
    <row r="49206" ht="12" customHeight="1"/>
    <row r="49207" ht="12" customHeight="1"/>
    <row r="49208" ht="12" customHeight="1"/>
    <row r="49209" ht="12" customHeight="1"/>
    <row r="49210" ht="12" customHeight="1"/>
    <row r="49211" ht="12" customHeight="1"/>
    <row r="49212" ht="12" customHeight="1"/>
    <row r="49213" ht="12" customHeight="1"/>
    <row r="49214" ht="12" customHeight="1"/>
    <row r="49215" ht="12" customHeight="1"/>
    <row r="49216" ht="12" customHeight="1"/>
    <row r="49217" ht="12" customHeight="1"/>
    <row r="49218" ht="12" customHeight="1"/>
    <row r="49219" ht="12" customHeight="1"/>
    <row r="49220" ht="12" customHeight="1"/>
    <row r="49221" ht="12" customHeight="1"/>
    <row r="49222" ht="12" customHeight="1"/>
    <row r="49223" ht="12" customHeight="1"/>
    <row r="49224" ht="12" customHeight="1"/>
    <row r="49225" ht="12" customHeight="1"/>
    <row r="49226" ht="12" customHeight="1"/>
    <row r="49227" ht="12" customHeight="1"/>
    <row r="49228" ht="12" customHeight="1"/>
    <row r="49229" ht="12" customHeight="1"/>
    <row r="49230" ht="12" customHeight="1"/>
    <row r="49231" ht="12" customHeight="1"/>
    <row r="49232" ht="12" customHeight="1"/>
    <row r="49233" ht="12" customHeight="1"/>
    <row r="49234" ht="12" customHeight="1"/>
    <row r="49235" ht="12" customHeight="1"/>
    <row r="49236" ht="12" customHeight="1"/>
    <row r="49237" ht="12" customHeight="1"/>
    <row r="49238" ht="12" customHeight="1"/>
    <row r="49239" ht="12" customHeight="1"/>
    <row r="49240" ht="12" customHeight="1"/>
    <row r="49241" ht="12" customHeight="1"/>
    <row r="49242" ht="12" customHeight="1"/>
    <row r="49243" ht="12" customHeight="1"/>
    <row r="49244" ht="12" customHeight="1"/>
    <row r="49245" ht="12" customHeight="1"/>
    <row r="49246" ht="12" customHeight="1"/>
    <row r="49247" ht="12" customHeight="1"/>
    <row r="49248" ht="12" customHeight="1"/>
    <row r="49249" ht="12" customHeight="1"/>
    <row r="49250" ht="12" customHeight="1"/>
    <row r="49251" ht="12" customHeight="1"/>
    <row r="49252" ht="12" customHeight="1"/>
    <row r="49253" ht="12" customHeight="1"/>
    <row r="49254" ht="12" customHeight="1"/>
    <row r="49255" ht="12" customHeight="1"/>
    <row r="49256" ht="12" customHeight="1"/>
    <row r="49257" ht="12" customHeight="1"/>
    <row r="49258" ht="12" customHeight="1"/>
    <row r="49259" ht="12" customHeight="1"/>
    <row r="49260" ht="12" customHeight="1"/>
    <row r="49261" ht="12" customHeight="1"/>
    <row r="49262" ht="12" customHeight="1"/>
    <row r="49263" ht="12" customHeight="1"/>
    <row r="49264" ht="12" customHeight="1"/>
    <row r="49265" ht="12" customHeight="1"/>
    <row r="49266" ht="12" customHeight="1"/>
    <row r="49267" ht="12" customHeight="1"/>
    <row r="49268" ht="12" customHeight="1"/>
    <row r="49269" ht="12" customHeight="1"/>
    <row r="49270" ht="12" customHeight="1"/>
    <row r="49271" ht="12" customHeight="1"/>
    <row r="49272" ht="12" customHeight="1"/>
    <row r="49273" ht="12" customHeight="1"/>
    <row r="49274" ht="12" customHeight="1"/>
    <row r="49275" ht="12" customHeight="1"/>
    <row r="49276" ht="12" customHeight="1"/>
    <row r="49277" ht="12" customHeight="1"/>
    <row r="49278" ht="12" customHeight="1"/>
    <row r="49279" ht="12" customHeight="1"/>
    <row r="49280" ht="12" customHeight="1"/>
    <row r="49281" ht="12" customHeight="1"/>
    <row r="49282" ht="12" customHeight="1"/>
    <row r="49283" ht="12" customHeight="1"/>
    <row r="49284" ht="12" customHeight="1"/>
    <row r="49285" ht="12" customHeight="1"/>
    <row r="49286" ht="12" customHeight="1"/>
    <row r="49287" ht="12" customHeight="1"/>
    <row r="49288" ht="12" customHeight="1"/>
    <row r="49289" ht="12" customHeight="1"/>
    <row r="49290" ht="12" customHeight="1"/>
    <row r="49291" ht="12" customHeight="1"/>
    <row r="49292" ht="12" customHeight="1"/>
    <row r="49293" ht="12" customHeight="1"/>
    <row r="49294" ht="12" customHeight="1"/>
    <row r="49295" ht="12" customHeight="1"/>
    <row r="49296" ht="12" customHeight="1"/>
    <row r="49297" ht="12" customHeight="1"/>
    <row r="49298" ht="12" customHeight="1"/>
    <row r="49299" ht="12" customHeight="1"/>
    <row r="49300" ht="12" customHeight="1"/>
    <row r="49301" ht="12" customHeight="1"/>
    <row r="49302" ht="12" customHeight="1"/>
    <row r="49303" ht="12" customHeight="1"/>
    <row r="49304" ht="12" customHeight="1"/>
    <row r="49305" ht="12" customHeight="1"/>
    <row r="49306" ht="12" customHeight="1"/>
    <row r="49307" ht="12" customHeight="1"/>
    <row r="49308" ht="12" customHeight="1"/>
    <row r="49309" ht="12" customHeight="1"/>
    <row r="49310" ht="12" customHeight="1"/>
    <row r="49311" ht="12" customHeight="1"/>
    <row r="49312" ht="12" customHeight="1"/>
    <row r="49313" ht="12" customHeight="1"/>
    <row r="49314" ht="12" customHeight="1"/>
    <row r="49315" ht="12" customHeight="1"/>
    <row r="49316" ht="12" customHeight="1"/>
    <row r="49317" ht="12" customHeight="1"/>
    <row r="49318" ht="12" customHeight="1"/>
    <row r="49319" ht="12" customHeight="1"/>
    <row r="49320" ht="12" customHeight="1"/>
    <row r="49321" ht="12" customHeight="1"/>
    <row r="49322" ht="12" customHeight="1"/>
    <row r="49323" ht="12" customHeight="1"/>
    <row r="49324" ht="12" customHeight="1"/>
    <row r="49325" ht="12" customHeight="1"/>
    <row r="49326" ht="12" customHeight="1"/>
    <row r="49327" ht="12" customHeight="1"/>
    <row r="49328" ht="12" customHeight="1"/>
    <row r="49329" ht="12" customHeight="1"/>
    <row r="49330" ht="12" customHeight="1"/>
    <row r="49331" ht="12" customHeight="1"/>
    <row r="49332" ht="12" customHeight="1"/>
    <row r="49333" ht="12" customHeight="1"/>
    <row r="49334" ht="12" customHeight="1"/>
    <row r="49335" ht="12" customHeight="1"/>
    <row r="49336" ht="12" customHeight="1"/>
    <row r="49337" ht="12" customHeight="1"/>
    <row r="49338" ht="12" customHeight="1"/>
    <row r="49339" ht="12" customHeight="1"/>
    <row r="49340" ht="12" customHeight="1"/>
    <row r="49341" ht="12" customHeight="1"/>
    <row r="49342" ht="12" customHeight="1"/>
    <row r="49343" ht="12" customHeight="1"/>
    <row r="49344" ht="12" customHeight="1"/>
    <row r="49345" ht="12" customHeight="1"/>
    <row r="49346" ht="12" customHeight="1"/>
    <row r="49347" ht="12" customHeight="1"/>
    <row r="49348" ht="12" customHeight="1"/>
    <row r="49349" ht="12" customHeight="1"/>
    <row r="49350" ht="12" customHeight="1"/>
    <row r="49351" ht="12" customHeight="1"/>
    <row r="49352" ht="12" customHeight="1"/>
    <row r="49353" ht="12" customHeight="1"/>
    <row r="49354" ht="12" customHeight="1"/>
    <row r="49355" ht="12" customHeight="1"/>
    <row r="49356" ht="12" customHeight="1"/>
    <row r="49357" ht="12" customHeight="1"/>
    <row r="49358" ht="12" customHeight="1"/>
    <row r="49359" ht="12" customHeight="1"/>
    <row r="49360" ht="12" customHeight="1"/>
    <row r="49361" ht="12" customHeight="1"/>
    <row r="49362" ht="12" customHeight="1"/>
    <row r="49363" ht="12" customHeight="1"/>
    <row r="49364" ht="12" customHeight="1"/>
    <row r="49365" ht="12" customHeight="1"/>
    <row r="49366" ht="12" customHeight="1"/>
    <row r="49367" ht="12" customHeight="1"/>
    <row r="49368" ht="12" customHeight="1"/>
    <row r="49369" ht="12" customHeight="1"/>
    <row r="49370" ht="12" customHeight="1"/>
    <row r="49371" ht="12" customHeight="1"/>
    <row r="49372" ht="12" customHeight="1"/>
    <row r="49373" ht="12" customHeight="1"/>
    <row r="49374" ht="12" customHeight="1"/>
    <row r="49375" ht="12" customHeight="1"/>
    <row r="49376" ht="12" customHeight="1"/>
    <row r="49377" ht="12" customHeight="1"/>
    <row r="49378" ht="12" customHeight="1"/>
    <row r="49379" ht="12" customHeight="1"/>
    <row r="49380" ht="12" customHeight="1"/>
    <row r="49381" ht="12" customHeight="1"/>
    <row r="49382" ht="12" customHeight="1"/>
    <row r="49383" ht="12" customHeight="1"/>
    <row r="49384" ht="12" customHeight="1"/>
    <row r="49385" ht="12" customHeight="1"/>
    <row r="49386" ht="12" customHeight="1"/>
    <row r="49387" ht="12" customHeight="1"/>
    <row r="49388" ht="12" customHeight="1"/>
    <row r="49389" ht="12" customHeight="1"/>
    <row r="49390" ht="12" customHeight="1"/>
    <row r="49391" ht="12" customHeight="1"/>
    <row r="49392" ht="12" customHeight="1"/>
    <row r="49393" ht="12" customHeight="1"/>
    <row r="49394" ht="12" customHeight="1"/>
    <row r="49395" ht="12" customHeight="1"/>
    <row r="49396" ht="12" customHeight="1"/>
    <row r="49397" ht="12" customHeight="1"/>
    <row r="49398" ht="12" customHeight="1"/>
    <row r="49399" ht="12" customHeight="1"/>
    <row r="49400" ht="12" customHeight="1"/>
    <row r="49401" ht="12" customHeight="1"/>
    <row r="49402" ht="12" customHeight="1"/>
    <row r="49403" ht="12" customHeight="1"/>
    <row r="49404" ht="12" customHeight="1"/>
    <row r="49405" ht="12" customHeight="1"/>
    <row r="49406" ht="12" customHeight="1"/>
    <row r="49407" ht="12" customHeight="1"/>
    <row r="49408" ht="12" customHeight="1"/>
    <row r="49409" ht="12" customHeight="1"/>
    <row r="49410" ht="12" customHeight="1"/>
    <row r="49411" ht="12" customHeight="1"/>
    <row r="49412" ht="12" customHeight="1"/>
    <row r="49413" ht="12" customHeight="1"/>
    <row r="49414" ht="12" customHeight="1"/>
    <row r="49415" ht="12" customHeight="1"/>
    <row r="49416" ht="12" customHeight="1"/>
    <row r="49417" ht="12" customHeight="1"/>
    <row r="49418" ht="12" customHeight="1"/>
    <row r="49419" ht="12" customHeight="1"/>
    <row r="49420" ht="12" customHeight="1"/>
    <row r="49421" ht="12" customHeight="1"/>
    <row r="49422" ht="12" customHeight="1"/>
    <row r="49423" ht="12" customHeight="1"/>
    <row r="49424" ht="12" customHeight="1"/>
    <row r="49425" ht="12" customHeight="1"/>
    <row r="49426" ht="12" customHeight="1"/>
    <row r="49427" ht="12" customHeight="1"/>
    <row r="49428" ht="12" customHeight="1"/>
    <row r="49429" ht="12" customHeight="1"/>
    <row r="49430" ht="12" customHeight="1"/>
    <row r="49431" ht="12" customHeight="1"/>
    <row r="49432" ht="12" customHeight="1"/>
    <row r="49433" ht="12" customHeight="1"/>
    <row r="49434" ht="12" customHeight="1"/>
    <row r="49435" ht="12" customHeight="1"/>
    <row r="49436" ht="12" customHeight="1"/>
    <row r="49437" ht="12" customHeight="1"/>
    <row r="49438" ht="12" customHeight="1"/>
    <row r="49439" ht="12" customHeight="1"/>
    <row r="49440" ht="12" customHeight="1"/>
    <row r="49441" ht="12" customHeight="1"/>
    <row r="49442" ht="12" customHeight="1"/>
    <row r="49443" ht="12" customHeight="1"/>
    <row r="49444" ht="12" customHeight="1"/>
    <row r="49445" ht="12" customHeight="1"/>
    <row r="49446" ht="12" customHeight="1"/>
    <row r="49447" ht="12" customHeight="1"/>
    <row r="49448" ht="12" customHeight="1"/>
    <row r="49449" ht="12" customHeight="1"/>
    <row r="49450" ht="12" customHeight="1"/>
    <row r="49451" ht="12" customHeight="1"/>
    <row r="49452" ht="12" customHeight="1"/>
    <row r="49453" ht="12" customHeight="1"/>
    <row r="49454" ht="12" customHeight="1"/>
    <row r="49455" ht="12" customHeight="1"/>
    <row r="49456" ht="12" customHeight="1"/>
    <row r="49457" ht="12" customHeight="1"/>
    <row r="49458" ht="12" customHeight="1"/>
    <row r="49459" ht="12" customHeight="1"/>
    <row r="49460" ht="12" customHeight="1"/>
    <row r="49461" ht="12" customHeight="1"/>
    <row r="49462" ht="12" customHeight="1"/>
    <row r="49463" ht="12" customHeight="1"/>
    <row r="49464" ht="12" customHeight="1"/>
    <row r="49465" ht="12" customHeight="1"/>
    <row r="49466" ht="12" customHeight="1"/>
    <row r="49467" ht="12" customHeight="1"/>
    <row r="49468" ht="12" customHeight="1"/>
    <row r="49469" ht="12" customHeight="1"/>
    <row r="49470" ht="12" customHeight="1"/>
    <row r="49471" ht="12" customHeight="1"/>
    <row r="49472" ht="12" customHeight="1"/>
    <row r="49473" ht="12" customHeight="1"/>
    <row r="49474" ht="12" customHeight="1"/>
    <row r="49475" ht="12" customHeight="1"/>
    <row r="49476" ht="12" customHeight="1"/>
    <row r="49477" ht="12" customHeight="1"/>
    <row r="49478" ht="12" customHeight="1"/>
    <row r="49479" ht="12" customHeight="1"/>
    <row r="49480" ht="12" customHeight="1"/>
    <row r="49481" ht="12" customHeight="1"/>
    <row r="49482" ht="12" customHeight="1"/>
    <row r="49483" ht="12" customHeight="1"/>
    <row r="49484" ht="12" customHeight="1"/>
    <row r="49485" ht="12" customHeight="1"/>
    <row r="49486" ht="12" customHeight="1"/>
    <row r="49487" ht="12" customHeight="1"/>
    <row r="49488" ht="12" customHeight="1"/>
    <row r="49489" ht="12" customHeight="1"/>
    <row r="49490" ht="12" customHeight="1"/>
    <row r="49491" ht="12" customHeight="1"/>
    <row r="49492" ht="12" customHeight="1"/>
    <row r="49493" ht="12" customHeight="1"/>
    <row r="49494" ht="12" customHeight="1"/>
    <row r="49495" ht="12" customHeight="1"/>
    <row r="49496" ht="12" customHeight="1"/>
    <row r="49497" ht="12" customHeight="1"/>
    <row r="49498" ht="12" customHeight="1"/>
    <row r="49499" ht="12" customHeight="1"/>
    <row r="49500" ht="12" customHeight="1"/>
    <row r="49501" ht="12" customHeight="1"/>
    <row r="49502" ht="12" customHeight="1"/>
    <row r="49503" ht="12" customHeight="1"/>
    <row r="49504" ht="12" customHeight="1"/>
    <row r="49505" ht="12" customHeight="1"/>
    <row r="49506" ht="12" customHeight="1"/>
    <row r="49507" ht="12" customHeight="1"/>
    <row r="49508" ht="12" customHeight="1"/>
    <row r="49509" ht="12" customHeight="1"/>
    <row r="49510" ht="12" customHeight="1"/>
    <row r="49511" ht="12" customHeight="1"/>
    <row r="49512" ht="12" customHeight="1"/>
    <row r="49513" ht="12" customHeight="1"/>
    <row r="49514" ht="12" customHeight="1"/>
    <row r="49515" ht="12" customHeight="1"/>
    <row r="49516" ht="12" customHeight="1"/>
    <row r="49517" ht="12" customHeight="1"/>
    <row r="49518" ht="12" customHeight="1"/>
    <row r="49519" ht="12" customHeight="1"/>
    <row r="49520" ht="12" customHeight="1"/>
    <row r="49521" ht="12" customHeight="1"/>
    <row r="49522" ht="12" customHeight="1"/>
    <row r="49523" ht="12" customHeight="1"/>
    <row r="49524" ht="12" customHeight="1"/>
    <row r="49525" ht="12" customHeight="1"/>
    <row r="49526" ht="12" customHeight="1"/>
    <row r="49527" ht="12" customHeight="1"/>
    <row r="49528" ht="12" customHeight="1"/>
    <row r="49529" ht="12" customHeight="1"/>
    <row r="49530" ht="12" customHeight="1"/>
    <row r="49531" ht="12" customHeight="1"/>
    <row r="49532" ht="12" customHeight="1"/>
    <row r="49533" ht="12" customHeight="1"/>
    <row r="49534" ht="12" customHeight="1"/>
    <row r="49535" ht="12" customHeight="1"/>
    <row r="49536" ht="12" customHeight="1"/>
    <row r="49537" ht="12" customHeight="1"/>
    <row r="49538" ht="12" customHeight="1"/>
    <row r="49539" ht="12" customHeight="1"/>
    <row r="49540" ht="12" customHeight="1"/>
    <row r="49541" ht="12" customHeight="1"/>
    <row r="49542" ht="12" customHeight="1"/>
    <row r="49543" ht="12" customHeight="1"/>
    <row r="49544" ht="12" customHeight="1"/>
    <row r="49545" ht="12" customHeight="1"/>
    <row r="49546" ht="12" customHeight="1"/>
    <row r="49547" ht="12" customHeight="1"/>
    <row r="49548" ht="12" customHeight="1"/>
    <row r="49549" ht="12" customHeight="1"/>
    <row r="49550" ht="12" customHeight="1"/>
    <row r="49551" ht="12" customHeight="1"/>
    <row r="49552" ht="12" customHeight="1"/>
    <row r="49553" ht="12" customHeight="1"/>
    <row r="49554" ht="12" customHeight="1"/>
    <row r="49555" ht="12" customHeight="1"/>
    <row r="49556" ht="12" customHeight="1"/>
    <row r="49557" ht="12" customHeight="1"/>
    <row r="49558" ht="12" customHeight="1"/>
    <row r="49559" ht="12" customHeight="1"/>
    <row r="49560" ht="12" customHeight="1"/>
    <row r="49561" ht="12" customHeight="1"/>
    <row r="49562" ht="12" customHeight="1"/>
    <row r="49563" ht="12" customHeight="1"/>
    <row r="49564" ht="12" customHeight="1"/>
    <row r="49565" ht="12" customHeight="1"/>
    <row r="49566" ht="12" customHeight="1"/>
    <row r="49567" ht="12" customHeight="1"/>
    <row r="49568" ht="12" customHeight="1"/>
    <row r="49569" ht="12" customHeight="1"/>
    <row r="49570" ht="12" customHeight="1"/>
    <row r="49571" ht="12" customHeight="1"/>
    <row r="49572" ht="12" customHeight="1"/>
    <row r="49573" ht="12" customHeight="1"/>
    <row r="49574" ht="12" customHeight="1"/>
    <row r="49575" ht="12" customHeight="1"/>
    <row r="49576" ht="12" customHeight="1"/>
    <row r="49577" ht="12" customHeight="1"/>
    <row r="49578" ht="12" customHeight="1"/>
    <row r="49579" ht="12" customHeight="1"/>
    <row r="49580" ht="12" customHeight="1"/>
    <row r="49581" ht="12" customHeight="1"/>
    <row r="49582" ht="12" customHeight="1"/>
    <row r="49583" ht="12" customHeight="1"/>
    <row r="49584" ht="12" customHeight="1"/>
    <row r="49585" ht="12" customHeight="1"/>
    <row r="49586" ht="12" customHeight="1"/>
    <row r="49587" ht="12" customHeight="1"/>
    <row r="49588" ht="12" customHeight="1"/>
    <row r="49589" ht="12" customHeight="1"/>
    <row r="49590" ht="12" customHeight="1"/>
    <row r="49591" ht="12" customHeight="1"/>
    <row r="49592" ht="12" customHeight="1"/>
    <row r="49593" ht="12" customHeight="1"/>
    <row r="49594" ht="12" customHeight="1"/>
    <row r="49595" ht="12" customHeight="1"/>
    <row r="49596" ht="12" customHeight="1"/>
    <row r="49597" ht="12" customHeight="1"/>
    <row r="49598" ht="12" customHeight="1"/>
    <row r="49599" ht="12" customHeight="1"/>
    <row r="49600" ht="12" customHeight="1"/>
    <row r="49601" ht="12" customHeight="1"/>
    <row r="49602" ht="12" customHeight="1"/>
    <row r="49603" ht="12" customHeight="1"/>
    <row r="49604" ht="12" customHeight="1"/>
    <row r="49605" ht="12" customHeight="1"/>
    <row r="49606" ht="12" customHeight="1"/>
    <row r="49607" ht="12" customHeight="1"/>
    <row r="49608" ht="12" customHeight="1"/>
    <row r="49609" ht="12" customHeight="1"/>
    <row r="49610" ht="12" customHeight="1"/>
    <row r="49611" ht="12" customHeight="1"/>
    <row r="49612" ht="12" customHeight="1"/>
    <row r="49613" ht="12" customHeight="1"/>
    <row r="49614" ht="12" customHeight="1"/>
    <row r="49615" ht="12" customHeight="1"/>
    <row r="49616" ht="12" customHeight="1"/>
    <row r="49617" ht="12" customHeight="1"/>
    <row r="49618" ht="12" customHeight="1"/>
    <row r="49619" ht="12" customHeight="1"/>
    <row r="49620" ht="12" customHeight="1"/>
    <row r="49621" ht="12" customHeight="1"/>
    <row r="49622" ht="12" customHeight="1"/>
    <row r="49623" ht="12" customHeight="1"/>
    <row r="49624" ht="12" customHeight="1"/>
    <row r="49625" ht="12" customHeight="1"/>
    <row r="49626" ht="12" customHeight="1"/>
    <row r="49627" ht="12" customHeight="1"/>
    <row r="49628" ht="12" customHeight="1"/>
    <row r="49629" ht="12" customHeight="1"/>
    <row r="49630" ht="12" customHeight="1"/>
    <row r="49631" ht="12" customHeight="1"/>
    <row r="49632" ht="12" customHeight="1"/>
    <row r="49633" ht="12" customHeight="1"/>
    <row r="49634" ht="12" customHeight="1"/>
    <row r="49635" ht="12" customHeight="1"/>
    <row r="49636" ht="12" customHeight="1"/>
    <row r="49637" ht="12" customHeight="1"/>
    <row r="49638" ht="12" customHeight="1"/>
    <row r="49639" ht="12" customHeight="1"/>
    <row r="49640" ht="12" customHeight="1"/>
    <row r="49641" ht="12" customHeight="1"/>
    <row r="49642" ht="12" customHeight="1"/>
    <row r="49643" ht="12" customHeight="1"/>
    <row r="49644" ht="12" customHeight="1"/>
    <row r="49645" ht="12" customHeight="1"/>
    <row r="49646" ht="12" customHeight="1"/>
    <row r="49647" ht="12" customHeight="1"/>
    <row r="49648" ht="12" customHeight="1"/>
    <row r="49649" ht="12" customHeight="1"/>
    <row r="49650" ht="12" customHeight="1"/>
    <row r="49651" ht="12" customHeight="1"/>
    <row r="49652" ht="12" customHeight="1"/>
    <row r="49653" ht="12" customHeight="1"/>
    <row r="49654" ht="12" customHeight="1"/>
    <row r="49655" ht="12" customHeight="1"/>
    <row r="49656" ht="12" customHeight="1"/>
    <row r="49657" ht="12" customHeight="1"/>
    <row r="49658" ht="12" customHeight="1"/>
    <row r="49659" ht="12" customHeight="1"/>
    <row r="49660" ht="12" customHeight="1"/>
    <row r="49661" ht="12" customHeight="1"/>
    <row r="49662" ht="12" customHeight="1"/>
    <row r="49663" ht="12" customHeight="1"/>
    <row r="49664" ht="12" customHeight="1"/>
    <row r="49665" ht="12" customHeight="1"/>
    <row r="49666" ht="12" customHeight="1"/>
    <row r="49667" ht="12" customHeight="1"/>
    <row r="49668" ht="12" customHeight="1"/>
    <row r="49669" ht="12" customHeight="1"/>
    <row r="49670" ht="12" customHeight="1"/>
    <row r="49671" ht="12" customHeight="1"/>
    <row r="49672" ht="12" customHeight="1"/>
    <row r="49673" ht="12" customHeight="1"/>
    <row r="49674" ht="12" customHeight="1"/>
    <row r="49675" ht="12" customHeight="1"/>
    <row r="49676" ht="12" customHeight="1"/>
    <row r="49677" ht="12" customHeight="1"/>
    <row r="49678" ht="12" customHeight="1"/>
    <row r="49679" ht="12" customHeight="1"/>
    <row r="49680" ht="12" customHeight="1"/>
    <row r="49681" ht="12" customHeight="1"/>
    <row r="49682" ht="12" customHeight="1"/>
    <row r="49683" ht="12" customHeight="1"/>
    <row r="49684" ht="12" customHeight="1"/>
    <row r="49685" ht="12" customHeight="1"/>
    <row r="49686" ht="12" customHeight="1"/>
    <row r="49687" ht="12" customHeight="1"/>
    <row r="49688" ht="12" customHeight="1"/>
    <row r="49689" ht="12" customHeight="1"/>
    <row r="49690" ht="12" customHeight="1"/>
    <row r="49691" ht="12" customHeight="1"/>
    <row r="49692" ht="12" customHeight="1"/>
    <row r="49693" ht="12" customHeight="1"/>
    <row r="49694" ht="12" customHeight="1"/>
    <row r="49695" ht="12" customHeight="1"/>
    <row r="49696" ht="12" customHeight="1"/>
    <row r="49697" ht="12" customHeight="1"/>
    <row r="49698" ht="12" customHeight="1"/>
    <row r="49699" ht="12" customHeight="1"/>
    <row r="49700" ht="12" customHeight="1"/>
    <row r="49701" ht="12" customHeight="1"/>
    <row r="49702" ht="12" customHeight="1"/>
    <row r="49703" ht="12" customHeight="1"/>
    <row r="49704" ht="12" customHeight="1"/>
    <row r="49705" ht="12" customHeight="1"/>
    <row r="49706" ht="12" customHeight="1"/>
    <row r="49707" ht="12" customHeight="1"/>
    <row r="49708" ht="12" customHeight="1"/>
    <row r="49709" ht="12" customHeight="1"/>
    <row r="49710" ht="12" customHeight="1"/>
    <row r="49711" ht="12" customHeight="1"/>
    <row r="49712" ht="12" customHeight="1"/>
    <row r="49713" ht="12" customHeight="1"/>
    <row r="49714" ht="12" customHeight="1"/>
    <row r="49715" ht="12" customHeight="1"/>
    <row r="49716" ht="12" customHeight="1"/>
    <row r="49717" ht="12" customHeight="1"/>
    <row r="49718" ht="12" customHeight="1"/>
    <row r="49719" ht="12" customHeight="1"/>
    <row r="49720" ht="12" customHeight="1"/>
    <row r="49721" ht="12" customHeight="1"/>
    <row r="49722" ht="12" customHeight="1"/>
    <row r="49723" ht="12" customHeight="1"/>
    <row r="49724" ht="12" customHeight="1"/>
    <row r="49725" ht="12" customHeight="1"/>
    <row r="49726" ht="12" customHeight="1"/>
    <row r="49727" ht="12" customHeight="1"/>
    <row r="49728" ht="12" customHeight="1"/>
    <row r="49729" ht="12" customHeight="1"/>
    <row r="49730" ht="12" customHeight="1"/>
    <row r="49731" ht="12" customHeight="1"/>
    <row r="49732" ht="12" customHeight="1"/>
    <row r="49733" ht="12" customHeight="1"/>
    <row r="49734" ht="12" customHeight="1"/>
    <row r="49735" ht="12" customHeight="1"/>
    <row r="49736" ht="12" customHeight="1"/>
    <row r="49737" ht="12" customHeight="1"/>
    <row r="49738" ht="12" customHeight="1"/>
    <row r="49739" ht="12" customHeight="1"/>
    <row r="49740" ht="12" customHeight="1"/>
    <row r="49741" ht="12" customHeight="1"/>
    <row r="49742" ht="12" customHeight="1"/>
    <row r="49743" ht="12" customHeight="1"/>
    <row r="49744" ht="12" customHeight="1"/>
    <row r="49745" ht="12" customHeight="1"/>
    <row r="49746" ht="12" customHeight="1"/>
    <row r="49747" ht="12" customHeight="1"/>
    <row r="49748" ht="12" customHeight="1"/>
    <row r="49749" ht="12" customHeight="1"/>
    <row r="49750" ht="12" customHeight="1"/>
    <row r="49751" ht="12" customHeight="1"/>
    <row r="49752" ht="12" customHeight="1"/>
    <row r="49753" ht="12" customHeight="1"/>
    <row r="49754" ht="12" customHeight="1"/>
    <row r="49755" ht="12" customHeight="1"/>
    <row r="49756" ht="12" customHeight="1"/>
    <row r="49757" ht="12" customHeight="1"/>
    <row r="49758" ht="12" customHeight="1"/>
    <row r="49759" ht="12" customHeight="1"/>
    <row r="49760" ht="12" customHeight="1"/>
    <row r="49761" ht="12" customHeight="1"/>
    <row r="49762" ht="12" customHeight="1"/>
    <row r="49763" ht="12" customHeight="1"/>
    <row r="49764" ht="12" customHeight="1"/>
    <row r="49765" ht="12" customHeight="1"/>
    <row r="49766" ht="12" customHeight="1"/>
    <row r="49767" ht="12" customHeight="1"/>
    <row r="49768" ht="12" customHeight="1"/>
    <row r="49769" ht="12" customHeight="1"/>
    <row r="49770" ht="12" customHeight="1"/>
    <row r="49771" ht="12" customHeight="1"/>
    <row r="49772" ht="12" customHeight="1"/>
    <row r="49773" ht="12" customHeight="1"/>
    <row r="49774" ht="12" customHeight="1"/>
    <row r="49775" ht="12" customHeight="1"/>
    <row r="49776" ht="12" customHeight="1"/>
    <row r="49777" ht="12" customHeight="1"/>
    <row r="49778" ht="12" customHeight="1"/>
    <row r="49779" ht="12" customHeight="1"/>
    <row r="49780" ht="12" customHeight="1"/>
    <row r="49781" ht="12" customHeight="1"/>
    <row r="49782" ht="12" customHeight="1"/>
    <row r="49783" ht="12" customHeight="1"/>
    <row r="49784" ht="12" customHeight="1"/>
    <row r="49785" ht="12" customHeight="1"/>
    <row r="49786" ht="12" customHeight="1"/>
    <row r="49787" ht="12" customHeight="1"/>
    <row r="49788" ht="12" customHeight="1"/>
    <row r="49789" ht="12" customHeight="1"/>
    <row r="49790" ht="12" customHeight="1"/>
    <row r="49791" ht="12" customHeight="1"/>
    <row r="49792" ht="12" customHeight="1"/>
    <row r="49793" ht="12" customHeight="1"/>
    <row r="49794" ht="12" customHeight="1"/>
    <row r="49795" ht="12" customHeight="1"/>
    <row r="49796" ht="12" customHeight="1"/>
    <row r="49797" ht="12" customHeight="1"/>
    <row r="49798" ht="12" customHeight="1"/>
    <row r="49799" ht="12" customHeight="1"/>
    <row r="49800" ht="12" customHeight="1"/>
    <row r="49801" ht="12" customHeight="1"/>
    <row r="49802" ht="12" customHeight="1"/>
    <row r="49803" ht="12" customHeight="1"/>
    <row r="49804" ht="12" customHeight="1"/>
    <row r="49805" ht="12" customHeight="1"/>
    <row r="49806" ht="12" customHeight="1"/>
    <row r="49807" ht="12" customHeight="1"/>
    <row r="49808" ht="12" customHeight="1"/>
    <row r="49809" ht="12" customHeight="1"/>
    <row r="49810" ht="12" customHeight="1"/>
    <row r="49811" ht="12" customHeight="1"/>
    <row r="49812" ht="12" customHeight="1"/>
    <row r="49813" ht="12" customHeight="1"/>
    <row r="49814" ht="12" customHeight="1"/>
    <row r="49815" ht="12" customHeight="1"/>
    <row r="49816" ht="12" customHeight="1"/>
    <row r="49817" ht="12" customHeight="1"/>
    <row r="49818" ht="12" customHeight="1"/>
    <row r="49819" ht="12" customHeight="1"/>
    <row r="49820" ht="12" customHeight="1"/>
    <row r="49821" ht="12" customHeight="1"/>
    <row r="49822" ht="12" customHeight="1"/>
    <row r="49823" ht="12" customHeight="1"/>
    <row r="49824" ht="12" customHeight="1"/>
    <row r="49825" ht="12" customHeight="1"/>
    <row r="49826" ht="12" customHeight="1"/>
    <row r="49827" ht="12" customHeight="1"/>
    <row r="49828" ht="12" customHeight="1"/>
    <row r="49829" ht="12" customHeight="1"/>
    <row r="49830" ht="12" customHeight="1"/>
    <row r="49831" ht="12" customHeight="1"/>
    <row r="49832" ht="12" customHeight="1"/>
    <row r="49833" ht="12" customHeight="1"/>
    <row r="49834" ht="12" customHeight="1"/>
    <row r="49835" ht="12" customHeight="1"/>
    <row r="49836" ht="12" customHeight="1"/>
    <row r="49837" ht="12" customHeight="1"/>
    <row r="49838" ht="12" customHeight="1"/>
    <row r="49839" ht="12" customHeight="1"/>
    <row r="49840" ht="12" customHeight="1"/>
    <row r="49841" ht="12" customHeight="1"/>
    <row r="49842" ht="12" customHeight="1"/>
    <row r="49843" ht="12" customHeight="1"/>
    <row r="49844" ht="12" customHeight="1"/>
    <row r="49845" ht="12" customHeight="1"/>
    <row r="49846" ht="12" customHeight="1"/>
    <row r="49847" ht="12" customHeight="1"/>
    <row r="49848" ht="12" customHeight="1"/>
    <row r="49849" ht="12" customHeight="1"/>
    <row r="49850" ht="12" customHeight="1"/>
    <row r="49851" ht="12" customHeight="1"/>
    <row r="49852" ht="12" customHeight="1"/>
    <row r="49853" ht="12" customHeight="1"/>
    <row r="49854" ht="12" customHeight="1"/>
    <row r="49855" ht="12" customHeight="1"/>
    <row r="49856" ht="12" customHeight="1"/>
    <row r="49857" ht="12" customHeight="1"/>
    <row r="49858" ht="12" customHeight="1"/>
    <row r="49859" ht="12" customHeight="1"/>
    <row r="49860" ht="12" customHeight="1"/>
    <row r="49861" ht="12" customHeight="1"/>
    <row r="49862" ht="12" customHeight="1"/>
    <row r="49863" ht="12" customHeight="1"/>
    <row r="49864" ht="12" customHeight="1"/>
    <row r="49865" ht="12" customHeight="1"/>
    <row r="49866" ht="12" customHeight="1"/>
    <row r="49867" ht="12" customHeight="1"/>
    <row r="49868" ht="12" customHeight="1"/>
    <row r="49869" ht="12" customHeight="1"/>
    <row r="49870" ht="12" customHeight="1"/>
    <row r="49871" ht="12" customHeight="1"/>
    <row r="49872" ht="12" customHeight="1"/>
    <row r="49873" ht="12" customHeight="1"/>
    <row r="49874" ht="12" customHeight="1"/>
    <row r="49875" ht="12" customHeight="1"/>
    <row r="49876" ht="12" customHeight="1"/>
    <row r="49877" ht="12" customHeight="1"/>
    <row r="49878" ht="12" customHeight="1"/>
    <row r="49879" ht="12" customHeight="1"/>
    <row r="49880" ht="12" customHeight="1"/>
    <row r="49881" ht="12" customHeight="1"/>
    <row r="49882" ht="12" customHeight="1"/>
    <row r="49883" ht="12" customHeight="1"/>
    <row r="49884" ht="12" customHeight="1"/>
    <row r="49885" ht="12" customHeight="1"/>
    <row r="49886" ht="12" customHeight="1"/>
    <row r="49887" ht="12" customHeight="1"/>
    <row r="49888" ht="12" customHeight="1"/>
    <row r="49889" ht="12" customHeight="1"/>
    <row r="49890" ht="12" customHeight="1"/>
    <row r="49891" ht="12" customHeight="1"/>
    <row r="49892" ht="12" customHeight="1"/>
    <row r="49893" ht="12" customHeight="1"/>
    <row r="49894" ht="12" customHeight="1"/>
    <row r="49895" ht="12" customHeight="1"/>
    <row r="49896" ht="12" customHeight="1"/>
    <row r="49897" ht="12" customHeight="1"/>
    <row r="49898" ht="12" customHeight="1"/>
    <row r="49899" ht="12" customHeight="1"/>
    <row r="49900" ht="12" customHeight="1"/>
    <row r="49901" ht="12" customHeight="1"/>
    <row r="49902" ht="12" customHeight="1"/>
    <row r="49903" ht="12" customHeight="1"/>
    <row r="49904" ht="12" customHeight="1"/>
    <row r="49905" ht="12" customHeight="1"/>
    <row r="49906" ht="12" customHeight="1"/>
    <row r="49907" ht="12" customHeight="1"/>
    <row r="49908" ht="12" customHeight="1"/>
    <row r="49909" ht="12" customHeight="1"/>
    <row r="49910" ht="12" customHeight="1"/>
    <row r="49911" ht="12" customHeight="1"/>
    <row r="49912" ht="12" customHeight="1"/>
    <row r="49913" ht="12" customHeight="1"/>
    <row r="49914" ht="12" customHeight="1"/>
    <row r="49915" ht="12" customHeight="1"/>
    <row r="49916" ht="12" customHeight="1"/>
    <row r="49917" ht="12" customHeight="1"/>
    <row r="49918" ht="12" customHeight="1"/>
    <row r="49919" ht="12" customHeight="1"/>
    <row r="49920" ht="12" customHeight="1"/>
    <row r="49921" ht="12" customHeight="1"/>
    <row r="49922" ht="12" customHeight="1"/>
    <row r="49923" ht="12" customHeight="1"/>
    <row r="49924" ht="12" customHeight="1"/>
    <row r="49925" ht="12" customHeight="1"/>
    <row r="49926" ht="12" customHeight="1"/>
    <row r="49927" ht="12" customHeight="1"/>
    <row r="49928" ht="12" customHeight="1"/>
    <row r="49929" ht="12" customHeight="1"/>
    <row r="49930" ht="12" customHeight="1"/>
    <row r="49931" ht="12" customHeight="1"/>
    <row r="49932" ht="12" customHeight="1"/>
    <row r="49933" ht="12" customHeight="1"/>
    <row r="49934" ht="12" customHeight="1"/>
    <row r="49935" ht="12" customHeight="1"/>
    <row r="49936" ht="12" customHeight="1"/>
    <row r="49937" ht="12" customHeight="1"/>
    <row r="49938" ht="12" customHeight="1"/>
    <row r="49939" ht="12" customHeight="1"/>
    <row r="49940" ht="12" customHeight="1"/>
    <row r="49941" ht="12" customHeight="1"/>
    <row r="49942" ht="12" customHeight="1"/>
    <row r="49943" ht="12" customHeight="1"/>
    <row r="49944" ht="12" customHeight="1"/>
    <row r="49945" ht="12" customHeight="1"/>
    <row r="49946" ht="12" customHeight="1"/>
    <row r="49947" ht="12" customHeight="1"/>
    <row r="49948" ht="12" customHeight="1"/>
    <row r="49949" ht="12" customHeight="1"/>
    <row r="49950" ht="12" customHeight="1"/>
    <row r="49951" ht="12" customHeight="1"/>
    <row r="49952" ht="12" customHeight="1"/>
    <row r="49953" ht="12" customHeight="1"/>
    <row r="49954" ht="12" customHeight="1"/>
    <row r="49955" ht="12" customHeight="1"/>
    <row r="49956" ht="12" customHeight="1"/>
    <row r="49957" ht="12" customHeight="1"/>
    <row r="49958" ht="12" customHeight="1"/>
    <row r="49959" ht="12" customHeight="1"/>
    <row r="49960" ht="12" customHeight="1"/>
    <row r="49961" ht="12" customHeight="1"/>
    <row r="49962" ht="12" customHeight="1"/>
    <row r="49963" ht="12" customHeight="1"/>
    <row r="49964" ht="12" customHeight="1"/>
    <row r="49965" ht="12" customHeight="1"/>
    <row r="49966" ht="12" customHeight="1"/>
    <row r="49967" ht="12" customHeight="1"/>
    <row r="49968" ht="12" customHeight="1"/>
    <row r="49969" ht="12" customHeight="1"/>
    <row r="49970" ht="12" customHeight="1"/>
    <row r="49971" ht="12" customHeight="1"/>
    <row r="49972" ht="12" customHeight="1"/>
    <row r="49973" ht="12" customHeight="1"/>
    <row r="49974" ht="12" customHeight="1"/>
    <row r="49975" ht="12" customHeight="1"/>
    <row r="49976" ht="12" customHeight="1"/>
    <row r="49977" ht="12" customHeight="1"/>
    <row r="49978" ht="12" customHeight="1"/>
    <row r="49979" ht="12" customHeight="1"/>
    <row r="49980" ht="12" customHeight="1"/>
    <row r="49981" ht="12" customHeight="1"/>
    <row r="49982" ht="12" customHeight="1"/>
    <row r="49983" ht="12" customHeight="1"/>
    <row r="49984" ht="12" customHeight="1"/>
    <row r="49985" ht="12" customHeight="1"/>
    <row r="49986" ht="12" customHeight="1"/>
    <row r="49987" ht="12" customHeight="1"/>
    <row r="49988" ht="12" customHeight="1"/>
    <row r="49989" ht="12" customHeight="1"/>
    <row r="49990" ht="12" customHeight="1"/>
    <row r="49991" ht="12" customHeight="1"/>
    <row r="49992" ht="12" customHeight="1"/>
    <row r="49993" ht="12" customHeight="1"/>
    <row r="49994" ht="12" customHeight="1"/>
    <row r="49995" ht="12" customHeight="1"/>
    <row r="49996" ht="12" customHeight="1"/>
    <row r="49997" ht="12" customHeight="1"/>
    <row r="49998" ht="12" customHeight="1"/>
    <row r="49999" ht="12" customHeight="1"/>
    <row r="50000" ht="12" customHeight="1"/>
    <row r="50001" ht="12" customHeight="1"/>
    <row r="50002" ht="12" customHeight="1"/>
    <row r="50003" ht="12" customHeight="1"/>
    <row r="50004" ht="12" customHeight="1"/>
    <row r="50005" ht="12" customHeight="1"/>
    <row r="50006" ht="12" customHeight="1"/>
    <row r="50007" ht="12" customHeight="1"/>
    <row r="50008" ht="12" customHeight="1"/>
    <row r="50009" ht="12" customHeight="1"/>
    <row r="50010" ht="12" customHeight="1"/>
    <row r="50011" ht="12" customHeight="1"/>
    <row r="50012" ht="12" customHeight="1"/>
    <row r="50013" ht="12" customHeight="1"/>
    <row r="50014" ht="12" customHeight="1"/>
    <row r="50015" ht="12" customHeight="1"/>
    <row r="50016" ht="12" customHeight="1"/>
    <row r="50017" ht="12" customHeight="1"/>
    <row r="50018" ht="12" customHeight="1"/>
    <row r="50019" ht="12" customHeight="1"/>
    <row r="50020" ht="12" customHeight="1"/>
    <row r="50021" ht="12" customHeight="1"/>
    <row r="50022" ht="12" customHeight="1"/>
    <row r="50023" ht="12" customHeight="1"/>
    <row r="50024" ht="12" customHeight="1"/>
    <row r="50025" ht="12" customHeight="1"/>
    <row r="50026" ht="12" customHeight="1"/>
    <row r="50027" ht="12" customHeight="1"/>
    <row r="50028" ht="12" customHeight="1"/>
    <row r="50029" ht="12" customHeight="1"/>
    <row r="50030" ht="12" customHeight="1"/>
    <row r="50031" ht="12" customHeight="1"/>
    <row r="50032" ht="12" customHeight="1"/>
    <row r="50033" ht="12" customHeight="1"/>
    <row r="50034" ht="12" customHeight="1"/>
    <row r="50035" ht="12" customHeight="1"/>
    <row r="50036" ht="12" customHeight="1"/>
    <row r="50037" ht="12" customHeight="1"/>
    <row r="50038" ht="12" customHeight="1"/>
    <row r="50039" ht="12" customHeight="1"/>
    <row r="50040" ht="12" customHeight="1"/>
    <row r="50041" ht="12" customHeight="1"/>
    <row r="50042" ht="12" customHeight="1"/>
    <row r="50043" ht="12" customHeight="1"/>
    <row r="50044" ht="12" customHeight="1"/>
    <row r="50045" ht="12" customHeight="1"/>
    <row r="50046" ht="12" customHeight="1"/>
    <row r="50047" ht="12" customHeight="1"/>
    <row r="50048" ht="12" customHeight="1"/>
    <row r="50049" ht="12" customHeight="1"/>
    <row r="50050" ht="12" customHeight="1"/>
    <row r="50051" ht="12" customHeight="1"/>
    <row r="50052" ht="12" customHeight="1"/>
    <row r="50053" ht="12" customHeight="1"/>
    <row r="50054" ht="12" customHeight="1"/>
    <row r="50055" ht="12" customHeight="1"/>
    <row r="50056" ht="12" customHeight="1"/>
    <row r="50057" ht="12" customHeight="1"/>
    <row r="50058" ht="12" customHeight="1"/>
    <row r="50059" ht="12" customHeight="1"/>
    <row r="50060" ht="12" customHeight="1"/>
    <row r="50061" ht="12" customHeight="1"/>
    <row r="50062" ht="12" customHeight="1"/>
    <row r="50063" ht="12" customHeight="1"/>
    <row r="50064" ht="12" customHeight="1"/>
    <row r="50065" ht="12" customHeight="1"/>
    <row r="50066" ht="12" customHeight="1"/>
    <row r="50067" ht="12" customHeight="1"/>
    <row r="50068" ht="12" customHeight="1"/>
    <row r="50069" ht="12" customHeight="1"/>
    <row r="50070" ht="12" customHeight="1"/>
    <row r="50071" ht="12" customHeight="1"/>
    <row r="50072" ht="12" customHeight="1"/>
    <row r="50073" ht="12" customHeight="1"/>
    <row r="50074" ht="12" customHeight="1"/>
    <row r="50075" ht="12" customHeight="1"/>
    <row r="50076" ht="12" customHeight="1"/>
    <row r="50077" ht="12" customHeight="1"/>
    <row r="50078" ht="12" customHeight="1"/>
    <row r="50079" ht="12" customHeight="1"/>
    <row r="50080" ht="12" customHeight="1"/>
    <row r="50081" ht="12" customHeight="1"/>
    <row r="50082" ht="12" customHeight="1"/>
    <row r="50083" ht="12" customHeight="1"/>
    <row r="50084" ht="12" customHeight="1"/>
    <row r="50085" ht="12" customHeight="1"/>
    <row r="50086" ht="12" customHeight="1"/>
    <row r="50087" ht="12" customHeight="1"/>
    <row r="50088" ht="12" customHeight="1"/>
    <row r="50089" ht="12" customHeight="1"/>
    <row r="50090" ht="12" customHeight="1"/>
    <row r="50091" ht="12" customHeight="1"/>
    <row r="50092" ht="12" customHeight="1"/>
    <row r="50093" ht="12" customHeight="1"/>
    <row r="50094" ht="12" customHeight="1"/>
    <row r="50095" ht="12" customHeight="1"/>
    <row r="50096" ht="12" customHeight="1"/>
    <row r="50097" ht="12" customHeight="1"/>
    <row r="50098" ht="12" customHeight="1"/>
    <row r="50099" ht="12" customHeight="1"/>
    <row r="50100" ht="12" customHeight="1"/>
    <row r="50101" ht="12" customHeight="1"/>
    <row r="50102" ht="12" customHeight="1"/>
    <row r="50103" ht="12" customHeight="1"/>
    <row r="50104" ht="12" customHeight="1"/>
    <row r="50105" ht="12" customHeight="1"/>
    <row r="50106" ht="12" customHeight="1"/>
    <row r="50107" ht="12" customHeight="1"/>
    <row r="50108" ht="12" customHeight="1"/>
    <row r="50109" ht="12" customHeight="1"/>
    <row r="50110" ht="12" customHeight="1"/>
    <row r="50111" ht="12" customHeight="1"/>
    <row r="50112" ht="12" customHeight="1"/>
    <row r="50113" ht="12" customHeight="1"/>
    <row r="50114" ht="12" customHeight="1"/>
    <row r="50115" ht="12" customHeight="1"/>
    <row r="50116" ht="12" customHeight="1"/>
    <row r="50117" ht="12" customHeight="1"/>
    <row r="50118" ht="12" customHeight="1"/>
    <row r="50119" ht="12" customHeight="1"/>
    <row r="50120" ht="12" customHeight="1"/>
    <row r="50121" ht="12" customHeight="1"/>
    <row r="50122" ht="12" customHeight="1"/>
    <row r="50123" ht="12" customHeight="1"/>
    <row r="50124" ht="12" customHeight="1"/>
    <row r="50125" ht="12" customHeight="1"/>
    <row r="50126" ht="12" customHeight="1"/>
    <row r="50127" ht="12" customHeight="1"/>
    <row r="50128" ht="12" customHeight="1"/>
    <row r="50129" ht="12" customHeight="1"/>
    <row r="50130" ht="12" customHeight="1"/>
    <row r="50131" ht="12" customHeight="1"/>
    <row r="50132" ht="12" customHeight="1"/>
    <row r="50133" ht="12" customHeight="1"/>
    <row r="50134" ht="12" customHeight="1"/>
    <row r="50135" ht="12" customHeight="1"/>
    <row r="50136" ht="12" customHeight="1"/>
    <row r="50137" ht="12" customHeight="1"/>
    <row r="50138" ht="12" customHeight="1"/>
    <row r="50139" ht="12" customHeight="1"/>
    <row r="50140" ht="12" customHeight="1"/>
    <row r="50141" ht="12" customHeight="1"/>
    <row r="50142" ht="12" customHeight="1"/>
    <row r="50143" ht="12" customHeight="1"/>
    <row r="50144" ht="12" customHeight="1"/>
    <row r="50145" ht="12" customHeight="1"/>
    <row r="50146" ht="12" customHeight="1"/>
    <row r="50147" ht="12" customHeight="1"/>
    <row r="50148" ht="12" customHeight="1"/>
    <row r="50149" ht="12" customHeight="1"/>
    <row r="50150" ht="12" customHeight="1"/>
    <row r="50151" ht="12" customHeight="1"/>
    <row r="50152" ht="12" customHeight="1"/>
    <row r="50153" ht="12" customHeight="1"/>
    <row r="50154" ht="12" customHeight="1"/>
    <row r="50155" ht="12" customHeight="1"/>
    <row r="50156" ht="12" customHeight="1"/>
    <row r="50157" ht="12" customHeight="1"/>
    <row r="50158" ht="12" customHeight="1"/>
    <row r="50159" ht="12" customHeight="1"/>
    <row r="50160" ht="12" customHeight="1"/>
    <row r="50161" ht="12" customHeight="1"/>
    <row r="50162" ht="12" customHeight="1"/>
    <row r="50163" ht="12" customHeight="1"/>
    <row r="50164" ht="12" customHeight="1"/>
    <row r="50165" ht="12" customHeight="1"/>
    <row r="50166" ht="12" customHeight="1"/>
    <row r="50167" ht="12" customHeight="1"/>
    <row r="50168" ht="12" customHeight="1"/>
    <row r="50169" ht="12" customHeight="1"/>
    <row r="50170" ht="12" customHeight="1"/>
    <row r="50171" ht="12" customHeight="1"/>
    <row r="50172" ht="12" customHeight="1"/>
    <row r="50173" ht="12" customHeight="1"/>
    <row r="50174" ht="12" customHeight="1"/>
    <row r="50175" ht="12" customHeight="1"/>
    <row r="50176" ht="12" customHeight="1"/>
    <row r="50177" ht="12" customHeight="1"/>
    <row r="50178" ht="12" customHeight="1"/>
    <row r="50179" ht="12" customHeight="1"/>
    <row r="50180" ht="12" customHeight="1"/>
    <row r="50181" ht="12" customHeight="1"/>
    <row r="50182" ht="12" customHeight="1"/>
    <row r="50183" ht="12" customHeight="1"/>
    <row r="50184" ht="12" customHeight="1"/>
    <row r="50185" ht="12" customHeight="1"/>
    <row r="50186" ht="12" customHeight="1"/>
    <row r="50187" ht="12" customHeight="1"/>
    <row r="50188" ht="12" customHeight="1"/>
    <row r="50189" ht="12" customHeight="1"/>
    <row r="50190" ht="12" customHeight="1"/>
    <row r="50191" ht="12" customHeight="1"/>
    <row r="50192" ht="12" customHeight="1"/>
    <row r="50193" ht="12" customHeight="1"/>
    <row r="50194" ht="12" customHeight="1"/>
    <row r="50195" ht="12" customHeight="1"/>
    <row r="50196" ht="12" customHeight="1"/>
    <row r="50197" ht="12" customHeight="1"/>
    <row r="50198" ht="12" customHeight="1"/>
    <row r="50199" ht="12" customHeight="1"/>
    <row r="50200" ht="12" customHeight="1"/>
    <row r="50201" ht="12" customHeight="1"/>
    <row r="50202" ht="12" customHeight="1"/>
    <row r="50203" ht="12" customHeight="1"/>
    <row r="50204" ht="12" customHeight="1"/>
    <row r="50205" ht="12" customHeight="1"/>
    <row r="50206" ht="12" customHeight="1"/>
    <row r="50207" ht="12" customHeight="1"/>
    <row r="50208" ht="12" customHeight="1"/>
    <row r="50209" ht="12" customHeight="1"/>
    <row r="50210" ht="12" customHeight="1"/>
    <row r="50211" ht="12" customHeight="1"/>
    <row r="50212" ht="12" customHeight="1"/>
    <row r="50213" ht="12" customHeight="1"/>
    <row r="50214" ht="12" customHeight="1"/>
    <row r="50215" ht="12" customHeight="1"/>
    <row r="50216" ht="12" customHeight="1"/>
    <row r="50217" ht="12" customHeight="1"/>
    <row r="50218" ht="12" customHeight="1"/>
    <row r="50219" ht="12" customHeight="1"/>
    <row r="50220" ht="12" customHeight="1"/>
    <row r="50221" ht="12" customHeight="1"/>
    <row r="50222" ht="12" customHeight="1"/>
    <row r="50223" ht="12" customHeight="1"/>
    <row r="50224" ht="12" customHeight="1"/>
    <row r="50225" ht="12" customHeight="1"/>
    <row r="50226" ht="12" customHeight="1"/>
    <row r="50227" ht="12" customHeight="1"/>
    <row r="50228" ht="12" customHeight="1"/>
    <row r="50229" ht="12" customHeight="1"/>
    <row r="50230" ht="12" customHeight="1"/>
    <row r="50231" ht="12" customHeight="1"/>
    <row r="50232" ht="12" customHeight="1"/>
    <row r="50233" ht="12" customHeight="1"/>
    <row r="50234" ht="12" customHeight="1"/>
    <row r="50235" ht="12" customHeight="1"/>
    <row r="50236" ht="12" customHeight="1"/>
    <row r="50237" ht="12" customHeight="1"/>
    <row r="50238" ht="12" customHeight="1"/>
    <row r="50239" ht="12" customHeight="1"/>
    <row r="50240" ht="12" customHeight="1"/>
    <row r="50241" ht="12" customHeight="1"/>
    <row r="50242" ht="12" customHeight="1"/>
    <row r="50243" ht="12" customHeight="1"/>
    <row r="50244" ht="12" customHeight="1"/>
    <row r="50245" ht="12" customHeight="1"/>
    <row r="50246" ht="12" customHeight="1"/>
    <row r="50247" ht="12" customHeight="1"/>
    <row r="50248" ht="12" customHeight="1"/>
    <row r="50249" ht="12" customHeight="1"/>
    <row r="50250" ht="12" customHeight="1"/>
    <row r="50251" ht="12" customHeight="1"/>
    <row r="50252" ht="12" customHeight="1"/>
    <row r="50253" ht="12" customHeight="1"/>
    <row r="50254" ht="12" customHeight="1"/>
    <row r="50255" ht="12" customHeight="1"/>
    <row r="50256" ht="12" customHeight="1"/>
    <row r="50257" ht="12" customHeight="1"/>
    <row r="50258" ht="12" customHeight="1"/>
    <row r="50259" ht="12" customHeight="1"/>
    <row r="50260" ht="12" customHeight="1"/>
    <row r="50261" ht="12" customHeight="1"/>
    <row r="50262" ht="12" customHeight="1"/>
    <row r="50263" ht="12" customHeight="1"/>
    <row r="50264" ht="12" customHeight="1"/>
    <row r="50265" ht="12" customHeight="1"/>
    <row r="50266" ht="12" customHeight="1"/>
    <row r="50267" ht="12" customHeight="1"/>
    <row r="50268" ht="12" customHeight="1"/>
    <row r="50269" ht="12" customHeight="1"/>
    <row r="50270" ht="12" customHeight="1"/>
    <row r="50271" ht="12" customHeight="1"/>
    <row r="50272" ht="12" customHeight="1"/>
    <row r="50273" ht="12" customHeight="1"/>
    <row r="50274" ht="12" customHeight="1"/>
    <row r="50275" ht="12" customHeight="1"/>
    <row r="50276" ht="12" customHeight="1"/>
    <row r="50277" ht="12" customHeight="1"/>
    <row r="50278" ht="12" customHeight="1"/>
    <row r="50279" ht="12" customHeight="1"/>
    <row r="50280" ht="12" customHeight="1"/>
    <row r="50281" ht="12" customHeight="1"/>
    <row r="50282" ht="12" customHeight="1"/>
    <row r="50283" ht="12" customHeight="1"/>
    <row r="50284" ht="12" customHeight="1"/>
    <row r="50285" ht="12" customHeight="1"/>
    <row r="50286" ht="12" customHeight="1"/>
    <row r="50287" ht="12" customHeight="1"/>
    <row r="50288" ht="12" customHeight="1"/>
    <row r="50289" ht="12" customHeight="1"/>
    <row r="50290" ht="12" customHeight="1"/>
    <row r="50291" ht="12" customHeight="1"/>
    <row r="50292" ht="12" customHeight="1"/>
    <row r="50293" ht="12" customHeight="1"/>
    <row r="50294" ht="12" customHeight="1"/>
    <row r="50295" ht="12" customHeight="1"/>
    <row r="50296" ht="12" customHeight="1"/>
    <row r="50297" ht="12" customHeight="1"/>
    <row r="50298" ht="12" customHeight="1"/>
    <row r="50299" ht="12" customHeight="1"/>
    <row r="50300" ht="12" customHeight="1"/>
    <row r="50301" ht="12" customHeight="1"/>
    <row r="50302" ht="12" customHeight="1"/>
    <row r="50303" ht="12" customHeight="1"/>
    <row r="50304" ht="12" customHeight="1"/>
    <row r="50305" ht="12" customHeight="1"/>
    <row r="50306" ht="12" customHeight="1"/>
    <row r="50307" ht="12" customHeight="1"/>
    <row r="50308" ht="12" customHeight="1"/>
    <row r="50309" ht="12" customHeight="1"/>
    <row r="50310" ht="12" customHeight="1"/>
    <row r="50311" ht="12" customHeight="1"/>
    <row r="50312" ht="12" customHeight="1"/>
    <row r="50313" ht="12" customHeight="1"/>
    <row r="50314" ht="12" customHeight="1"/>
    <row r="50315" ht="12" customHeight="1"/>
    <row r="50316" ht="12" customHeight="1"/>
    <row r="50317" ht="12" customHeight="1"/>
    <row r="50318" ht="12" customHeight="1"/>
    <row r="50319" ht="12" customHeight="1"/>
    <row r="50320" ht="12" customHeight="1"/>
    <row r="50321" ht="12" customHeight="1"/>
    <row r="50322" ht="12" customHeight="1"/>
    <row r="50323" ht="12" customHeight="1"/>
    <row r="50324" ht="12" customHeight="1"/>
    <row r="50325" ht="12" customHeight="1"/>
    <row r="50326" ht="12" customHeight="1"/>
    <row r="50327" ht="12" customHeight="1"/>
    <row r="50328" ht="12" customHeight="1"/>
    <row r="50329" ht="12" customHeight="1"/>
    <row r="50330" ht="12" customHeight="1"/>
    <row r="50331" ht="12" customHeight="1"/>
    <row r="50332" ht="12" customHeight="1"/>
    <row r="50333" ht="12" customHeight="1"/>
    <row r="50334" ht="12" customHeight="1"/>
    <row r="50335" ht="12" customHeight="1"/>
    <row r="50336" ht="12" customHeight="1"/>
    <row r="50337" ht="12" customHeight="1"/>
    <row r="50338" ht="12" customHeight="1"/>
    <row r="50339" ht="12" customHeight="1"/>
    <row r="50340" ht="12" customHeight="1"/>
    <row r="50341" ht="12" customHeight="1"/>
    <row r="50342" ht="12" customHeight="1"/>
    <row r="50343" ht="12" customHeight="1"/>
    <row r="50344" ht="12" customHeight="1"/>
    <row r="50345" ht="12" customHeight="1"/>
    <row r="50346" ht="12" customHeight="1"/>
    <row r="50347" ht="12" customHeight="1"/>
    <row r="50348" ht="12" customHeight="1"/>
    <row r="50349" ht="12" customHeight="1"/>
    <row r="50350" ht="12" customHeight="1"/>
    <row r="50351" ht="12" customHeight="1"/>
    <row r="50352" ht="12" customHeight="1"/>
    <row r="50353" ht="12" customHeight="1"/>
    <row r="50354" ht="12" customHeight="1"/>
    <row r="50355" ht="12" customHeight="1"/>
    <row r="50356" ht="12" customHeight="1"/>
    <row r="50357" ht="12" customHeight="1"/>
    <row r="50358" ht="12" customHeight="1"/>
    <row r="50359" ht="12" customHeight="1"/>
    <row r="50360" ht="12" customHeight="1"/>
    <row r="50361" ht="12" customHeight="1"/>
    <row r="50362" ht="12" customHeight="1"/>
    <row r="50363" ht="12" customHeight="1"/>
    <row r="50364" ht="12" customHeight="1"/>
    <row r="50365" ht="12" customHeight="1"/>
    <row r="50366" ht="12" customHeight="1"/>
    <row r="50367" ht="12" customHeight="1"/>
    <row r="50368" ht="12" customHeight="1"/>
    <row r="50369" ht="12" customHeight="1"/>
    <row r="50370" ht="12" customHeight="1"/>
    <row r="50371" ht="12" customHeight="1"/>
    <row r="50372" ht="12" customHeight="1"/>
    <row r="50373" ht="12" customHeight="1"/>
    <row r="50374" ht="12" customHeight="1"/>
    <row r="50375" ht="12" customHeight="1"/>
    <row r="50376" ht="12" customHeight="1"/>
    <row r="50377" ht="12" customHeight="1"/>
    <row r="50378" ht="12" customHeight="1"/>
    <row r="50379" ht="12" customHeight="1"/>
    <row r="50380" ht="12" customHeight="1"/>
    <row r="50381" ht="12" customHeight="1"/>
    <row r="50382" ht="12" customHeight="1"/>
    <row r="50383" ht="12" customHeight="1"/>
    <row r="50384" ht="12" customHeight="1"/>
    <row r="50385" ht="12" customHeight="1"/>
    <row r="50386" ht="12" customHeight="1"/>
    <row r="50387" ht="12" customHeight="1"/>
    <row r="50388" ht="12" customHeight="1"/>
    <row r="50389" ht="12" customHeight="1"/>
    <row r="50390" ht="12" customHeight="1"/>
    <row r="50391" ht="12" customHeight="1"/>
    <row r="50392" ht="12" customHeight="1"/>
    <row r="50393" ht="12" customHeight="1"/>
    <row r="50394" ht="12" customHeight="1"/>
    <row r="50395" ht="12" customHeight="1"/>
    <row r="50396" ht="12" customHeight="1"/>
    <row r="50397" ht="12" customHeight="1"/>
    <row r="50398" ht="12" customHeight="1"/>
    <row r="50399" ht="12" customHeight="1"/>
    <row r="50400" ht="12" customHeight="1"/>
    <row r="50401" ht="12" customHeight="1"/>
    <row r="50402" ht="12" customHeight="1"/>
    <row r="50403" ht="12" customHeight="1"/>
    <row r="50404" ht="12" customHeight="1"/>
    <row r="50405" ht="12" customHeight="1"/>
    <row r="50406" ht="12" customHeight="1"/>
    <row r="50407" ht="12" customHeight="1"/>
    <row r="50408" ht="12" customHeight="1"/>
    <row r="50409" ht="12" customHeight="1"/>
    <row r="50410" ht="12" customHeight="1"/>
    <row r="50411" ht="12" customHeight="1"/>
    <row r="50412" ht="12" customHeight="1"/>
    <row r="50413" ht="12" customHeight="1"/>
    <row r="50414" ht="12" customHeight="1"/>
    <row r="50415" ht="12" customHeight="1"/>
    <row r="50416" ht="12" customHeight="1"/>
    <row r="50417" ht="12" customHeight="1"/>
    <row r="50418" ht="12" customHeight="1"/>
    <row r="50419" ht="12" customHeight="1"/>
    <row r="50420" ht="12" customHeight="1"/>
    <row r="50421" ht="12" customHeight="1"/>
    <row r="50422" ht="12" customHeight="1"/>
    <row r="50423" ht="12" customHeight="1"/>
    <row r="50424" ht="12" customHeight="1"/>
    <row r="50425" ht="12" customHeight="1"/>
    <row r="50426" ht="12" customHeight="1"/>
    <row r="50427" ht="12" customHeight="1"/>
    <row r="50428" ht="12" customHeight="1"/>
    <row r="50429" ht="12" customHeight="1"/>
    <row r="50430" ht="12" customHeight="1"/>
    <row r="50431" ht="12" customHeight="1"/>
    <row r="50432" ht="12" customHeight="1"/>
    <row r="50433" ht="12" customHeight="1"/>
    <row r="50434" ht="12" customHeight="1"/>
    <row r="50435" ht="12" customHeight="1"/>
    <row r="50436" ht="12" customHeight="1"/>
    <row r="50437" ht="12" customHeight="1"/>
    <row r="50438" ht="12" customHeight="1"/>
    <row r="50439" ht="12" customHeight="1"/>
    <row r="50440" ht="12" customHeight="1"/>
    <row r="50441" ht="12" customHeight="1"/>
    <row r="50442" ht="12" customHeight="1"/>
    <row r="50443" ht="12" customHeight="1"/>
    <row r="50444" ht="12" customHeight="1"/>
    <row r="50445" ht="12" customHeight="1"/>
    <row r="50446" ht="12" customHeight="1"/>
    <row r="50447" ht="12" customHeight="1"/>
    <row r="50448" ht="12" customHeight="1"/>
    <row r="50449" ht="12" customHeight="1"/>
    <row r="50450" ht="12" customHeight="1"/>
    <row r="50451" ht="12" customHeight="1"/>
    <row r="50452" ht="12" customHeight="1"/>
    <row r="50453" ht="12" customHeight="1"/>
    <row r="50454" ht="12" customHeight="1"/>
    <row r="50455" ht="12" customHeight="1"/>
    <row r="50456" ht="12" customHeight="1"/>
    <row r="50457" ht="12" customHeight="1"/>
    <row r="50458" ht="12" customHeight="1"/>
    <row r="50459" ht="12" customHeight="1"/>
    <row r="50460" ht="12" customHeight="1"/>
    <row r="50461" ht="12" customHeight="1"/>
    <row r="50462" ht="12" customHeight="1"/>
    <row r="50463" ht="12" customHeight="1"/>
    <row r="50464" ht="12" customHeight="1"/>
    <row r="50465" ht="12" customHeight="1"/>
    <row r="50466" ht="12" customHeight="1"/>
    <row r="50467" ht="12" customHeight="1"/>
    <row r="50468" ht="12" customHeight="1"/>
    <row r="50469" ht="12" customHeight="1"/>
    <row r="50470" ht="12" customHeight="1"/>
    <row r="50471" ht="12" customHeight="1"/>
    <row r="50472" ht="12" customHeight="1"/>
    <row r="50473" ht="12" customHeight="1"/>
    <row r="50474" ht="12" customHeight="1"/>
    <row r="50475" ht="12" customHeight="1"/>
    <row r="50476" ht="12" customHeight="1"/>
    <row r="50477" ht="12" customHeight="1"/>
    <row r="50478" ht="12" customHeight="1"/>
    <row r="50479" ht="12" customHeight="1"/>
    <row r="50480" ht="12" customHeight="1"/>
    <row r="50481" ht="12" customHeight="1"/>
    <row r="50482" ht="12" customHeight="1"/>
    <row r="50483" ht="12" customHeight="1"/>
    <row r="50484" ht="12" customHeight="1"/>
    <row r="50485" ht="12" customHeight="1"/>
    <row r="50486" ht="12" customHeight="1"/>
    <row r="50487" ht="12" customHeight="1"/>
    <row r="50488" ht="12" customHeight="1"/>
    <row r="50489" ht="12" customHeight="1"/>
    <row r="50490" ht="12" customHeight="1"/>
    <row r="50491" ht="12" customHeight="1"/>
    <row r="50492" ht="12" customHeight="1"/>
    <row r="50493" ht="12" customHeight="1"/>
    <row r="50494" ht="12" customHeight="1"/>
    <row r="50495" ht="12" customHeight="1"/>
    <row r="50496" ht="12" customHeight="1"/>
    <row r="50497" ht="12" customHeight="1"/>
    <row r="50498" ht="12" customHeight="1"/>
    <row r="50499" ht="12" customHeight="1"/>
    <row r="50500" ht="12" customHeight="1"/>
    <row r="50501" ht="12" customHeight="1"/>
    <row r="50502" ht="12" customHeight="1"/>
    <row r="50503" ht="12" customHeight="1"/>
    <row r="50504" ht="12" customHeight="1"/>
    <row r="50505" ht="12" customHeight="1"/>
    <row r="50506" ht="12" customHeight="1"/>
    <row r="50507" ht="12" customHeight="1"/>
    <row r="50508" ht="12" customHeight="1"/>
    <row r="50509" ht="12" customHeight="1"/>
    <row r="50510" ht="12" customHeight="1"/>
    <row r="50511" ht="12" customHeight="1"/>
    <row r="50512" ht="12" customHeight="1"/>
    <row r="50513" ht="12" customHeight="1"/>
    <row r="50514" ht="12" customHeight="1"/>
    <row r="50515" ht="12" customHeight="1"/>
    <row r="50516" ht="12" customHeight="1"/>
    <row r="50517" ht="12" customHeight="1"/>
    <row r="50518" ht="12" customHeight="1"/>
    <row r="50519" ht="12" customHeight="1"/>
    <row r="50520" ht="12" customHeight="1"/>
    <row r="50521" ht="12" customHeight="1"/>
    <row r="50522" ht="12" customHeight="1"/>
    <row r="50523" ht="12" customHeight="1"/>
    <row r="50524" ht="12" customHeight="1"/>
    <row r="50525" ht="12" customHeight="1"/>
    <row r="50526" ht="12" customHeight="1"/>
    <row r="50527" ht="12" customHeight="1"/>
    <row r="50528" ht="12" customHeight="1"/>
    <row r="50529" ht="12" customHeight="1"/>
    <row r="50530" ht="12" customHeight="1"/>
    <row r="50531" ht="12" customHeight="1"/>
    <row r="50532" ht="12" customHeight="1"/>
    <row r="50533" ht="12" customHeight="1"/>
    <row r="50534" ht="12" customHeight="1"/>
    <row r="50535" ht="12" customHeight="1"/>
    <row r="50536" ht="12" customHeight="1"/>
    <row r="50537" ht="12" customHeight="1"/>
    <row r="50538" ht="12" customHeight="1"/>
    <row r="50539" ht="12" customHeight="1"/>
    <row r="50540" ht="12" customHeight="1"/>
    <row r="50541" ht="12" customHeight="1"/>
    <row r="50542" ht="12" customHeight="1"/>
    <row r="50543" ht="12" customHeight="1"/>
    <row r="50544" ht="12" customHeight="1"/>
    <row r="50545" ht="12" customHeight="1"/>
    <row r="50546" ht="12" customHeight="1"/>
    <row r="50547" ht="12" customHeight="1"/>
    <row r="50548" ht="12" customHeight="1"/>
    <row r="50549" ht="12" customHeight="1"/>
    <row r="50550" ht="12" customHeight="1"/>
    <row r="50551" ht="12" customHeight="1"/>
    <row r="50552" ht="12" customHeight="1"/>
    <row r="50553" ht="12" customHeight="1"/>
    <row r="50554" ht="12" customHeight="1"/>
    <row r="50555" ht="12" customHeight="1"/>
    <row r="50556" ht="12" customHeight="1"/>
    <row r="50557" ht="12" customHeight="1"/>
    <row r="50558" ht="12" customHeight="1"/>
    <row r="50559" ht="12" customHeight="1"/>
    <row r="50560" ht="12" customHeight="1"/>
    <row r="50561" ht="12" customHeight="1"/>
    <row r="50562" ht="12" customHeight="1"/>
    <row r="50563" ht="12" customHeight="1"/>
    <row r="50564" ht="12" customHeight="1"/>
    <row r="50565" ht="12" customHeight="1"/>
    <row r="50566" ht="12" customHeight="1"/>
    <row r="50567" ht="12" customHeight="1"/>
    <row r="50568" ht="12" customHeight="1"/>
    <row r="50569" ht="12" customHeight="1"/>
    <row r="50570" ht="12" customHeight="1"/>
    <row r="50571" ht="12" customHeight="1"/>
    <row r="50572" ht="12" customHeight="1"/>
    <row r="50573" ht="12" customHeight="1"/>
    <row r="50574" ht="12" customHeight="1"/>
    <row r="50575" ht="12" customHeight="1"/>
    <row r="50576" ht="12" customHeight="1"/>
    <row r="50577" ht="12" customHeight="1"/>
    <row r="50578" ht="12" customHeight="1"/>
    <row r="50579" ht="12" customHeight="1"/>
    <row r="50580" ht="12" customHeight="1"/>
    <row r="50581" ht="12" customHeight="1"/>
    <row r="50582" ht="12" customHeight="1"/>
    <row r="50583" ht="12" customHeight="1"/>
    <row r="50584" ht="12" customHeight="1"/>
    <row r="50585" ht="12" customHeight="1"/>
    <row r="50586" ht="12" customHeight="1"/>
    <row r="50587" ht="12" customHeight="1"/>
    <row r="50588" ht="12" customHeight="1"/>
    <row r="50589" ht="12" customHeight="1"/>
    <row r="50590" ht="12" customHeight="1"/>
    <row r="50591" ht="12" customHeight="1"/>
    <row r="50592" ht="12" customHeight="1"/>
    <row r="50593" ht="12" customHeight="1"/>
    <row r="50594" ht="12" customHeight="1"/>
    <row r="50595" ht="12" customHeight="1"/>
    <row r="50596" ht="12" customHeight="1"/>
    <row r="50597" ht="12" customHeight="1"/>
    <row r="50598" ht="12" customHeight="1"/>
    <row r="50599" ht="12" customHeight="1"/>
    <row r="50600" ht="12" customHeight="1"/>
    <row r="50601" ht="12" customHeight="1"/>
    <row r="50602" ht="12" customHeight="1"/>
    <row r="50603" ht="12" customHeight="1"/>
    <row r="50604" ht="12" customHeight="1"/>
    <row r="50605" ht="12" customHeight="1"/>
    <row r="50606" ht="12" customHeight="1"/>
    <row r="50607" ht="12" customHeight="1"/>
    <row r="50608" ht="12" customHeight="1"/>
    <row r="50609" ht="12" customHeight="1"/>
    <row r="50610" ht="12" customHeight="1"/>
    <row r="50611" ht="12" customHeight="1"/>
    <row r="50612" ht="12" customHeight="1"/>
    <row r="50613" ht="12" customHeight="1"/>
    <row r="50614" ht="12" customHeight="1"/>
    <row r="50615" ht="12" customHeight="1"/>
    <row r="50616" ht="12" customHeight="1"/>
    <row r="50617" ht="12" customHeight="1"/>
    <row r="50618" ht="12" customHeight="1"/>
    <row r="50619" ht="12" customHeight="1"/>
    <row r="50620" ht="12" customHeight="1"/>
    <row r="50621" ht="12" customHeight="1"/>
    <row r="50622" ht="12" customHeight="1"/>
    <row r="50623" ht="12" customHeight="1"/>
    <row r="50624" ht="12" customHeight="1"/>
    <row r="50625" ht="12" customHeight="1"/>
    <row r="50626" ht="12" customHeight="1"/>
    <row r="50627" ht="12" customHeight="1"/>
    <row r="50628" ht="12" customHeight="1"/>
    <row r="50629" ht="12" customHeight="1"/>
    <row r="50630" ht="12" customHeight="1"/>
    <row r="50631" ht="12" customHeight="1"/>
    <row r="50632" ht="12" customHeight="1"/>
    <row r="50633" ht="12" customHeight="1"/>
    <row r="50634" ht="12" customHeight="1"/>
    <row r="50635" ht="12" customHeight="1"/>
    <row r="50636" ht="12" customHeight="1"/>
    <row r="50637" ht="12" customHeight="1"/>
    <row r="50638" ht="12" customHeight="1"/>
    <row r="50639" ht="12" customHeight="1"/>
    <row r="50640" ht="12" customHeight="1"/>
    <row r="50641" ht="12" customHeight="1"/>
    <row r="50642" ht="12" customHeight="1"/>
    <row r="50643" ht="12" customHeight="1"/>
    <row r="50644" ht="12" customHeight="1"/>
    <row r="50645" ht="12" customHeight="1"/>
    <row r="50646" ht="12" customHeight="1"/>
    <row r="50647" ht="12" customHeight="1"/>
    <row r="50648" ht="12" customHeight="1"/>
    <row r="50649" ht="12" customHeight="1"/>
    <row r="50650" ht="12" customHeight="1"/>
    <row r="50651" ht="12" customHeight="1"/>
    <row r="50652" ht="12" customHeight="1"/>
    <row r="50653" ht="12" customHeight="1"/>
    <row r="50654" ht="12" customHeight="1"/>
    <row r="50655" ht="12" customHeight="1"/>
    <row r="50656" ht="12" customHeight="1"/>
    <row r="50657" ht="12" customHeight="1"/>
    <row r="50658" ht="12" customHeight="1"/>
    <row r="50659" ht="12" customHeight="1"/>
    <row r="50660" ht="12" customHeight="1"/>
    <row r="50661" ht="12" customHeight="1"/>
    <row r="50662" ht="12" customHeight="1"/>
    <row r="50663" ht="12" customHeight="1"/>
    <row r="50664" ht="12" customHeight="1"/>
    <row r="50665" ht="12" customHeight="1"/>
    <row r="50666" ht="12" customHeight="1"/>
    <row r="50667" ht="12" customHeight="1"/>
    <row r="50668" ht="12" customHeight="1"/>
    <row r="50669" ht="12" customHeight="1"/>
    <row r="50670" ht="12" customHeight="1"/>
    <row r="50671" ht="12" customHeight="1"/>
    <row r="50672" ht="12" customHeight="1"/>
    <row r="50673" ht="12" customHeight="1"/>
    <row r="50674" ht="12" customHeight="1"/>
    <row r="50675" ht="12" customHeight="1"/>
    <row r="50676" ht="12" customHeight="1"/>
    <row r="50677" ht="12" customHeight="1"/>
    <row r="50678" ht="12" customHeight="1"/>
    <row r="50679" ht="12" customHeight="1"/>
    <row r="50680" ht="12" customHeight="1"/>
    <row r="50681" ht="12" customHeight="1"/>
    <row r="50682" ht="12" customHeight="1"/>
    <row r="50683" ht="12" customHeight="1"/>
    <row r="50684" ht="12" customHeight="1"/>
    <row r="50685" ht="12" customHeight="1"/>
    <row r="50686" ht="12" customHeight="1"/>
    <row r="50687" ht="12" customHeight="1"/>
    <row r="50688" ht="12" customHeight="1"/>
    <row r="50689" ht="12" customHeight="1"/>
    <row r="50690" ht="12" customHeight="1"/>
    <row r="50691" ht="12" customHeight="1"/>
    <row r="50692" ht="12" customHeight="1"/>
    <row r="50693" ht="12" customHeight="1"/>
    <row r="50694" ht="12" customHeight="1"/>
    <row r="50695" ht="12" customHeight="1"/>
    <row r="50696" ht="12" customHeight="1"/>
    <row r="50697" ht="12" customHeight="1"/>
    <row r="50698" ht="12" customHeight="1"/>
    <row r="50699" ht="12" customHeight="1"/>
    <row r="50700" ht="12" customHeight="1"/>
    <row r="50701" ht="12" customHeight="1"/>
    <row r="50702" ht="12" customHeight="1"/>
    <row r="50703" ht="12" customHeight="1"/>
    <row r="50704" ht="12" customHeight="1"/>
    <row r="50705" ht="12" customHeight="1"/>
    <row r="50706" ht="12" customHeight="1"/>
    <row r="50707" ht="12" customHeight="1"/>
    <row r="50708" ht="12" customHeight="1"/>
    <row r="50709" ht="12" customHeight="1"/>
    <row r="50710" ht="12" customHeight="1"/>
    <row r="50711" ht="12" customHeight="1"/>
    <row r="50712" ht="12" customHeight="1"/>
    <row r="50713" ht="12" customHeight="1"/>
    <row r="50714" ht="12" customHeight="1"/>
    <row r="50715" ht="12" customHeight="1"/>
    <row r="50716" ht="12" customHeight="1"/>
    <row r="50717" ht="12" customHeight="1"/>
    <row r="50718" ht="12" customHeight="1"/>
    <row r="50719" ht="12" customHeight="1"/>
    <row r="50720" ht="12" customHeight="1"/>
    <row r="50721" ht="12" customHeight="1"/>
    <row r="50722" ht="12" customHeight="1"/>
    <row r="50723" ht="12" customHeight="1"/>
    <row r="50724" ht="12" customHeight="1"/>
    <row r="50725" ht="12" customHeight="1"/>
    <row r="50726" ht="12" customHeight="1"/>
    <row r="50727" ht="12" customHeight="1"/>
    <row r="50728" ht="12" customHeight="1"/>
    <row r="50729" ht="12" customHeight="1"/>
    <row r="50730" ht="12" customHeight="1"/>
    <row r="50731" ht="12" customHeight="1"/>
    <row r="50732" ht="12" customHeight="1"/>
    <row r="50733" ht="12" customHeight="1"/>
    <row r="50734" ht="12" customHeight="1"/>
    <row r="50735" ht="12" customHeight="1"/>
    <row r="50736" ht="12" customHeight="1"/>
    <row r="50737" ht="12" customHeight="1"/>
    <row r="50738" ht="12" customHeight="1"/>
    <row r="50739" ht="12" customHeight="1"/>
    <row r="50740" ht="12" customHeight="1"/>
    <row r="50741" ht="12" customHeight="1"/>
    <row r="50742" ht="12" customHeight="1"/>
    <row r="50743" ht="12" customHeight="1"/>
    <row r="50744" ht="12" customHeight="1"/>
    <row r="50745" ht="12" customHeight="1"/>
    <row r="50746" ht="12" customHeight="1"/>
    <row r="50747" ht="12" customHeight="1"/>
    <row r="50748" ht="12" customHeight="1"/>
    <row r="50749" ht="12" customHeight="1"/>
    <row r="50750" ht="12" customHeight="1"/>
    <row r="50751" ht="12" customHeight="1"/>
    <row r="50752" ht="12" customHeight="1"/>
    <row r="50753" ht="12" customHeight="1"/>
    <row r="50754" ht="12" customHeight="1"/>
    <row r="50755" ht="12" customHeight="1"/>
    <row r="50756" ht="12" customHeight="1"/>
    <row r="50757" ht="12" customHeight="1"/>
    <row r="50758" ht="12" customHeight="1"/>
    <row r="50759" ht="12" customHeight="1"/>
    <row r="50760" ht="12" customHeight="1"/>
    <row r="50761" ht="12" customHeight="1"/>
    <row r="50762" ht="12" customHeight="1"/>
    <row r="50763" ht="12" customHeight="1"/>
    <row r="50764" ht="12" customHeight="1"/>
    <row r="50765" ht="12" customHeight="1"/>
    <row r="50766" ht="12" customHeight="1"/>
    <row r="50767" ht="12" customHeight="1"/>
    <row r="50768" ht="12" customHeight="1"/>
    <row r="50769" ht="12" customHeight="1"/>
    <row r="50770" ht="12" customHeight="1"/>
    <row r="50771" ht="12" customHeight="1"/>
    <row r="50772" ht="12" customHeight="1"/>
    <row r="50773" ht="12" customHeight="1"/>
    <row r="50774" ht="12" customHeight="1"/>
    <row r="50775" ht="12" customHeight="1"/>
    <row r="50776" ht="12" customHeight="1"/>
    <row r="50777" ht="12" customHeight="1"/>
    <row r="50778" ht="12" customHeight="1"/>
    <row r="50779" ht="12" customHeight="1"/>
    <row r="50780" ht="12" customHeight="1"/>
    <row r="50781" ht="12" customHeight="1"/>
    <row r="50782" ht="12" customHeight="1"/>
    <row r="50783" ht="12" customHeight="1"/>
    <row r="50784" ht="12" customHeight="1"/>
    <row r="50785" ht="12" customHeight="1"/>
    <row r="50786" ht="12" customHeight="1"/>
    <row r="50787" ht="12" customHeight="1"/>
    <row r="50788" ht="12" customHeight="1"/>
    <row r="50789" ht="12" customHeight="1"/>
    <row r="50790" ht="12" customHeight="1"/>
    <row r="50791" ht="12" customHeight="1"/>
    <row r="50792" ht="12" customHeight="1"/>
    <row r="50793" ht="12" customHeight="1"/>
    <row r="50794" ht="12" customHeight="1"/>
    <row r="50795" ht="12" customHeight="1"/>
    <row r="50796" ht="12" customHeight="1"/>
    <row r="50797" ht="12" customHeight="1"/>
    <row r="50798" ht="12" customHeight="1"/>
    <row r="50799" ht="12" customHeight="1"/>
    <row r="50800" ht="12" customHeight="1"/>
    <row r="50801" ht="12" customHeight="1"/>
    <row r="50802" ht="12" customHeight="1"/>
    <row r="50803" ht="12" customHeight="1"/>
    <row r="50804" ht="12" customHeight="1"/>
    <row r="50805" ht="12" customHeight="1"/>
    <row r="50806" ht="12" customHeight="1"/>
    <row r="50807" ht="12" customHeight="1"/>
    <row r="50808" ht="12" customHeight="1"/>
    <row r="50809" ht="12" customHeight="1"/>
    <row r="50810" ht="12" customHeight="1"/>
    <row r="50811" ht="12" customHeight="1"/>
    <row r="50812" ht="12" customHeight="1"/>
    <row r="50813" ht="12" customHeight="1"/>
    <row r="50814" ht="12" customHeight="1"/>
    <row r="50815" ht="12" customHeight="1"/>
    <row r="50816" ht="12" customHeight="1"/>
    <row r="50817" ht="12" customHeight="1"/>
    <row r="50818" ht="12" customHeight="1"/>
    <row r="50819" ht="12" customHeight="1"/>
    <row r="50820" ht="12" customHeight="1"/>
    <row r="50821" ht="12" customHeight="1"/>
    <row r="50822" ht="12" customHeight="1"/>
    <row r="50823" ht="12" customHeight="1"/>
    <row r="50824" ht="12" customHeight="1"/>
    <row r="50825" ht="12" customHeight="1"/>
    <row r="50826" ht="12" customHeight="1"/>
    <row r="50827" ht="12" customHeight="1"/>
    <row r="50828" ht="12" customHeight="1"/>
    <row r="50829" ht="12" customHeight="1"/>
    <row r="50830" ht="12" customHeight="1"/>
    <row r="50831" ht="12" customHeight="1"/>
    <row r="50832" ht="12" customHeight="1"/>
    <row r="50833" ht="12" customHeight="1"/>
    <row r="50834" ht="12" customHeight="1"/>
    <row r="50835" ht="12" customHeight="1"/>
    <row r="50836" ht="12" customHeight="1"/>
    <row r="50837" ht="12" customHeight="1"/>
    <row r="50838" ht="12" customHeight="1"/>
    <row r="50839" ht="12" customHeight="1"/>
    <row r="50840" ht="12" customHeight="1"/>
    <row r="50841" ht="12" customHeight="1"/>
    <row r="50842" ht="12" customHeight="1"/>
    <row r="50843" ht="12" customHeight="1"/>
    <row r="50844" ht="12" customHeight="1"/>
    <row r="50845" ht="12" customHeight="1"/>
    <row r="50846" ht="12" customHeight="1"/>
    <row r="50847" ht="12" customHeight="1"/>
    <row r="50848" ht="12" customHeight="1"/>
    <row r="50849" ht="12" customHeight="1"/>
    <row r="50850" ht="12" customHeight="1"/>
    <row r="50851" ht="12" customHeight="1"/>
    <row r="50852" ht="12" customHeight="1"/>
    <row r="50853" ht="12" customHeight="1"/>
    <row r="50854" ht="12" customHeight="1"/>
    <row r="50855" ht="12" customHeight="1"/>
    <row r="50856" ht="12" customHeight="1"/>
    <row r="50857" ht="12" customHeight="1"/>
    <row r="50858" ht="12" customHeight="1"/>
    <row r="50859" ht="12" customHeight="1"/>
    <row r="50860" ht="12" customHeight="1"/>
    <row r="50861" ht="12" customHeight="1"/>
    <row r="50862" ht="12" customHeight="1"/>
    <row r="50863" ht="12" customHeight="1"/>
    <row r="50864" ht="12" customHeight="1"/>
    <row r="50865" ht="12" customHeight="1"/>
    <row r="50866" ht="12" customHeight="1"/>
    <row r="50867" ht="12" customHeight="1"/>
    <row r="50868" ht="12" customHeight="1"/>
    <row r="50869" ht="12" customHeight="1"/>
    <row r="50870" ht="12" customHeight="1"/>
    <row r="50871" ht="12" customHeight="1"/>
    <row r="50872" ht="12" customHeight="1"/>
    <row r="50873" ht="12" customHeight="1"/>
    <row r="50874" ht="12" customHeight="1"/>
    <row r="50875" ht="12" customHeight="1"/>
    <row r="50876" ht="12" customHeight="1"/>
    <row r="50877" ht="12" customHeight="1"/>
    <row r="50878" ht="12" customHeight="1"/>
    <row r="50879" ht="12" customHeight="1"/>
    <row r="50880" ht="12" customHeight="1"/>
    <row r="50881" ht="12" customHeight="1"/>
    <row r="50882" ht="12" customHeight="1"/>
    <row r="50883" ht="12" customHeight="1"/>
    <row r="50884" ht="12" customHeight="1"/>
    <row r="50885" ht="12" customHeight="1"/>
    <row r="50886" ht="12" customHeight="1"/>
    <row r="50887" ht="12" customHeight="1"/>
    <row r="50888" ht="12" customHeight="1"/>
    <row r="50889" ht="12" customHeight="1"/>
    <row r="50890" ht="12" customHeight="1"/>
    <row r="50891" ht="12" customHeight="1"/>
    <row r="50892" ht="12" customHeight="1"/>
    <row r="50893" ht="12" customHeight="1"/>
    <row r="50894" ht="12" customHeight="1"/>
    <row r="50895" ht="12" customHeight="1"/>
    <row r="50896" ht="12" customHeight="1"/>
    <row r="50897" ht="12" customHeight="1"/>
    <row r="50898" ht="12" customHeight="1"/>
    <row r="50899" ht="12" customHeight="1"/>
    <row r="50900" ht="12" customHeight="1"/>
    <row r="50901" ht="12" customHeight="1"/>
    <row r="50902" ht="12" customHeight="1"/>
    <row r="50903" ht="12" customHeight="1"/>
    <row r="50904" ht="12" customHeight="1"/>
    <row r="50905" ht="12" customHeight="1"/>
    <row r="50906" ht="12" customHeight="1"/>
    <row r="50907" ht="12" customHeight="1"/>
    <row r="50908" ht="12" customHeight="1"/>
    <row r="50909" ht="12" customHeight="1"/>
    <row r="50910" ht="12" customHeight="1"/>
    <row r="50911" ht="12" customHeight="1"/>
    <row r="50912" ht="12" customHeight="1"/>
    <row r="50913" ht="12" customHeight="1"/>
    <row r="50914" ht="12" customHeight="1"/>
    <row r="50915" ht="12" customHeight="1"/>
    <row r="50916" ht="12" customHeight="1"/>
    <row r="50917" ht="12" customHeight="1"/>
    <row r="50918" ht="12" customHeight="1"/>
    <row r="50919" ht="12" customHeight="1"/>
    <row r="50920" ht="12" customHeight="1"/>
    <row r="50921" ht="12" customHeight="1"/>
    <row r="50922" ht="12" customHeight="1"/>
    <row r="50923" ht="12" customHeight="1"/>
    <row r="50924" ht="12" customHeight="1"/>
    <row r="50925" ht="12" customHeight="1"/>
    <row r="50926" ht="12" customHeight="1"/>
    <row r="50927" ht="12" customHeight="1"/>
    <row r="50928" ht="12" customHeight="1"/>
    <row r="50929" ht="12" customHeight="1"/>
    <row r="50930" ht="12" customHeight="1"/>
    <row r="50931" ht="12" customHeight="1"/>
    <row r="50932" ht="12" customHeight="1"/>
    <row r="50933" ht="12" customHeight="1"/>
    <row r="50934" ht="12" customHeight="1"/>
    <row r="50935" ht="12" customHeight="1"/>
    <row r="50936" ht="12" customHeight="1"/>
    <row r="50937" ht="12" customHeight="1"/>
    <row r="50938" ht="12" customHeight="1"/>
    <row r="50939" ht="12" customHeight="1"/>
    <row r="50940" ht="12" customHeight="1"/>
    <row r="50941" ht="12" customHeight="1"/>
    <row r="50942" ht="12" customHeight="1"/>
    <row r="50943" ht="12" customHeight="1"/>
    <row r="50944" ht="12" customHeight="1"/>
    <row r="50945" ht="12" customHeight="1"/>
    <row r="50946" ht="12" customHeight="1"/>
    <row r="50947" ht="12" customHeight="1"/>
    <row r="50948" ht="12" customHeight="1"/>
    <row r="50949" ht="12" customHeight="1"/>
    <row r="50950" ht="12" customHeight="1"/>
    <row r="50951" ht="12" customHeight="1"/>
    <row r="50952" ht="12" customHeight="1"/>
    <row r="50953" ht="12" customHeight="1"/>
    <row r="50954" ht="12" customHeight="1"/>
    <row r="50955" ht="12" customHeight="1"/>
    <row r="50956" ht="12" customHeight="1"/>
    <row r="50957" ht="12" customHeight="1"/>
    <row r="50958" ht="12" customHeight="1"/>
    <row r="50959" ht="12" customHeight="1"/>
    <row r="50960" ht="12" customHeight="1"/>
    <row r="50961" ht="12" customHeight="1"/>
    <row r="50962" ht="12" customHeight="1"/>
    <row r="50963" ht="12" customHeight="1"/>
    <row r="50964" ht="12" customHeight="1"/>
    <row r="50965" ht="12" customHeight="1"/>
    <row r="50966" ht="12" customHeight="1"/>
    <row r="50967" ht="12" customHeight="1"/>
    <row r="50968" ht="12" customHeight="1"/>
    <row r="50969" ht="12" customHeight="1"/>
    <row r="50970" ht="12" customHeight="1"/>
    <row r="50971" ht="12" customHeight="1"/>
    <row r="50972" ht="12" customHeight="1"/>
    <row r="50973" ht="12" customHeight="1"/>
    <row r="50974" ht="12" customHeight="1"/>
    <row r="50975" ht="12" customHeight="1"/>
    <row r="50976" ht="12" customHeight="1"/>
    <row r="50977" ht="12" customHeight="1"/>
    <row r="50978" ht="12" customHeight="1"/>
    <row r="50979" ht="12" customHeight="1"/>
    <row r="50980" ht="12" customHeight="1"/>
    <row r="50981" ht="12" customHeight="1"/>
    <row r="50982" ht="12" customHeight="1"/>
    <row r="50983" ht="12" customHeight="1"/>
    <row r="50984" ht="12" customHeight="1"/>
    <row r="50985" ht="12" customHeight="1"/>
    <row r="50986" ht="12" customHeight="1"/>
    <row r="50987" ht="12" customHeight="1"/>
    <row r="50988" ht="12" customHeight="1"/>
    <row r="50989" ht="12" customHeight="1"/>
    <row r="50990" ht="12" customHeight="1"/>
    <row r="50991" ht="12" customHeight="1"/>
    <row r="50992" ht="12" customHeight="1"/>
    <row r="50993" ht="12" customHeight="1"/>
    <row r="50994" ht="12" customHeight="1"/>
    <row r="50995" ht="12" customHeight="1"/>
    <row r="50996" ht="12" customHeight="1"/>
    <row r="50997" ht="12" customHeight="1"/>
    <row r="50998" ht="12" customHeight="1"/>
    <row r="50999" ht="12" customHeight="1"/>
    <row r="51000" ht="12" customHeight="1"/>
    <row r="51001" ht="12" customHeight="1"/>
    <row r="51002" ht="12" customHeight="1"/>
    <row r="51003" ht="12" customHeight="1"/>
    <row r="51004" ht="12" customHeight="1"/>
    <row r="51005" ht="12" customHeight="1"/>
    <row r="51006" ht="12" customHeight="1"/>
    <row r="51007" ht="12" customHeight="1"/>
    <row r="51008" ht="12" customHeight="1"/>
    <row r="51009" ht="12" customHeight="1"/>
    <row r="51010" ht="12" customHeight="1"/>
    <row r="51011" ht="12" customHeight="1"/>
    <row r="51012" ht="12" customHeight="1"/>
    <row r="51013" ht="12" customHeight="1"/>
    <row r="51014" ht="12" customHeight="1"/>
    <row r="51015" ht="12" customHeight="1"/>
    <row r="51016" ht="12" customHeight="1"/>
    <row r="51017" ht="12" customHeight="1"/>
    <row r="51018" ht="12" customHeight="1"/>
    <row r="51019" ht="12" customHeight="1"/>
    <row r="51020" ht="12" customHeight="1"/>
    <row r="51021" ht="12" customHeight="1"/>
    <row r="51022" ht="12" customHeight="1"/>
    <row r="51023" ht="12" customHeight="1"/>
    <row r="51024" ht="12" customHeight="1"/>
    <row r="51025" ht="12" customHeight="1"/>
    <row r="51026" ht="12" customHeight="1"/>
    <row r="51027" ht="12" customHeight="1"/>
    <row r="51028" ht="12" customHeight="1"/>
    <row r="51029" ht="12" customHeight="1"/>
    <row r="51030" ht="12" customHeight="1"/>
    <row r="51031" ht="12" customHeight="1"/>
    <row r="51032" ht="12" customHeight="1"/>
    <row r="51033" ht="12" customHeight="1"/>
    <row r="51034" ht="12" customHeight="1"/>
    <row r="51035" ht="12" customHeight="1"/>
    <row r="51036" ht="12" customHeight="1"/>
    <row r="51037" ht="12" customHeight="1"/>
    <row r="51038" ht="12" customHeight="1"/>
    <row r="51039" ht="12" customHeight="1"/>
    <row r="51040" ht="12" customHeight="1"/>
    <row r="51041" ht="12" customHeight="1"/>
    <row r="51042" ht="12" customHeight="1"/>
    <row r="51043" ht="12" customHeight="1"/>
    <row r="51044" ht="12" customHeight="1"/>
    <row r="51045" ht="12" customHeight="1"/>
    <row r="51046" ht="12" customHeight="1"/>
    <row r="51047" ht="12" customHeight="1"/>
    <row r="51048" ht="12" customHeight="1"/>
    <row r="51049" ht="12" customHeight="1"/>
    <row r="51050" ht="12" customHeight="1"/>
    <row r="51051" ht="12" customHeight="1"/>
    <row r="51052" ht="12" customHeight="1"/>
    <row r="51053" ht="12" customHeight="1"/>
    <row r="51054" ht="12" customHeight="1"/>
    <row r="51055" ht="12" customHeight="1"/>
    <row r="51056" ht="12" customHeight="1"/>
    <row r="51057" ht="12" customHeight="1"/>
    <row r="51058" ht="12" customHeight="1"/>
    <row r="51059" ht="12" customHeight="1"/>
    <row r="51060" ht="12" customHeight="1"/>
    <row r="51061" ht="12" customHeight="1"/>
    <row r="51062" ht="12" customHeight="1"/>
    <row r="51063" ht="12" customHeight="1"/>
    <row r="51064" ht="12" customHeight="1"/>
    <row r="51065" ht="12" customHeight="1"/>
    <row r="51066" ht="12" customHeight="1"/>
    <row r="51067" ht="12" customHeight="1"/>
    <row r="51068" ht="12" customHeight="1"/>
    <row r="51069" ht="12" customHeight="1"/>
    <row r="51070" ht="12" customHeight="1"/>
    <row r="51071" ht="12" customHeight="1"/>
    <row r="51072" ht="12" customHeight="1"/>
    <row r="51073" ht="12" customHeight="1"/>
    <row r="51074" ht="12" customHeight="1"/>
    <row r="51075" ht="12" customHeight="1"/>
    <row r="51076" ht="12" customHeight="1"/>
    <row r="51077" ht="12" customHeight="1"/>
    <row r="51078" ht="12" customHeight="1"/>
    <row r="51079" ht="12" customHeight="1"/>
    <row r="51080" ht="12" customHeight="1"/>
    <row r="51081" ht="12" customHeight="1"/>
    <row r="51082" ht="12" customHeight="1"/>
    <row r="51083" ht="12" customHeight="1"/>
    <row r="51084" ht="12" customHeight="1"/>
    <row r="51085" ht="12" customHeight="1"/>
    <row r="51086" ht="12" customHeight="1"/>
    <row r="51087" ht="12" customHeight="1"/>
    <row r="51088" ht="12" customHeight="1"/>
    <row r="51089" ht="12" customHeight="1"/>
    <row r="51090" ht="12" customHeight="1"/>
    <row r="51091" ht="12" customHeight="1"/>
    <row r="51092" ht="12" customHeight="1"/>
    <row r="51093" ht="12" customHeight="1"/>
    <row r="51094" ht="12" customHeight="1"/>
    <row r="51095" ht="12" customHeight="1"/>
    <row r="51096" ht="12" customHeight="1"/>
    <row r="51097" ht="12" customHeight="1"/>
    <row r="51098" ht="12" customHeight="1"/>
    <row r="51099" ht="12" customHeight="1"/>
    <row r="51100" ht="12" customHeight="1"/>
    <row r="51101" ht="12" customHeight="1"/>
    <row r="51102" ht="12" customHeight="1"/>
    <row r="51103" ht="12" customHeight="1"/>
    <row r="51104" ht="12" customHeight="1"/>
    <row r="51105" ht="12" customHeight="1"/>
    <row r="51106" ht="12" customHeight="1"/>
    <row r="51107" ht="12" customHeight="1"/>
    <row r="51108" ht="12" customHeight="1"/>
    <row r="51109" ht="12" customHeight="1"/>
    <row r="51110" ht="12" customHeight="1"/>
    <row r="51111" ht="12" customHeight="1"/>
    <row r="51112" ht="12" customHeight="1"/>
    <row r="51113" ht="12" customHeight="1"/>
    <row r="51114" ht="12" customHeight="1"/>
    <row r="51115" ht="12" customHeight="1"/>
    <row r="51116" ht="12" customHeight="1"/>
    <row r="51117" ht="12" customHeight="1"/>
    <row r="51118" ht="12" customHeight="1"/>
    <row r="51119" ht="12" customHeight="1"/>
    <row r="51120" ht="12" customHeight="1"/>
    <row r="51121" ht="12" customHeight="1"/>
    <row r="51122" ht="12" customHeight="1"/>
    <row r="51123" ht="12" customHeight="1"/>
    <row r="51124" ht="12" customHeight="1"/>
    <row r="51125" ht="12" customHeight="1"/>
    <row r="51126" ht="12" customHeight="1"/>
    <row r="51127" ht="12" customHeight="1"/>
    <row r="51128" ht="12" customHeight="1"/>
    <row r="51129" ht="12" customHeight="1"/>
    <row r="51130" ht="12" customHeight="1"/>
    <row r="51131" ht="12" customHeight="1"/>
    <row r="51132" ht="12" customHeight="1"/>
    <row r="51133" ht="12" customHeight="1"/>
    <row r="51134" ht="12" customHeight="1"/>
    <row r="51135" ht="12" customHeight="1"/>
    <row r="51136" ht="12" customHeight="1"/>
    <row r="51137" ht="12" customHeight="1"/>
    <row r="51138" ht="12" customHeight="1"/>
    <row r="51139" ht="12" customHeight="1"/>
    <row r="51140" ht="12" customHeight="1"/>
    <row r="51141" ht="12" customHeight="1"/>
    <row r="51142" ht="12" customHeight="1"/>
    <row r="51143" ht="12" customHeight="1"/>
    <row r="51144" ht="12" customHeight="1"/>
    <row r="51145" ht="12" customHeight="1"/>
    <row r="51146" ht="12" customHeight="1"/>
    <row r="51147" ht="12" customHeight="1"/>
    <row r="51148" ht="12" customHeight="1"/>
    <row r="51149" ht="12" customHeight="1"/>
    <row r="51150" ht="12" customHeight="1"/>
    <row r="51151" ht="12" customHeight="1"/>
    <row r="51152" ht="12" customHeight="1"/>
    <row r="51153" ht="12" customHeight="1"/>
    <row r="51154" ht="12" customHeight="1"/>
    <row r="51155" ht="12" customHeight="1"/>
    <row r="51156" ht="12" customHeight="1"/>
    <row r="51157" ht="12" customHeight="1"/>
    <row r="51158" ht="12" customHeight="1"/>
    <row r="51159" ht="12" customHeight="1"/>
    <row r="51160" ht="12" customHeight="1"/>
    <row r="51161" ht="12" customHeight="1"/>
    <row r="51162" ht="12" customHeight="1"/>
    <row r="51163" ht="12" customHeight="1"/>
    <row r="51164" ht="12" customHeight="1"/>
    <row r="51165" ht="12" customHeight="1"/>
    <row r="51166" ht="12" customHeight="1"/>
    <row r="51167" ht="12" customHeight="1"/>
    <row r="51168" ht="12" customHeight="1"/>
    <row r="51169" ht="12" customHeight="1"/>
    <row r="51170" ht="12" customHeight="1"/>
    <row r="51171" ht="12" customHeight="1"/>
    <row r="51172" ht="12" customHeight="1"/>
    <row r="51173" ht="12" customHeight="1"/>
    <row r="51174" ht="12" customHeight="1"/>
    <row r="51175" ht="12" customHeight="1"/>
    <row r="51176" ht="12" customHeight="1"/>
    <row r="51177" ht="12" customHeight="1"/>
    <row r="51178" ht="12" customHeight="1"/>
    <row r="51179" ht="12" customHeight="1"/>
    <row r="51180" ht="12" customHeight="1"/>
    <row r="51181" ht="12" customHeight="1"/>
    <row r="51182" ht="12" customHeight="1"/>
    <row r="51183" ht="12" customHeight="1"/>
    <row r="51184" ht="12" customHeight="1"/>
    <row r="51185" ht="12" customHeight="1"/>
    <row r="51186" ht="12" customHeight="1"/>
    <row r="51187" ht="12" customHeight="1"/>
    <row r="51188" ht="12" customHeight="1"/>
    <row r="51189" ht="12" customHeight="1"/>
    <row r="51190" ht="12" customHeight="1"/>
    <row r="51191" ht="12" customHeight="1"/>
    <row r="51192" ht="12" customHeight="1"/>
    <row r="51193" ht="12" customHeight="1"/>
    <row r="51194" ht="12" customHeight="1"/>
    <row r="51195" ht="12" customHeight="1"/>
    <row r="51196" ht="12" customHeight="1"/>
    <row r="51197" ht="12" customHeight="1"/>
    <row r="51198" ht="12" customHeight="1"/>
    <row r="51199" ht="12" customHeight="1"/>
    <row r="51200" ht="12" customHeight="1"/>
    <row r="51201" ht="12" customHeight="1"/>
    <row r="51202" ht="12" customHeight="1"/>
    <row r="51203" ht="12" customHeight="1"/>
    <row r="51204" ht="12" customHeight="1"/>
    <row r="51205" ht="12" customHeight="1"/>
    <row r="51206" ht="12" customHeight="1"/>
    <row r="51207" ht="12" customHeight="1"/>
    <row r="51208" ht="12" customHeight="1"/>
    <row r="51209" ht="12" customHeight="1"/>
    <row r="51210" ht="12" customHeight="1"/>
    <row r="51211" ht="12" customHeight="1"/>
    <row r="51212" ht="12" customHeight="1"/>
    <row r="51213" ht="12" customHeight="1"/>
    <row r="51214" ht="12" customHeight="1"/>
    <row r="51215" ht="12" customHeight="1"/>
    <row r="51216" ht="12" customHeight="1"/>
    <row r="51217" ht="12" customHeight="1"/>
    <row r="51218" ht="12" customHeight="1"/>
    <row r="51219" ht="12" customHeight="1"/>
    <row r="51220" ht="12" customHeight="1"/>
    <row r="51221" ht="12" customHeight="1"/>
    <row r="51222" ht="12" customHeight="1"/>
    <row r="51223" ht="12" customHeight="1"/>
    <row r="51224" ht="12" customHeight="1"/>
    <row r="51225" ht="12" customHeight="1"/>
    <row r="51226" ht="12" customHeight="1"/>
    <row r="51227" ht="12" customHeight="1"/>
    <row r="51228" ht="12" customHeight="1"/>
    <row r="51229" ht="12" customHeight="1"/>
    <row r="51230" ht="12" customHeight="1"/>
    <row r="51231" ht="12" customHeight="1"/>
    <row r="51232" ht="12" customHeight="1"/>
    <row r="51233" ht="12" customHeight="1"/>
    <row r="51234" ht="12" customHeight="1"/>
    <row r="51235" ht="12" customHeight="1"/>
    <row r="51236" ht="12" customHeight="1"/>
    <row r="51237" ht="12" customHeight="1"/>
    <row r="51238" ht="12" customHeight="1"/>
    <row r="51239" ht="12" customHeight="1"/>
    <row r="51240" ht="12" customHeight="1"/>
    <row r="51241" ht="12" customHeight="1"/>
    <row r="51242" ht="12" customHeight="1"/>
    <row r="51243" ht="12" customHeight="1"/>
    <row r="51244" ht="12" customHeight="1"/>
    <row r="51245" ht="12" customHeight="1"/>
    <row r="51246" ht="12" customHeight="1"/>
    <row r="51247" ht="12" customHeight="1"/>
    <row r="51248" ht="12" customHeight="1"/>
    <row r="51249" ht="12" customHeight="1"/>
    <row r="51250" ht="12" customHeight="1"/>
    <row r="51251" ht="12" customHeight="1"/>
    <row r="51252" ht="12" customHeight="1"/>
    <row r="51253" ht="12" customHeight="1"/>
    <row r="51254" ht="12" customHeight="1"/>
    <row r="51255" ht="12" customHeight="1"/>
    <row r="51256" ht="12" customHeight="1"/>
    <row r="51257" ht="12" customHeight="1"/>
    <row r="51258" ht="12" customHeight="1"/>
    <row r="51259" ht="12" customHeight="1"/>
    <row r="51260" ht="12" customHeight="1"/>
    <row r="51261" ht="12" customHeight="1"/>
    <row r="51262" ht="12" customHeight="1"/>
    <row r="51263" ht="12" customHeight="1"/>
    <row r="51264" ht="12" customHeight="1"/>
    <row r="51265" ht="12" customHeight="1"/>
    <row r="51266" ht="12" customHeight="1"/>
    <row r="51267" ht="12" customHeight="1"/>
    <row r="51268" ht="12" customHeight="1"/>
    <row r="51269" ht="12" customHeight="1"/>
    <row r="51270" ht="12" customHeight="1"/>
    <row r="51271" ht="12" customHeight="1"/>
    <row r="51272" ht="12" customHeight="1"/>
    <row r="51273" ht="12" customHeight="1"/>
    <row r="51274" ht="12" customHeight="1"/>
    <row r="51275" ht="12" customHeight="1"/>
    <row r="51276" ht="12" customHeight="1"/>
    <row r="51277" ht="12" customHeight="1"/>
    <row r="51278" ht="12" customHeight="1"/>
    <row r="51279" ht="12" customHeight="1"/>
    <row r="51280" ht="12" customHeight="1"/>
    <row r="51281" ht="12" customHeight="1"/>
    <row r="51282" ht="12" customHeight="1"/>
    <row r="51283" ht="12" customHeight="1"/>
    <row r="51284" ht="12" customHeight="1"/>
    <row r="51285" ht="12" customHeight="1"/>
    <row r="51286" ht="12" customHeight="1"/>
    <row r="51287" ht="12" customHeight="1"/>
    <row r="51288" ht="12" customHeight="1"/>
    <row r="51289" ht="12" customHeight="1"/>
    <row r="51290" ht="12" customHeight="1"/>
    <row r="51291" ht="12" customHeight="1"/>
    <row r="51292" ht="12" customHeight="1"/>
    <row r="51293" ht="12" customHeight="1"/>
    <row r="51294" ht="12" customHeight="1"/>
    <row r="51295" ht="12" customHeight="1"/>
    <row r="51296" ht="12" customHeight="1"/>
    <row r="51297" ht="12" customHeight="1"/>
    <row r="51298" ht="12" customHeight="1"/>
    <row r="51299" ht="12" customHeight="1"/>
    <row r="51300" ht="12" customHeight="1"/>
    <row r="51301" ht="12" customHeight="1"/>
    <row r="51302" ht="12" customHeight="1"/>
    <row r="51303" ht="12" customHeight="1"/>
    <row r="51304" ht="12" customHeight="1"/>
    <row r="51305" ht="12" customHeight="1"/>
    <row r="51306" ht="12" customHeight="1"/>
    <row r="51307" ht="12" customHeight="1"/>
    <row r="51308" ht="12" customHeight="1"/>
    <row r="51309" ht="12" customHeight="1"/>
    <row r="51310" ht="12" customHeight="1"/>
    <row r="51311" ht="12" customHeight="1"/>
    <row r="51312" ht="12" customHeight="1"/>
    <row r="51313" ht="12" customHeight="1"/>
    <row r="51314" ht="12" customHeight="1"/>
    <row r="51315" ht="12" customHeight="1"/>
    <row r="51316" ht="12" customHeight="1"/>
    <row r="51317" ht="12" customHeight="1"/>
    <row r="51318" ht="12" customHeight="1"/>
    <row r="51319" ht="12" customHeight="1"/>
    <row r="51320" ht="12" customHeight="1"/>
    <row r="51321" ht="12" customHeight="1"/>
    <row r="51322" ht="12" customHeight="1"/>
    <row r="51323" ht="12" customHeight="1"/>
    <row r="51324" ht="12" customHeight="1"/>
    <row r="51325" ht="12" customHeight="1"/>
    <row r="51326" ht="12" customHeight="1"/>
    <row r="51327" ht="12" customHeight="1"/>
    <row r="51328" ht="12" customHeight="1"/>
    <row r="51329" ht="12" customHeight="1"/>
    <row r="51330" ht="12" customHeight="1"/>
    <row r="51331" ht="12" customHeight="1"/>
    <row r="51332" ht="12" customHeight="1"/>
    <row r="51333" ht="12" customHeight="1"/>
    <row r="51334" ht="12" customHeight="1"/>
    <row r="51335" ht="12" customHeight="1"/>
    <row r="51336" ht="12" customHeight="1"/>
    <row r="51337" ht="12" customHeight="1"/>
    <row r="51338" ht="12" customHeight="1"/>
    <row r="51339" ht="12" customHeight="1"/>
    <row r="51340" ht="12" customHeight="1"/>
    <row r="51341" ht="12" customHeight="1"/>
    <row r="51342" ht="12" customHeight="1"/>
    <row r="51343" ht="12" customHeight="1"/>
    <row r="51344" ht="12" customHeight="1"/>
    <row r="51345" ht="12" customHeight="1"/>
    <row r="51346" ht="12" customHeight="1"/>
    <row r="51347" ht="12" customHeight="1"/>
    <row r="51348" ht="12" customHeight="1"/>
    <row r="51349" ht="12" customHeight="1"/>
    <row r="51350" ht="12" customHeight="1"/>
    <row r="51351" ht="12" customHeight="1"/>
    <row r="51352" ht="12" customHeight="1"/>
    <row r="51353" ht="12" customHeight="1"/>
    <row r="51354" ht="12" customHeight="1"/>
    <row r="51355" ht="12" customHeight="1"/>
    <row r="51356" ht="12" customHeight="1"/>
    <row r="51357" ht="12" customHeight="1"/>
    <row r="51358" ht="12" customHeight="1"/>
    <row r="51359" ht="12" customHeight="1"/>
    <row r="51360" ht="12" customHeight="1"/>
    <row r="51361" ht="12" customHeight="1"/>
    <row r="51362" ht="12" customHeight="1"/>
    <row r="51363" ht="12" customHeight="1"/>
    <row r="51364" ht="12" customHeight="1"/>
    <row r="51365" ht="12" customHeight="1"/>
    <row r="51366" ht="12" customHeight="1"/>
    <row r="51367" ht="12" customHeight="1"/>
    <row r="51368" ht="12" customHeight="1"/>
    <row r="51369" ht="12" customHeight="1"/>
    <row r="51370" ht="12" customHeight="1"/>
    <row r="51371" ht="12" customHeight="1"/>
    <row r="51372" ht="12" customHeight="1"/>
    <row r="51373" ht="12" customHeight="1"/>
    <row r="51374" ht="12" customHeight="1"/>
    <row r="51375" ht="12" customHeight="1"/>
    <row r="51376" ht="12" customHeight="1"/>
    <row r="51377" ht="12" customHeight="1"/>
    <row r="51378" ht="12" customHeight="1"/>
    <row r="51379" ht="12" customHeight="1"/>
    <row r="51380" ht="12" customHeight="1"/>
    <row r="51381" ht="12" customHeight="1"/>
    <row r="51382" ht="12" customHeight="1"/>
    <row r="51383" ht="12" customHeight="1"/>
    <row r="51384" ht="12" customHeight="1"/>
    <row r="51385" ht="12" customHeight="1"/>
    <row r="51386" ht="12" customHeight="1"/>
    <row r="51387" ht="12" customHeight="1"/>
    <row r="51388" ht="12" customHeight="1"/>
    <row r="51389" ht="12" customHeight="1"/>
    <row r="51390" ht="12" customHeight="1"/>
    <row r="51391" ht="12" customHeight="1"/>
    <row r="51392" ht="12" customHeight="1"/>
    <row r="51393" ht="12" customHeight="1"/>
    <row r="51394" ht="12" customHeight="1"/>
    <row r="51395" ht="12" customHeight="1"/>
    <row r="51396" ht="12" customHeight="1"/>
    <row r="51397" ht="12" customHeight="1"/>
    <row r="51398" ht="12" customHeight="1"/>
    <row r="51399" ht="12" customHeight="1"/>
    <row r="51400" ht="12" customHeight="1"/>
    <row r="51401" ht="12" customHeight="1"/>
    <row r="51402" ht="12" customHeight="1"/>
    <row r="51403" ht="12" customHeight="1"/>
    <row r="51404" ht="12" customHeight="1"/>
    <row r="51405" ht="12" customHeight="1"/>
    <row r="51406" ht="12" customHeight="1"/>
    <row r="51407" ht="12" customHeight="1"/>
    <row r="51408" ht="12" customHeight="1"/>
    <row r="51409" ht="12" customHeight="1"/>
    <row r="51410" ht="12" customHeight="1"/>
    <row r="51411" ht="12" customHeight="1"/>
    <row r="51412" ht="12" customHeight="1"/>
    <row r="51413" ht="12" customHeight="1"/>
    <row r="51414" ht="12" customHeight="1"/>
    <row r="51415" ht="12" customHeight="1"/>
    <row r="51416" ht="12" customHeight="1"/>
    <row r="51417" ht="12" customHeight="1"/>
    <row r="51418" ht="12" customHeight="1"/>
    <row r="51419" ht="12" customHeight="1"/>
    <row r="51420" ht="12" customHeight="1"/>
    <row r="51421" ht="12" customHeight="1"/>
    <row r="51422" ht="12" customHeight="1"/>
    <row r="51423" ht="12" customHeight="1"/>
    <row r="51424" ht="12" customHeight="1"/>
    <row r="51425" ht="12" customHeight="1"/>
    <row r="51426" ht="12" customHeight="1"/>
    <row r="51427" ht="12" customHeight="1"/>
    <row r="51428" ht="12" customHeight="1"/>
    <row r="51429" ht="12" customHeight="1"/>
    <row r="51430" ht="12" customHeight="1"/>
    <row r="51431" ht="12" customHeight="1"/>
    <row r="51432" ht="12" customHeight="1"/>
    <row r="51433" ht="12" customHeight="1"/>
    <row r="51434" ht="12" customHeight="1"/>
    <row r="51435" ht="12" customHeight="1"/>
    <row r="51436" ht="12" customHeight="1"/>
    <row r="51437" ht="12" customHeight="1"/>
    <row r="51438" ht="12" customHeight="1"/>
    <row r="51439" ht="12" customHeight="1"/>
    <row r="51440" ht="12" customHeight="1"/>
    <row r="51441" ht="12" customHeight="1"/>
    <row r="51442" ht="12" customHeight="1"/>
    <row r="51443" ht="12" customHeight="1"/>
    <row r="51444" ht="12" customHeight="1"/>
    <row r="51445" ht="12" customHeight="1"/>
    <row r="51446" ht="12" customHeight="1"/>
    <row r="51447" ht="12" customHeight="1"/>
    <row r="51448" ht="12" customHeight="1"/>
    <row r="51449" ht="12" customHeight="1"/>
    <row r="51450" ht="12" customHeight="1"/>
    <row r="51451" ht="12" customHeight="1"/>
    <row r="51452" ht="12" customHeight="1"/>
    <row r="51453" ht="12" customHeight="1"/>
    <row r="51454" ht="12" customHeight="1"/>
    <row r="51455" ht="12" customHeight="1"/>
    <row r="51456" ht="12" customHeight="1"/>
    <row r="51457" ht="12" customHeight="1"/>
    <row r="51458" ht="12" customHeight="1"/>
    <row r="51459" ht="12" customHeight="1"/>
    <row r="51460" ht="12" customHeight="1"/>
    <row r="51461" ht="12" customHeight="1"/>
    <row r="51462" ht="12" customHeight="1"/>
    <row r="51463" ht="12" customHeight="1"/>
    <row r="51464" ht="12" customHeight="1"/>
    <row r="51465" ht="12" customHeight="1"/>
    <row r="51466" ht="12" customHeight="1"/>
    <row r="51467" ht="12" customHeight="1"/>
    <row r="51468" ht="12" customHeight="1"/>
    <row r="51469" ht="12" customHeight="1"/>
    <row r="51470" ht="12" customHeight="1"/>
    <row r="51471" ht="12" customHeight="1"/>
    <row r="51472" ht="12" customHeight="1"/>
    <row r="51473" ht="12" customHeight="1"/>
    <row r="51474" ht="12" customHeight="1"/>
    <row r="51475" ht="12" customHeight="1"/>
    <row r="51476" ht="12" customHeight="1"/>
    <row r="51477" ht="12" customHeight="1"/>
    <row r="51478" ht="12" customHeight="1"/>
    <row r="51479" ht="12" customHeight="1"/>
    <row r="51480" ht="12" customHeight="1"/>
    <row r="51481" ht="12" customHeight="1"/>
    <row r="51482" ht="12" customHeight="1"/>
    <row r="51483" ht="12" customHeight="1"/>
    <row r="51484" ht="12" customHeight="1"/>
    <row r="51485" ht="12" customHeight="1"/>
    <row r="51486" ht="12" customHeight="1"/>
    <row r="51487" ht="12" customHeight="1"/>
    <row r="51488" ht="12" customHeight="1"/>
    <row r="51489" ht="12" customHeight="1"/>
    <row r="51490" ht="12" customHeight="1"/>
    <row r="51491" ht="12" customHeight="1"/>
    <row r="51492" ht="12" customHeight="1"/>
    <row r="51493" ht="12" customHeight="1"/>
    <row r="51494" ht="12" customHeight="1"/>
    <row r="51495" ht="12" customHeight="1"/>
    <row r="51496" ht="12" customHeight="1"/>
    <row r="51497" ht="12" customHeight="1"/>
    <row r="51498" ht="12" customHeight="1"/>
    <row r="51499" ht="12" customHeight="1"/>
    <row r="51500" ht="12" customHeight="1"/>
    <row r="51501" ht="12" customHeight="1"/>
    <row r="51502" ht="12" customHeight="1"/>
    <row r="51503" ht="12" customHeight="1"/>
    <row r="51504" ht="12" customHeight="1"/>
    <row r="51505" ht="12" customHeight="1"/>
    <row r="51506" ht="12" customHeight="1"/>
    <row r="51507" ht="12" customHeight="1"/>
    <row r="51508" ht="12" customHeight="1"/>
    <row r="51509" ht="12" customHeight="1"/>
    <row r="51510" ht="12" customHeight="1"/>
    <row r="51511" ht="12" customHeight="1"/>
    <row r="51512" ht="12" customHeight="1"/>
    <row r="51513" ht="12" customHeight="1"/>
    <row r="51514" ht="12" customHeight="1"/>
    <row r="51515" ht="12" customHeight="1"/>
    <row r="51516" ht="12" customHeight="1"/>
    <row r="51517" ht="12" customHeight="1"/>
    <row r="51518" ht="12" customHeight="1"/>
    <row r="51519" ht="12" customHeight="1"/>
    <row r="51520" ht="12" customHeight="1"/>
    <row r="51521" ht="12" customHeight="1"/>
    <row r="51522" ht="12" customHeight="1"/>
    <row r="51523" ht="12" customHeight="1"/>
    <row r="51524" ht="12" customHeight="1"/>
    <row r="51525" ht="12" customHeight="1"/>
    <row r="51526" ht="12" customHeight="1"/>
    <row r="51527" ht="12" customHeight="1"/>
    <row r="51528" ht="12" customHeight="1"/>
    <row r="51529" ht="12" customHeight="1"/>
    <row r="51530" ht="12" customHeight="1"/>
    <row r="51531" ht="12" customHeight="1"/>
    <row r="51532" ht="12" customHeight="1"/>
    <row r="51533" ht="12" customHeight="1"/>
    <row r="51534" ht="12" customHeight="1"/>
    <row r="51535" ht="12" customHeight="1"/>
    <row r="51536" ht="12" customHeight="1"/>
    <row r="51537" ht="12" customHeight="1"/>
    <row r="51538" ht="12" customHeight="1"/>
    <row r="51539" ht="12" customHeight="1"/>
    <row r="51540" ht="12" customHeight="1"/>
    <row r="51541" ht="12" customHeight="1"/>
    <row r="51542" ht="12" customHeight="1"/>
    <row r="51543" ht="12" customHeight="1"/>
    <row r="51544" ht="12" customHeight="1"/>
    <row r="51545" ht="12" customHeight="1"/>
    <row r="51546" ht="12" customHeight="1"/>
    <row r="51547" ht="12" customHeight="1"/>
    <row r="51548" ht="12" customHeight="1"/>
    <row r="51549" ht="12" customHeight="1"/>
    <row r="51550" ht="12" customHeight="1"/>
    <row r="51551" ht="12" customHeight="1"/>
    <row r="51552" ht="12" customHeight="1"/>
    <row r="51553" ht="12" customHeight="1"/>
    <row r="51554" ht="12" customHeight="1"/>
    <row r="51555" ht="12" customHeight="1"/>
    <row r="51556" ht="12" customHeight="1"/>
    <row r="51557" ht="12" customHeight="1"/>
    <row r="51558" ht="12" customHeight="1"/>
    <row r="51559" ht="12" customHeight="1"/>
    <row r="51560" ht="12" customHeight="1"/>
    <row r="51561" ht="12" customHeight="1"/>
    <row r="51562" ht="12" customHeight="1"/>
    <row r="51563" ht="12" customHeight="1"/>
    <row r="51564" ht="12" customHeight="1"/>
    <row r="51565" ht="12" customHeight="1"/>
    <row r="51566" ht="12" customHeight="1"/>
    <row r="51567" ht="12" customHeight="1"/>
    <row r="51568" ht="12" customHeight="1"/>
    <row r="51569" ht="12" customHeight="1"/>
    <row r="51570" ht="12" customHeight="1"/>
    <row r="51571" ht="12" customHeight="1"/>
    <row r="51572" ht="12" customHeight="1"/>
    <row r="51573" ht="12" customHeight="1"/>
    <row r="51574" ht="12" customHeight="1"/>
    <row r="51575" ht="12" customHeight="1"/>
    <row r="51576" ht="12" customHeight="1"/>
    <row r="51577" ht="12" customHeight="1"/>
    <row r="51578" ht="12" customHeight="1"/>
    <row r="51579" ht="12" customHeight="1"/>
    <row r="51580" ht="12" customHeight="1"/>
    <row r="51581" ht="12" customHeight="1"/>
    <row r="51582" ht="12" customHeight="1"/>
    <row r="51583" ht="12" customHeight="1"/>
    <row r="51584" ht="12" customHeight="1"/>
    <row r="51585" ht="12" customHeight="1"/>
    <row r="51586" ht="12" customHeight="1"/>
    <row r="51587" ht="12" customHeight="1"/>
    <row r="51588" ht="12" customHeight="1"/>
    <row r="51589" ht="12" customHeight="1"/>
    <row r="51590" ht="12" customHeight="1"/>
    <row r="51591" ht="12" customHeight="1"/>
    <row r="51592" ht="12" customHeight="1"/>
    <row r="51593" ht="12" customHeight="1"/>
    <row r="51594" ht="12" customHeight="1"/>
    <row r="51595" ht="12" customHeight="1"/>
    <row r="51596" ht="12" customHeight="1"/>
    <row r="51597" ht="12" customHeight="1"/>
    <row r="51598" ht="12" customHeight="1"/>
    <row r="51599" ht="12" customHeight="1"/>
    <row r="51600" ht="12" customHeight="1"/>
    <row r="51601" ht="12" customHeight="1"/>
    <row r="51602" ht="12" customHeight="1"/>
    <row r="51603" ht="12" customHeight="1"/>
    <row r="51604" ht="12" customHeight="1"/>
    <row r="51605" ht="12" customHeight="1"/>
    <row r="51606" ht="12" customHeight="1"/>
    <row r="51607" ht="12" customHeight="1"/>
    <row r="51608" ht="12" customHeight="1"/>
    <row r="51609" ht="12" customHeight="1"/>
    <row r="51610" ht="12" customHeight="1"/>
    <row r="51611" ht="12" customHeight="1"/>
    <row r="51612" ht="12" customHeight="1"/>
    <row r="51613" ht="12" customHeight="1"/>
    <row r="51614" ht="12" customHeight="1"/>
    <row r="51615" ht="12" customHeight="1"/>
    <row r="51616" ht="12" customHeight="1"/>
    <row r="51617" ht="12" customHeight="1"/>
    <row r="51618" ht="12" customHeight="1"/>
    <row r="51619" ht="12" customHeight="1"/>
    <row r="51620" ht="12" customHeight="1"/>
    <row r="51621" ht="12" customHeight="1"/>
    <row r="51622" ht="12" customHeight="1"/>
    <row r="51623" ht="12" customHeight="1"/>
    <row r="51624" ht="12" customHeight="1"/>
    <row r="51625" ht="12" customHeight="1"/>
    <row r="51626" ht="12" customHeight="1"/>
    <row r="51627" ht="12" customHeight="1"/>
    <row r="51628" ht="12" customHeight="1"/>
    <row r="51629" ht="12" customHeight="1"/>
    <row r="51630" ht="12" customHeight="1"/>
    <row r="51631" ht="12" customHeight="1"/>
    <row r="51632" ht="12" customHeight="1"/>
    <row r="51633" ht="12" customHeight="1"/>
    <row r="51634" ht="12" customHeight="1"/>
    <row r="51635" ht="12" customHeight="1"/>
    <row r="51636" ht="12" customHeight="1"/>
    <row r="51637" ht="12" customHeight="1"/>
    <row r="51638" ht="12" customHeight="1"/>
    <row r="51639" ht="12" customHeight="1"/>
    <row r="51640" ht="12" customHeight="1"/>
    <row r="51641" ht="12" customHeight="1"/>
    <row r="51642" ht="12" customHeight="1"/>
    <row r="51643" ht="12" customHeight="1"/>
    <row r="51644" ht="12" customHeight="1"/>
    <row r="51645" ht="12" customHeight="1"/>
    <row r="51646" ht="12" customHeight="1"/>
    <row r="51647" ht="12" customHeight="1"/>
    <row r="51648" ht="12" customHeight="1"/>
    <row r="51649" ht="12" customHeight="1"/>
    <row r="51650" ht="12" customHeight="1"/>
    <row r="51651" ht="12" customHeight="1"/>
    <row r="51652" ht="12" customHeight="1"/>
    <row r="51653" ht="12" customHeight="1"/>
    <row r="51654" ht="12" customHeight="1"/>
    <row r="51655" ht="12" customHeight="1"/>
    <row r="51656" ht="12" customHeight="1"/>
    <row r="51657" ht="12" customHeight="1"/>
    <row r="51658" ht="12" customHeight="1"/>
    <row r="51659" ht="12" customHeight="1"/>
    <row r="51660" ht="12" customHeight="1"/>
    <row r="51661" ht="12" customHeight="1"/>
    <row r="51662" ht="12" customHeight="1"/>
    <row r="51663" ht="12" customHeight="1"/>
    <row r="51664" ht="12" customHeight="1"/>
    <row r="51665" ht="12" customHeight="1"/>
    <row r="51666" ht="12" customHeight="1"/>
    <row r="51667" ht="12" customHeight="1"/>
    <row r="51668" ht="12" customHeight="1"/>
    <row r="51669" ht="12" customHeight="1"/>
    <row r="51670" ht="12" customHeight="1"/>
    <row r="51671" ht="12" customHeight="1"/>
    <row r="51672" ht="12" customHeight="1"/>
    <row r="51673" ht="12" customHeight="1"/>
    <row r="51674" ht="12" customHeight="1"/>
    <row r="51675" ht="12" customHeight="1"/>
    <row r="51676" ht="12" customHeight="1"/>
    <row r="51677" ht="12" customHeight="1"/>
    <row r="51678" ht="12" customHeight="1"/>
    <row r="51679" ht="12" customHeight="1"/>
    <row r="51680" ht="12" customHeight="1"/>
    <row r="51681" ht="12" customHeight="1"/>
    <row r="51682" ht="12" customHeight="1"/>
    <row r="51683" ht="12" customHeight="1"/>
    <row r="51684" ht="12" customHeight="1"/>
    <row r="51685" ht="12" customHeight="1"/>
    <row r="51686" ht="12" customHeight="1"/>
    <row r="51687" ht="12" customHeight="1"/>
    <row r="51688" ht="12" customHeight="1"/>
    <row r="51689" ht="12" customHeight="1"/>
    <row r="51690" ht="12" customHeight="1"/>
    <row r="51691" ht="12" customHeight="1"/>
    <row r="51692" ht="12" customHeight="1"/>
    <row r="51693" ht="12" customHeight="1"/>
    <row r="51694" ht="12" customHeight="1"/>
    <row r="51695" ht="12" customHeight="1"/>
    <row r="51696" ht="12" customHeight="1"/>
    <row r="51697" ht="12" customHeight="1"/>
    <row r="51698" ht="12" customHeight="1"/>
    <row r="51699" ht="12" customHeight="1"/>
    <row r="51700" ht="12" customHeight="1"/>
    <row r="51701" ht="12" customHeight="1"/>
    <row r="51702" ht="12" customHeight="1"/>
    <row r="51703" ht="12" customHeight="1"/>
    <row r="51704" ht="12" customHeight="1"/>
    <row r="51705" ht="12" customHeight="1"/>
    <row r="51706" ht="12" customHeight="1"/>
    <row r="51707" ht="12" customHeight="1"/>
    <row r="51708" ht="12" customHeight="1"/>
    <row r="51709" ht="12" customHeight="1"/>
    <row r="51710" ht="12" customHeight="1"/>
    <row r="51711" ht="12" customHeight="1"/>
    <row r="51712" ht="12" customHeight="1"/>
    <row r="51713" ht="12" customHeight="1"/>
    <row r="51714" ht="12" customHeight="1"/>
    <row r="51715" ht="12" customHeight="1"/>
    <row r="51716" ht="12" customHeight="1"/>
    <row r="51717" ht="12" customHeight="1"/>
    <row r="51718" ht="12" customHeight="1"/>
    <row r="51719" ht="12" customHeight="1"/>
    <row r="51720" ht="12" customHeight="1"/>
    <row r="51721" ht="12" customHeight="1"/>
    <row r="51722" ht="12" customHeight="1"/>
    <row r="51723" ht="12" customHeight="1"/>
    <row r="51724" ht="12" customHeight="1"/>
    <row r="51725" ht="12" customHeight="1"/>
    <row r="51726" ht="12" customHeight="1"/>
    <row r="51727" ht="12" customHeight="1"/>
    <row r="51728" ht="12" customHeight="1"/>
    <row r="51729" ht="12" customHeight="1"/>
    <row r="51730" ht="12" customHeight="1"/>
    <row r="51731" ht="12" customHeight="1"/>
    <row r="51732" ht="12" customHeight="1"/>
    <row r="51733" ht="12" customHeight="1"/>
    <row r="51734" ht="12" customHeight="1"/>
    <row r="51735" ht="12" customHeight="1"/>
    <row r="51736" ht="12" customHeight="1"/>
    <row r="51737" ht="12" customHeight="1"/>
    <row r="51738" ht="12" customHeight="1"/>
    <row r="51739" ht="12" customHeight="1"/>
    <row r="51740" ht="12" customHeight="1"/>
    <row r="51741" ht="12" customHeight="1"/>
    <row r="51742" ht="12" customHeight="1"/>
    <row r="51743" ht="12" customHeight="1"/>
    <row r="51744" ht="12" customHeight="1"/>
    <row r="51745" ht="12" customHeight="1"/>
    <row r="51746" ht="12" customHeight="1"/>
    <row r="51747" ht="12" customHeight="1"/>
    <row r="51748" ht="12" customHeight="1"/>
    <row r="51749" ht="12" customHeight="1"/>
    <row r="51750" ht="12" customHeight="1"/>
    <row r="51751" ht="12" customHeight="1"/>
    <row r="51752" ht="12" customHeight="1"/>
    <row r="51753" ht="12" customHeight="1"/>
    <row r="51754" ht="12" customHeight="1"/>
    <row r="51755" ht="12" customHeight="1"/>
    <row r="51756" ht="12" customHeight="1"/>
    <row r="51757" ht="12" customHeight="1"/>
    <row r="51758" ht="12" customHeight="1"/>
    <row r="51759" ht="12" customHeight="1"/>
    <row r="51760" ht="12" customHeight="1"/>
    <row r="51761" ht="12" customHeight="1"/>
    <row r="51762" ht="12" customHeight="1"/>
    <row r="51763" ht="12" customHeight="1"/>
    <row r="51764" ht="12" customHeight="1"/>
    <row r="51765" ht="12" customHeight="1"/>
    <row r="51766" ht="12" customHeight="1"/>
    <row r="51767" ht="12" customHeight="1"/>
    <row r="51768" ht="12" customHeight="1"/>
    <row r="51769" ht="12" customHeight="1"/>
    <row r="51770" ht="12" customHeight="1"/>
    <row r="51771" ht="12" customHeight="1"/>
    <row r="51772" ht="12" customHeight="1"/>
    <row r="51773" ht="12" customHeight="1"/>
    <row r="51774" ht="12" customHeight="1"/>
    <row r="51775" ht="12" customHeight="1"/>
    <row r="51776" ht="12" customHeight="1"/>
    <row r="51777" ht="12" customHeight="1"/>
    <row r="51778" ht="12" customHeight="1"/>
    <row r="51779" ht="12" customHeight="1"/>
    <row r="51780" ht="12" customHeight="1"/>
    <row r="51781" ht="12" customHeight="1"/>
    <row r="51782" ht="12" customHeight="1"/>
    <row r="51783" ht="12" customHeight="1"/>
    <row r="51784" ht="12" customHeight="1"/>
    <row r="51785" ht="12" customHeight="1"/>
    <row r="51786" ht="12" customHeight="1"/>
    <row r="51787" ht="12" customHeight="1"/>
    <row r="51788" ht="12" customHeight="1"/>
    <row r="51789" ht="12" customHeight="1"/>
    <row r="51790" ht="12" customHeight="1"/>
    <row r="51791" ht="12" customHeight="1"/>
    <row r="51792" ht="12" customHeight="1"/>
    <row r="51793" ht="12" customHeight="1"/>
    <row r="51794" ht="12" customHeight="1"/>
    <row r="51795" ht="12" customHeight="1"/>
    <row r="51796" ht="12" customHeight="1"/>
    <row r="51797" ht="12" customHeight="1"/>
    <row r="51798" ht="12" customHeight="1"/>
    <row r="51799" ht="12" customHeight="1"/>
    <row r="51800" ht="12" customHeight="1"/>
    <row r="51801" ht="12" customHeight="1"/>
    <row r="51802" ht="12" customHeight="1"/>
    <row r="51803" ht="12" customHeight="1"/>
    <row r="51804" ht="12" customHeight="1"/>
    <row r="51805" ht="12" customHeight="1"/>
    <row r="51806" ht="12" customHeight="1"/>
    <row r="51807" ht="12" customHeight="1"/>
    <row r="51808" ht="12" customHeight="1"/>
    <row r="51809" ht="12" customHeight="1"/>
    <row r="51810" ht="12" customHeight="1"/>
    <row r="51811" ht="12" customHeight="1"/>
    <row r="51812" ht="12" customHeight="1"/>
    <row r="51813" ht="12" customHeight="1"/>
    <row r="51814" ht="12" customHeight="1"/>
    <row r="51815" ht="12" customHeight="1"/>
    <row r="51816" ht="12" customHeight="1"/>
    <row r="51817" ht="12" customHeight="1"/>
    <row r="51818" ht="12" customHeight="1"/>
    <row r="51819" ht="12" customHeight="1"/>
    <row r="51820" ht="12" customHeight="1"/>
    <row r="51821" ht="12" customHeight="1"/>
    <row r="51822" ht="12" customHeight="1"/>
    <row r="51823" ht="12" customHeight="1"/>
    <row r="51824" ht="12" customHeight="1"/>
    <row r="51825" ht="12" customHeight="1"/>
    <row r="51826" ht="12" customHeight="1"/>
    <row r="51827" ht="12" customHeight="1"/>
    <row r="51828" ht="12" customHeight="1"/>
    <row r="51829" ht="12" customHeight="1"/>
    <row r="51830" ht="12" customHeight="1"/>
    <row r="51831" ht="12" customHeight="1"/>
    <row r="51832" ht="12" customHeight="1"/>
    <row r="51833" ht="12" customHeight="1"/>
    <row r="51834" ht="12" customHeight="1"/>
    <row r="51835" ht="12" customHeight="1"/>
    <row r="51836" ht="12" customHeight="1"/>
    <row r="51837" ht="12" customHeight="1"/>
    <row r="51838" ht="12" customHeight="1"/>
    <row r="51839" ht="12" customHeight="1"/>
    <row r="51840" ht="12" customHeight="1"/>
    <row r="51841" ht="12" customHeight="1"/>
    <row r="51842" ht="12" customHeight="1"/>
    <row r="51843" ht="12" customHeight="1"/>
    <row r="51844" ht="12" customHeight="1"/>
    <row r="51845" ht="12" customHeight="1"/>
    <row r="51846" ht="12" customHeight="1"/>
    <row r="51847" ht="12" customHeight="1"/>
    <row r="51848" ht="12" customHeight="1"/>
    <row r="51849" ht="12" customHeight="1"/>
    <row r="51850" ht="12" customHeight="1"/>
    <row r="51851" ht="12" customHeight="1"/>
    <row r="51852" ht="12" customHeight="1"/>
    <row r="51853" ht="12" customHeight="1"/>
    <row r="51854" ht="12" customHeight="1"/>
    <row r="51855" ht="12" customHeight="1"/>
    <row r="51856" ht="12" customHeight="1"/>
    <row r="51857" ht="12" customHeight="1"/>
    <row r="51858" ht="12" customHeight="1"/>
    <row r="51859" ht="12" customHeight="1"/>
    <row r="51860" ht="12" customHeight="1"/>
    <row r="51861" ht="12" customHeight="1"/>
    <row r="51862" ht="12" customHeight="1"/>
    <row r="51863" ht="12" customHeight="1"/>
    <row r="51864" ht="12" customHeight="1"/>
    <row r="51865" ht="12" customHeight="1"/>
    <row r="51866" ht="12" customHeight="1"/>
    <row r="51867" ht="12" customHeight="1"/>
    <row r="51868" ht="12" customHeight="1"/>
    <row r="51869" ht="12" customHeight="1"/>
    <row r="51870" ht="12" customHeight="1"/>
    <row r="51871" ht="12" customHeight="1"/>
    <row r="51872" ht="12" customHeight="1"/>
    <row r="51873" ht="12" customHeight="1"/>
    <row r="51874" ht="12" customHeight="1"/>
    <row r="51875" ht="12" customHeight="1"/>
    <row r="51876" ht="12" customHeight="1"/>
    <row r="51877" ht="12" customHeight="1"/>
    <row r="51878" ht="12" customHeight="1"/>
    <row r="51879" ht="12" customHeight="1"/>
    <row r="51880" ht="12" customHeight="1"/>
    <row r="51881" ht="12" customHeight="1"/>
    <row r="51882" ht="12" customHeight="1"/>
    <row r="51883" ht="12" customHeight="1"/>
    <row r="51884" ht="12" customHeight="1"/>
    <row r="51885" ht="12" customHeight="1"/>
    <row r="51886" ht="12" customHeight="1"/>
    <row r="51887" ht="12" customHeight="1"/>
    <row r="51888" ht="12" customHeight="1"/>
    <row r="51889" ht="12" customHeight="1"/>
    <row r="51890" ht="12" customHeight="1"/>
    <row r="51891" ht="12" customHeight="1"/>
    <row r="51892" ht="12" customHeight="1"/>
    <row r="51893" ht="12" customHeight="1"/>
    <row r="51894" ht="12" customHeight="1"/>
    <row r="51895" ht="12" customHeight="1"/>
    <row r="51896" ht="12" customHeight="1"/>
    <row r="51897" ht="12" customHeight="1"/>
    <row r="51898" ht="12" customHeight="1"/>
    <row r="51899" ht="12" customHeight="1"/>
    <row r="51900" ht="12" customHeight="1"/>
    <row r="51901" ht="12" customHeight="1"/>
    <row r="51902" ht="12" customHeight="1"/>
    <row r="51903" ht="12" customHeight="1"/>
    <row r="51904" ht="12" customHeight="1"/>
    <row r="51905" ht="12" customHeight="1"/>
    <row r="51906" ht="12" customHeight="1"/>
    <row r="51907" ht="12" customHeight="1"/>
    <row r="51908" ht="12" customHeight="1"/>
    <row r="51909" ht="12" customHeight="1"/>
    <row r="51910" ht="12" customHeight="1"/>
    <row r="51911" ht="12" customHeight="1"/>
    <row r="51912" ht="12" customHeight="1"/>
    <row r="51913" ht="12" customHeight="1"/>
    <row r="51914" ht="12" customHeight="1"/>
    <row r="51915" ht="12" customHeight="1"/>
    <row r="51916" ht="12" customHeight="1"/>
    <row r="51917" ht="12" customHeight="1"/>
    <row r="51918" ht="12" customHeight="1"/>
    <row r="51919" ht="12" customHeight="1"/>
    <row r="51920" ht="12" customHeight="1"/>
    <row r="51921" ht="12" customHeight="1"/>
    <row r="51922" ht="12" customHeight="1"/>
    <row r="51923" ht="12" customHeight="1"/>
    <row r="51924" ht="12" customHeight="1"/>
    <row r="51925" ht="12" customHeight="1"/>
    <row r="51926" ht="12" customHeight="1"/>
    <row r="51927" ht="12" customHeight="1"/>
    <row r="51928" ht="12" customHeight="1"/>
    <row r="51929" ht="12" customHeight="1"/>
    <row r="51930" ht="12" customHeight="1"/>
    <row r="51931" ht="12" customHeight="1"/>
    <row r="51932" ht="12" customHeight="1"/>
    <row r="51933" ht="12" customHeight="1"/>
    <row r="51934" ht="12" customHeight="1"/>
    <row r="51935" ht="12" customHeight="1"/>
    <row r="51936" ht="12" customHeight="1"/>
    <row r="51937" ht="12" customHeight="1"/>
    <row r="51938" ht="12" customHeight="1"/>
    <row r="51939" ht="12" customHeight="1"/>
    <row r="51940" ht="12" customHeight="1"/>
    <row r="51941" ht="12" customHeight="1"/>
    <row r="51942" ht="12" customHeight="1"/>
    <row r="51943" ht="12" customHeight="1"/>
    <row r="51944" ht="12" customHeight="1"/>
    <row r="51945" ht="12" customHeight="1"/>
    <row r="51946" ht="12" customHeight="1"/>
    <row r="51947" ht="12" customHeight="1"/>
    <row r="51948" ht="12" customHeight="1"/>
    <row r="51949" ht="12" customHeight="1"/>
    <row r="51950" ht="12" customHeight="1"/>
    <row r="51951" ht="12" customHeight="1"/>
    <row r="51952" ht="12" customHeight="1"/>
    <row r="51953" ht="12" customHeight="1"/>
    <row r="51954" ht="12" customHeight="1"/>
    <row r="51955" ht="12" customHeight="1"/>
    <row r="51956" ht="12" customHeight="1"/>
    <row r="51957" ht="12" customHeight="1"/>
    <row r="51958" ht="12" customHeight="1"/>
    <row r="51959" ht="12" customHeight="1"/>
    <row r="51960" ht="12" customHeight="1"/>
    <row r="51961" ht="12" customHeight="1"/>
    <row r="51962" ht="12" customHeight="1"/>
    <row r="51963" ht="12" customHeight="1"/>
    <row r="51964" ht="12" customHeight="1"/>
    <row r="51965" ht="12" customHeight="1"/>
    <row r="51966" ht="12" customHeight="1"/>
    <row r="51967" ht="12" customHeight="1"/>
    <row r="51968" ht="12" customHeight="1"/>
    <row r="51969" ht="12" customHeight="1"/>
    <row r="51970" ht="12" customHeight="1"/>
    <row r="51971" ht="12" customHeight="1"/>
    <row r="51972" ht="12" customHeight="1"/>
    <row r="51973" ht="12" customHeight="1"/>
    <row r="51974" ht="12" customHeight="1"/>
    <row r="51975" ht="12" customHeight="1"/>
    <row r="51976" ht="12" customHeight="1"/>
    <row r="51977" ht="12" customHeight="1"/>
    <row r="51978" ht="12" customHeight="1"/>
    <row r="51979" ht="12" customHeight="1"/>
    <row r="51980" ht="12" customHeight="1"/>
    <row r="51981" ht="12" customHeight="1"/>
    <row r="51982" ht="12" customHeight="1"/>
    <row r="51983" ht="12" customHeight="1"/>
    <row r="51984" ht="12" customHeight="1"/>
    <row r="51985" ht="12" customHeight="1"/>
    <row r="51986" ht="12" customHeight="1"/>
    <row r="51987" ht="12" customHeight="1"/>
    <row r="51988" ht="12" customHeight="1"/>
    <row r="51989" ht="12" customHeight="1"/>
    <row r="51990" ht="12" customHeight="1"/>
    <row r="51991" ht="12" customHeight="1"/>
    <row r="51992" ht="12" customHeight="1"/>
    <row r="51993" ht="12" customHeight="1"/>
    <row r="51994" ht="12" customHeight="1"/>
    <row r="51995" ht="12" customHeight="1"/>
    <row r="51996" ht="12" customHeight="1"/>
    <row r="51997" ht="12" customHeight="1"/>
    <row r="51998" ht="12" customHeight="1"/>
    <row r="51999" ht="12" customHeight="1"/>
    <row r="52000" ht="12" customHeight="1"/>
    <row r="52001" ht="12" customHeight="1"/>
    <row r="52002" ht="12" customHeight="1"/>
    <row r="52003" ht="12" customHeight="1"/>
    <row r="52004" ht="12" customHeight="1"/>
    <row r="52005" ht="12" customHeight="1"/>
    <row r="52006" ht="12" customHeight="1"/>
    <row r="52007" ht="12" customHeight="1"/>
    <row r="52008" ht="12" customHeight="1"/>
    <row r="52009" ht="12" customHeight="1"/>
    <row r="52010" ht="12" customHeight="1"/>
    <row r="52011" ht="12" customHeight="1"/>
    <row r="52012" ht="12" customHeight="1"/>
    <row r="52013" ht="12" customHeight="1"/>
    <row r="52014" ht="12" customHeight="1"/>
    <row r="52015" ht="12" customHeight="1"/>
    <row r="52016" ht="12" customHeight="1"/>
    <row r="52017" ht="12" customHeight="1"/>
    <row r="52018" ht="12" customHeight="1"/>
    <row r="52019" ht="12" customHeight="1"/>
    <row r="52020" ht="12" customHeight="1"/>
    <row r="52021" ht="12" customHeight="1"/>
    <row r="52022" ht="12" customHeight="1"/>
    <row r="52023" ht="12" customHeight="1"/>
    <row r="52024" ht="12" customHeight="1"/>
    <row r="52025" ht="12" customHeight="1"/>
    <row r="52026" ht="12" customHeight="1"/>
    <row r="52027" ht="12" customHeight="1"/>
    <row r="52028" ht="12" customHeight="1"/>
    <row r="52029" ht="12" customHeight="1"/>
    <row r="52030" ht="12" customHeight="1"/>
    <row r="52031" ht="12" customHeight="1"/>
    <row r="52032" ht="12" customHeight="1"/>
    <row r="52033" ht="12" customHeight="1"/>
    <row r="52034" ht="12" customHeight="1"/>
    <row r="52035" ht="12" customHeight="1"/>
    <row r="52036" ht="12" customHeight="1"/>
    <row r="52037" ht="12" customHeight="1"/>
    <row r="52038" ht="12" customHeight="1"/>
    <row r="52039" ht="12" customHeight="1"/>
    <row r="52040" ht="12" customHeight="1"/>
    <row r="52041" ht="12" customHeight="1"/>
    <row r="52042" ht="12" customHeight="1"/>
    <row r="52043" ht="12" customHeight="1"/>
    <row r="52044" ht="12" customHeight="1"/>
    <row r="52045" ht="12" customHeight="1"/>
    <row r="52046" ht="12" customHeight="1"/>
    <row r="52047" ht="12" customHeight="1"/>
    <row r="52048" ht="12" customHeight="1"/>
    <row r="52049" ht="12" customHeight="1"/>
    <row r="52050" ht="12" customHeight="1"/>
    <row r="52051" ht="12" customHeight="1"/>
    <row r="52052" ht="12" customHeight="1"/>
    <row r="52053" ht="12" customHeight="1"/>
    <row r="52054" ht="12" customHeight="1"/>
    <row r="52055" ht="12" customHeight="1"/>
    <row r="52056" ht="12" customHeight="1"/>
    <row r="52057" ht="12" customHeight="1"/>
    <row r="52058" ht="12" customHeight="1"/>
    <row r="52059" ht="12" customHeight="1"/>
    <row r="52060" ht="12" customHeight="1"/>
    <row r="52061" ht="12" customHeight="1"/>
    <row r="52062" ht="12" customHeight="1"/>
    <row r="52063" ht="12" customHeight="1"/>
    <row r="52064" ht="12" customHeight="1"/>
    <row r="52065" ht="12" customHeight="1"/>
    <row r="52066" ht="12" customHeight="1"/>
    <row r="52067" ht="12" customHeight="1"/>
    <row r="52068" ht="12" customHeight="1"/>
    <row r="52069" ht="12" customHeight="1"/>
    <row r="52070" ht="12" customHeight="1"/>
    <row r="52071" ht="12" customHeight="1"/>
    <row r="52072" ht="12" customHeight="1"/>
    <row r="52073" ht="12" customHeight="1"/>
    <row r="52074" ht="12" customHeight="1"/>
    <row r="52075" ht="12" customHeight="1"/>
    <row r="52076" ht="12" customHeight="1"/>
    <row r="52077" ht="12" customHeight="1"/>
    <row r="52078" ht="12" customHeight="1"/>
    <row r="52079" ht="12" customHeight="1"/>
    <row r="52080" ht="12" customHeight="1"/>
    <row r="52081" ht="12" customHeight="1"/>
    <row r="52082" ht="12" customHeight="1"/>
    <row r="52083" ht="12" customHeight="1"/>
    <row r="52084" ht="12" customHeight="1"/>
    <row r="52085" ht="12" customHeight="1"/>
    <row r="52086" ht="12" customHeight="1"/>
    <row r="52087" ht="12" customHeight="1"/>
    <row r="52088" ht="12" customHeight="1"/>
    <row r="52089" ht="12" customHeight="1"/>
    <row r="52090" ht="12" customHeight="1"/>
    <row r="52091" ht="12" customHeight="1"/>
    <row r="52092" ht="12" customHeight="1"/>
    <row r="52093" ht="12" customHeight="1"/>
    <row r="52094" ht="12" customHeight="1"/>
    <row r="52095" ht="12" customHeight="1"/>
    <row r="52096" ht="12" customHeight="1"/>
    <row r="52097" ht="12" customHeight="1"/>
    <row r="52098" ht="12" customHeight="1"/>
    <row r="52099" ht="12" customHeight="1"/>
    <row r="52100" ht="12" customHeight="1"/>
    <row r="52101" ht="12" customHeight="1"/>
    <row r="52102" ht="12" customHeight="1"/>
    <row r="52103" ht="12" customHeight="1"/>
    <row r="52104" ht="12" customHeight="1"/>
    <row r="52105" ht="12" customHeight="1"/>
    <row r="52106" ht="12" customHeight="1"/>
    <row r="52107" ht="12" customHeight="1"/>
    <row r="52108" ht="12" customHeight="1"/>
    <row r="52109" ht="12" customHeight="1"/>
    <row r="52110" ht="12" customHeight="1"/>
    <row r="52111" ht="12" customHeight="1"/>
    <row r="52112" ht="12" customHeight="1"/>
    <row r="52113" ht="12" customHeight="1"/>
    <row r="52114" ht="12" customHeight="1"/>
    <row r="52115" ht="12" customHeight="1"/>
    <row r="52116" ht="12" customHeight="1"/>
    <row r="52117" ht="12" customHeight="1"/>
    <row r="52118" ht="12" customHeight="1"/>
    <row r="52119" ht="12" customHeight="1"/>
    <row r="52120" ht="12" customHeight="1"/>
    <row r="52121" ht="12" customHeight="1"/>
    <row r="52122" ht="12" customHeight="1"/>
    <row r="52123" ht="12" customHeight="1"/>
    <row r="52124" ht="12" customHeight="1"/>
    <row r="52125" ht="12" customHeight="1"/>
    <row r="52126" ht="12" customHeight="1"/>
    <row r="52127" ht="12" customHeight="1"/>
    <row r="52128" ht="12" customHeight="1"/>
    <row r="52129" ht="12" customHeight="1"/>
    <row r="52130" ht="12" customHeight="1"/>
    <row r="52131" ht="12" customHeight="1"/>
    <row r="52132" ht="12" customHeight="1"/>
    <row r="52133" ht="12" customHeight="1"/>
    <row r="52134" ht="12" customHeight="1"/>
    <row r="52135" ht="12" customHeight="1"/>
    <row r="52136" ht="12" customHeight="1"/>
    <row r="52137" ht="12" customHeight="1"/>
    <row r="52138" ht="12" customHeight="1"/>
    <row r="52139" ht="12" customHeight="1"/>
    <row r="52140" ht="12" customHeight="1"/>
    <row r="52141" ht="12" customHeight="1"/>
    <row r="52142" ht="12" customHeight="1"/>
    <row r="52143" ht="12" customHeight="1"/>
    <row r="52144" ht="12" customHeight="1"/>
    <row r="52145" ht="12" customHeight="1"/>
    <row r="52146" ht="12" customHeight="1"/>
    <row r="52147" ht="12" customHeight="1"/>
    <row r="52148" ht="12" customHeight="1"/>
    <row r="52149" ht="12" customHeight="1"/>
    <row r="52150" ht="12" customHeight="1"/>
    <row r="52151" ht="12" customHeight="1"/>
    <row r="52152" ht="12" customHeight="1"/>
    <row r="52153" ht="12" customHeight="1"/>
    <row r="52154" ht="12" customHeight="1"/>
    <row r="52155" ht="12" customHeight="1"/>
    <row r="52156" ht="12" customHeight="1"/>
    <row r="52157" ht="12" customHeight="1"/>
    <row r="52158" ht="12" customHeight="1"/>
    <row r="52159" ht="12" customHeight="1"/>
    <row r="52160" ht="12" customHeight="1"/>
    <row r="52161" ht="12" customHeight="1"/>
    <row r="52162" ht="12" customHeight="1"/>
    <row r="52163" ht="12" customHeight="1"/>
    <row r="52164" ht="12" customHeight="1"/>
    <row r="52165" ht="12" customHeight="1"/>
    <row r="52166" ht="12" customHeight="1"/>
    <row r="52167" ht="12" customHeight="1"/>
    <row r="52168" ht="12" customHeight="1"/>
    <row r="52169" ht="12" customHeight="1"/>
    <row r="52170" ht="12" customHeight="1"/>
    <row r="52171" ht="12" customHeight="1"/>
    <row r="52172" ht="12" customHeight="1"/>
    <row r="52173" ht="12" customHeight="1"/>
    <row r="52174" ht="12" customHeight="1"/>
    <row r="52175" ht="12" customHeight="1"/>
    <row r="52176" ht="12" customHeight="1"/>
    <row r="52177" ht="12" customHeight="1"/>
    <row r="52178" ht="12" customHeight="1"/>
    <row r="52179" ht="12" customHeight="1"/>
    <row r="52180" ht="12" customHeight="1"/>
    <row r="52181" ht="12" customHeight="1"/>
    <row r="52182" ht="12" customHeight="1"/>
    <row r="52183" ht="12" customHeight="1"/>
    <row r="52184" ht="12" customHeight="1"/>
    <row r="52185" ht="12" customHeight="1"/>
    <row r="52186" ht="12" customHeight="1"/>
    <row r="52187" ht="12" customHeight="1"/>
    <row r="52188" ht="12" customHeight="1"/>
    <row r="52189" ht="12" customHeight="1"/>
    <row r="52190" ht="12" customHeight="1"/>
    <row r="52191" ht="12" customHeight="1"/>
    <row r="52192" ht="12" customHeight="1"/>
    <row r="52193" ht="12" customHeight="1"/>
    <row r="52194" ht="12" customHeight="1"/>
    <row r="52195" ht="12" customHeight="1"/>
    <row r="52196" ht="12" customHeight="1"/>
    <row r="52197" ht="12" customHeight="1"/>
    <row r="52198" ht="12" customHeight="1"/>
    <row r="52199" ht="12" customHeight="1"/>
    <row r="52200" ht="12" customHeight="1"/>
    <row r="52201" ht="12" customHeight="1"/>
    <row r="52202" ht="12" customHeight="1"/>
    <row r="52203" ht="12" customHeight="1"/>
    <row r="52204" ht="12" customHeight="1"/>
    <row r="52205" ht="12" customHeight="1"/>
    <row r="52206" ht="12" customHeight="1"/>
    <row r="52207" ht="12" customHeight="1"/>
    <row r="52208" ht="12" customHeight="1"/>
    <row r="52209" ht="12" customHeight="1"/>
    <row r="52210" ht="12" customHeight="1"/>
    <row r="52211" ht="12" customHeight="1"/>
    <row r="52212" ht="12" customHeight="1"/>
    <row r="52213" ht="12" customHeight="1"/>
    <row r="52214" ht="12" customHeight="1"/>
    <row r="52215" ht="12" customHeight="1"/>
    <row r="52216" ht="12" customHeight="1"/>
    <row r="52217" ht="12" customHeight="1"/>
    <row r="52218" ht="12" customHeight="1"/>
    <row r="52219" ht="12" customHeight="1"/>
    <row r="52220" ht="12" customHeight="1"/>
    <row r="52221" ht="12" customHeight="1"/>
    <row r="52222" ht="12" customHeight="1"/>
    <row r="52223" ht="12" customHeight="1"/>
    <row r="52224" ht="12" customHeight="1"/>
    <row r="52225" ht="12" customHeight="1"/>
    <row r="52226" ht="12" customHeight="1"/>
    <row r="52227" ht="12" customHeight="1"/>
    <row r="52228" ht="12" customHeight="1"/>
    <row r="52229" ht="12" customHeight="1"/>
    <row r="52230" ht="12" customHeight="1"/>
    <row r="52231" ht="12" customHeight="1"/>
    <row r="52232" ht="12" customHeight="1"/>
    <row r="52233" ht="12" customHeight="1"/>
    <row r="52234" ht="12" customHeight="1"/>
    <row r="52235" ht="12" customHeight="1"/>
    <row r="52236" ht="12" customHeight="1"/>
    <row r="52237" ht="12" customHeight="1"/>
    <row r="52238" ht="12" customHeight="1"/>
    <row r="52239" ht="12" customHeight="1"/>
    <row r="52240" ht="12" customHeight="1"/>
    <row r="52241" ht="12" customHeight="1"/>
    <row r="52242" ht="12" customHeight="1"/>
    <row r="52243" ht="12" customHeight="1"/>
    <row r="52244" ht="12" customHeight="1"/>
    <row r="52245" ht="12" customHeight="1"/>
    <row r="52246" ht="12" customHeight="1"/>
    <row r="52247" ht="12" customHeight="1"/>
    <row r="52248" ht="12" customHeight="1"/>
    <row r="52249" ht="12" customHeight="1"/>
    <row r="52250" ht="12" customHeight="1"/>
    <row r="52251" ht="12" customHeight="1"/>
    <row r="52252" ht="12" customHeight="1"/>
    <row r="52253" ht="12" customHeight="1"/>
    <row r="52254" ht="12" customHeight="1"/>
    <row r="52255" ht="12" customHeight="1"/>
    <row r="52256" ht="12" customHeight="1"/>
    <row r="52257" ht="12" customHeight="1"/>
    <row r="52258" ht="12" customHeight="1"/>
    <row r="52259" ht="12" customHeight="1"/>
    <row r="52260" ht="12" customHeight="1"/>
    <row r="52261" ht="12" customHeight="1"/>
    <row r="52262" ht="12" customHeight="1"/>
    <row r="52263" ht="12" customHeight="1"/>
    <row r="52264" ht="12" customHeight="1"/>
    <row r="52265" ht="12" customHeight="1"/>
    <row r="52266" ht="12" customHeight="1"/>
    <row r="52267" ht="12" customHeight="1"/>
    <row r="52268" ht="12" customHeight="1"/>
    <row r="52269" ht="12" customHeight="1"/>
    <row r="52270" ht="12" customHeight="1"/>
    <row r="52271" ht="12" customHeight="1"/>
    <row r="52272" ht="12" customHeight="1"/>
    <row r="52273" ht="12" customHeight="1"/>
    <row r="52274" ht="12" customHeight="1"/>
    <row r="52275" ht="12" customHeight="1"/>
    <row r="52276" ht="12" customHeight="1"/>
    <row r="52277" ht="12" customHeight="1"/>
    <row r="52278" ht="12" customHeight="1"/>
    <row r="52279" ht="12" customHeight="1"/>
    <row r="52280" ht="12" customHeight="1"/>
    <row r="52281" ht="12" customHeight="1"/>
    <row r="52282" ht="12" customHeight="1"/>
    <row r="52283" ht="12" customHeight="1"/>
    <row r="52284" ht="12" customHeight="1"/>
    <row r="52285" ht="12" customHeight="1"/>
    <row r="52286" ht="12" customHeight="1"/>
    <row r="52287" ht="12" customHeight="1"/>
    <row r="52288" ht="12" customHeight="1"/>
    <row r="52289" ht="12" customHeight="1"/>
    <row r="52290" ht="12" customHeight="1"/>
    <row r="52291" ht="12" customHeight="1"/>
    <row r="52292" ht="12" customHeight="1"/>
    <row r="52293" ht="12" customHeight="1"/>
    <row r="52294" ht="12" customHeight="1"/>
    <row r="52295" ht="12" customHeight="1"/>
    <row r="52296" ht="12" customHeight="1"/>
    <row r="52297" ht="12" customHeight="1"/>
    <row r="52298" ht="12" customHeight="1"/>
    <row r="52299" ht="12" customHeight="1"/>
    <row r="52300" ht="12" customHeight="1"/>
    <row r="52301" ht="12" customHeight="1"/>
    <row r="52302" ht="12" customHeight="1"/>
    <row r="52303" ht="12" customHeight="1"/>
    <row r="52304" ht="12" customHeight="1"/>
    <row r="52305" ht="12" customHeight="1"/>
    <row r="52306" ht="12" customHeight="1"/>
    <row r="52307" ht="12" customHeight="1"/>
    <row r="52308" ht="12" customHeight="1"/>
    <row r="52309" ht="12" customHeight="1"/>
    <row r="52310" ht="12" customHeight="1"/>
    <row r="52311" ht="12" customHeight="1"/>
    <row r="52312" ht="12" customHeight="1"/>
    <row r="52313" ht="12" customHeight="1"/>
    <row r="52314" ht="12" customHeight="1"/>
    <row r="52315" ht="12" customHeight="1"/>
    <row r="52316" ht="12" customHeight="1"/>
    <row r="52317" ht="12" customHeight="1"/>
    <row r="52318" ht="12" customHeight="1"/>
    <row r="52319" ht="12" customHeight="1"/>
    <row r="52320" ht="12" customHeight="1"/>
    <row r="52321" ht="12" customHeight="1"/>
    <row r="52322" ht="12" customHeight="1"/>
    <row r="52323" ht="12" customHeight="1"/>
    <row r="52324" ht="12" customHeight="1"/>
    <row r="52325" ht="12" customHeight="1"/>
    <row r="52326" ht="12" customHeight="1"/>
    <row r="52327" ht="12" customHeight="1"/>
    <row r="52328" ht="12" customHeight="1"/>
    <row r="52329" ht="12" customHeight="1"/>
    <row r="52330" ht="12" customHeight="1"/>
    <row r="52331" ht="12" customHeight="1"/>
    <row r="52332" ht="12" customHeight="1"/>
    <row r="52333" ht="12" customHeight="1"/>
    <row r="52334" ht="12" customHeight="1"/>
    <row r="52335" ht="12" customHeight="1"/>
    <row r="52336" ht="12" customHeight="1"/>
    <row r="52337" ht="12" customHeight="1"/>
    <row r="52338" ht="12" customHeight="1"/>
    <row r="52339" ht="12" customHeight="1"/>
    <row r="52340" ht="12" customHeight="1"/>
    <row r="52341" ht="12" customHeight="1"/>
    <row r="52342" ht="12" customHeight="1"/>
    <row r="52343" ht="12" customHeight="1"/>
    <row r="52344" ht="12" customHeight="1"/>
    <row r="52345" ht="12" customHeight="1"/>
    <row r="52346" ht="12" customHeight="1"/>
    <row r="52347" ht="12" customHeight="1"/>
    <row r="52348" ht="12" customHeight="1"/>
    <row r="52349" ht="12" customHeight="1"/>
    <row r="52350" ht="12" customHeight="1"/>
    <row r="52351" ht="12" customHeight="1"/>
    <row r="52352" ht="12" customHeight="1"/>
    <row r="52353" ht="12" customHeight="1"/>
    <row r="52354" ht="12" customHeight="1"/>
    <row r="52355" ht="12" customHeight="1"/>
    <row r="52356" ht="12" customHeight="1"/>
    <row r="52357" ht="12" customHeight="1"/>
    <row r="52358" ht="12" customHeight="1"/>
    <row r="52359" ht="12" customHeight="1"/>
    <row r="52360" ht="12" customHeight="1"/>
    <row r="52361" ht="12" customHeight="1"/>
    <row r="52362" ht="12" customHeight="1"/>
    <row r="52363" ht="12" customHeight="1"/>
    <row r="52364" ht="12" customHeight="1"/>
    <row r="52365" ht="12" customHeight="1"/>
    <row r="52366" ht="12" customHeight="1"/>
    <row r="52367" ht="12" customHeight="1"/>
    <row r="52368" ht="12" customHeight="1"/>
    <row r="52369" ht="12" customHeight="1"/>
    <row r="52370" ht="12" customHeight="1"/>
    <row r="52371" ht="12" customHeight="1"/>
    <row r="52372" ht="12" customHeight="1"/>
    <row r="52373" ht="12" customHeight="1"/>
    <row r="52374" ht="12" customHeight="1"/>
    <row r="52375" ht="12" customHeight="1"/>
    <row r="52376" ht="12" customHeight="1"/>
    <row r="52377" ht="12" customHeight="1"/>
    <row r="52378" ht="12" customHeight="1"/>
    <row r="52379" ht="12" customHeight="1"/>
    <row r="52380" ht="12" customHeight="1"/>
    <row r="52381" ht="12" customHeight="1"/>
    <row r="52382" ht="12" customHeight="1"/>
    <row r="52383" ht="12" customHeight="1"/>
    <row r="52384" ht="12" customHeight="1"/>
    <row r="52385" ht="12" customHeight="1"/>
    <row r="52386" ht="12" customHeight="1"/>
    <row r="52387" ht="12" customHeight="1"/>
    <row r="52388" ht="12" customHeight="1"/>
    <row r="52389" ht="12" customHeight="1"/>
    <row r="52390" ht="12" customHeight="1"/>
    <row r="52391" ht="12" customHeight="1"/>
    <row r="52392" ht="12" customHeight="1"/>
    <row r="52393" ht="12" customHeight="1"/>
    <row r="52394" ht="12" customHeight="1"/>
    <row r="52395" ht="12" customHeight="1"/>
    <row r="52396" ht="12" customHeight="1"/>
    <row r="52397" ht="12" customHeight="1"/>
    <row r="52398" ht="12" customHeight="1"/>
    <row r="52399" ht="12" customHeight="1"/>
    <row r="52400" ht="12" customHeight="1"/>
    <row r="52401" ht="12" customHeight="1"/>
    <row r="52402" ht="12" customHeight="1"/>
    <row r="52403" ht="12" customHeight="1"/>
    <row r="52404" ht="12" customHeight="1"/>
    <row r="52405" ht="12" customHeight="1"/>
    <row r="52406" ht="12" customHeight="1"/>
    <row r="52407" ht="12" customHeight="1"/>
    <row r="52408" ht="12" customHeight="1"/>
    <row r="52409" ht="12" customHeight="1"/>
    <row r="52410" ht="12" customHeight="1"/>
    <row r="52411" ht="12" customHeight="1"/>
    <row r="52412" ht="12" customHeight="1"/>
    <row r="52413" ht="12" customHeight="1"/>
    <row r="52414" ht="12" customHeight="1"/>
    <row r="52415" ht="12" customHeight="1"/>
    <row r="52416" ht="12" customHeight="1"/>
    <row r="52417" ht="12" customHeight="1"/>
    <row r="52418" ht="12" customHeight="1"/>
    <row r="52419" ht="12" customHeight="1"/>
    <row r="52420" ht="12" customHeight="1"/>
    <row r="52421" ht="12" customHeight="1"/>
    <row r="52422" ht="12" customHeight="1"/>
    <row r="52423" ht="12" customHeight="1"/>
    <row r="52424" ht="12" customHeight="1"/>
    <row r="52425" ht="12" customHeight="1"/>
    <row r="52426" ht="12" customHeight="1"/>
    <row r="52427" ht="12" customHeight="1"/>
    <row r="52428" ht="12" customHeight="1"/>
    <row r="52429" ht="12" customHeight="1"/>
    <row r="52430" ht="12" customHeight="1"/>
    <row r="52431" ht="12" customHeight="1"/>
    <row r="52432" ht="12" customHeight="1"/>
    <row r="52433" ht="12" customHeight="1"/>
    <row r="52434" ht="12" customHeight="1"/>
    <row r="52435" ht="12" customHeight="1"/>
    <row r="52436" ht="12" customHeight="1"/>
    <row r="52437" ht="12" customHeight="1"/>
    <row r="52438" ht="12" customHeight="1"/>
    <row r="52439" ht="12" customHeight="1"/>
    <row r="52440" ht="12" customHeight="1"/>
    <row r="52441" ht="12" customHeight="1"/>
    <row r="52442" ht="12" customHeight="1"/>
    <row r="52443" ht="12" customHeight="1"/>
    <row r="52444" ht="12" customHeight="1"/>
    <row r="52445" ht="12" customHeight="1"/>
    <row r="52446" ht="12" customHeight="1"/>
    <row r="52447" ht="12" customHeight="1"/>
    <row r="52448" ht="12" customHeight="1"/>
    <row r="52449" ht="12" customHeight="1"/>
    <row r="52450" ht="12" customHeight="1"/>
    <row r="52451" ht="12" customHeight="1"/>
    <row r="52452" ht="12" customHeight="1"/>
    <row r="52453" ht="12" customHeight="1"/>
    <row r="52454" ht="12" customHeight="1"/>
    <row r="52455" ht="12" customHeight="1"/>
    <row r="52456" ht="12" customHeight="1"/>
    <row r="52457" ht="12" customHeight="1"/>
    <row r="52458" ht="12" customHeight="1"/>
    <row r="52459" ht="12" customHeight="1"/>
    <row r="52460" ht="12" customHeight="1"/>
    <row r="52461" ht="12" customHeight="1"/>
    <row r="52462" ht="12" customHeight="1"/>
    <row r="52463" ht="12" customHeight="1"/>
    <row r="52464" ht="12" customHeight="1"/>
    <row r="52465" ht="12" customHeight="1"/>
    <row r="52466" ht="12" customHeight="1"/>
    <row r="52467" ht="12" customHeight="1"/>
    <row r="52468" ht="12" customHeight="1"/>
    <row r="52469" ht="12" customHeight="1"/>
    <row r="52470" ht="12" customHeight="1"/>
    <row r="52471" ht="12" customHeight="1"/>
    <row r="52472" ht="12" customHeight="1"/>
    <row r="52473" ht="12" customHeight="1"/>
    <row r="52474" ht="12" customHeight="1"/>
    <row r="52475" ht="12" customHeight="1"/>
    <row r="52476" ht="12" customHeight="1"/>
    <row r="52477" ht="12" customHeight="1"/>
    <row r="52478" ht="12" customHeight="1"/>
    <row r="52479" ht="12" customHeight="1"/>
    <row r="52480" ht="12" customHeight="1"/>
    <row r="52481" ht="12" customHeight="1"/>
    <row r="52482" ht="12" customHeight="1"/>
    <row r="52483" ht="12" customHeight="1"/>
    <row r="52484" ht="12" customHeight="1"/>
    <row r="52485" ht="12" customHeight="1"/>
    <row r="52486" ht="12" customHeight="1"/>
    <row r="52487" ht="12" customHeight="1"/>
    <row r="52488" ht="12" customHeight="1"/>
    <row r="52489" ht="12" customHeight="1"/>
    <row r="52490" ht="12" customHeight="1"/>
    <row r="52491" ht="12" customHeight="1"/>
    <row r="52492" ht="12" customHeight="1"/>
    <row r="52493" ht="12" customHeight="1"/>
    <row r="52494" ht="12" customHeight="1"/>
    <row r="52495" ht="12" customHeight="1"/>
    <row r="52496" ht="12" customHeight="1"/>
    <row r="52497" ht="12" customHeight="1"/>
    <row r="52498" ht="12" customHeight="1"/>
    <row r="52499" ht="12" customHeight="1"/>
    <row r="52500" ht="12" customHeight="1"/>
    <row r="52501" ht="12" customHeight="1"/>
    <row r="52502" ht="12" customHeight="1"/>
    <row r="52503" ht="12" customHeight="1"/>
    <row r="52504" ht="12" customHeight="1"/>
    <row r="52505" ht="12" customHeight="1"/>
    <row r="52506" ht="12" customHeight="1"/>
    <row r="52507" ht="12" customHeight="1"/>
    <row r="52508" ht="12" customHeight="1"/>
    <row r="52509" ht="12" customHeight="1"/>
    <row r="52510" ht="12" customHeight="1"/>
    <row r="52511" ht="12" customHeight="1"/>
    <row r="52512" ht="12" customHeight="1"/>
    <row r="52513" ht="12" customHeight="1"/>
    <row r="52514" ht="12" customHeight="1"/>
    <row r="52515" ht="12" customHeight="1"/>
    <row r="52516" ht="12" customHeight="1"/>
    <row r="52517" ht="12" customHeight="1"/>
    <row r="52518" ht="12" customHeight="1"/>
    <row r="52519" ht="12" customHeight="1"/>
    <row r="52520" ht="12" customHeight="1"/>
    <row r="52521" ht="12" customHeight="1"/>
    <row r="52522" ht="12" customHeight="1"/>
    <row r="52523" ht="12" customHeight="1"/>
    <row r="52524" ht="12" customHeight="1"/>
    <row r="52525" ht="12" customHeight="1"/>
    <row r="52526" ht="12" customHeight="1"/>
    <row r="52527" ht="12" customHeight="1"/>
    <row r="52528" ht="12" customHeight="1"/>
    <row r="52529" ht="12" customHeight="1"/>
    <row r="52530" ht="12" customHeight="1"/>
    <row r="52531" ht="12" customHeight="1"/>
    <row r="52532" ht="12" customHeight="1"/>
    <row r="52533" ht="12" customHeight="1"/>
    <row r="52534" ht="12" customHeight="1"/>
    <row r="52535" ht="12" customHeight="1"/>
    <row r="52536" ht="12" customHeight="1"/>
    <row r="52537" ht="12" customHeight="1"/>
    <row r="52538" ht="12" customHeight="1"/>
    <row r="52539" ht="12" customHeight="1"/>
    <row r="52540" ht="12" customHeight="1"/>
    <row r="52541" ht="12" customHeight="1"/>
    <row r="52542" ht="12" customHeight="1"/>
    <row r="52543" ht="12" customHeight="1"/>
    <row r="52544" ht="12" customHeight="1"/>
    <row r="52545" ht="12" customHeight="1"/>
    <row r="52546" ht="12" customHeight="1"/>
    <row r="52547" ht="12" customHeight="1"/>
    <row r="52548" ht="12" customHeight="1"/>
    <row r="52549" ht="12" customHeight="1"/>
    <row r="52550" ht="12" customHeight="1"/>
    <row r="52551" ht="12" customHeight="1"/>
    <row r="52552" ht="12" customHeight="1"/>
    <row r="52553" ht="12" customHeight="1"/>
    <row r="52554" ht="12" customHeight="1"/>
    <row r="52555" ht="12" customHeight="1"/>
    <row r="52556" ht="12" customHeight="1"/>
    <row r="52557" ht="12" customHeight="1"/>
    <row r="52558" ht="12" customHeight="1"/>
    <row r="52559" ht="12" customHeight="1"/>
    <row r="52560" ht="12" customHeight="1"/>
    <row r="52561" ht="12" customHeight="1"/>
    <row r="52562" ht="12" customHeight="1"/>
    <row r="52563" ht="12" customHeight="1"/>
    <row r="52564" ht="12" customHeight="1"/>
    <row r="52565" ht="12" customHeight="1"/>
    <row r="52566" ht="12" customHeight="1"/>
    <row r="52567" ht="12" customHeight="1"/>
    <row r="52568" ht="12" customHeight="1"/>
    <row r="52569" ht="12" customHeight="1"/>
    <row r="52570" ht="12" customHeight="1"/>
    <row r="52571" ht="12" customHeight="1"/>
    <row r="52572" ht="12" customHeight="1"/>
    <row r="52573" ht="12" customHeight="1"/>
    <row r="52574" ht="12" customHeight="1"/>
    <row r="52575" ht="12" customHeight="1"/>
    <row r="52576" ht="12" customHeight="1"/>
    <row r="52577" ht="12" customHeight="1"/>
    <row r="52578" ht="12" customHeight="1"/>
    <row r="52579" ht="12" customHeight="1"/>
    <row r="52580" ht="12" customHeight="1"/>
    <row r="52581" ht="12" customHeight="1"/>
    <row r="52582" ht="12" customHeight="1"/>
    <row r="52583" ht="12" customHeight="1"/>
    <row r="52584" ht="12" customHeight="1"/>
    <row r="52585" ht="12" customHeight="1"/>
    <row r="52586" ht="12" customHeight="1"/>
    <row r="52587" ht="12" customHeight="1"/>
    <row r="52588" ht="12" customHeight="1"/>
    <row r="52589" ht="12" customHeight="1"/>
    <row r="52590" ht="12" customHeight="1"/>
    <row r="52591" ht="12" customHeight="1"/>
    <row r="52592" ht="12" customHeight="1"/>
    <row r="52593" ht="12" customHeight="1"/>
    <row r="52594" ht="12" customHeight="1"/>
    <row r="52595" ht="12" customHeight="1"/>
    <row r="52596" ht="12" customHeight="1"/>
    <row r="52597" ht="12" customHeight="1"/>
    <row r="52598" ht="12" customHeight="1"/>
    <row r="52599" ht="12" customHeight="1"/>
    <row r="52600" ht="12" customHeight="1"/>
    <row r="52601" ht="12" customHeight="1"/>
    <row r="52602" ht="12" customHeight="1"/>
    <row r="52603" ht="12" customHeight="1"/>
    <row r="52604" ht="12" customHeight="1"/>
    <row r="52605" ht="12" customHeight="1"/>
    <row r="52606" ht="12" customHeight="1"/>
    <row r="52607" ht="12" customHeight="1"/>
    <row r="52608" ht="12" customHeight="1"/>
    <row r="52609" ht="12" customHeight="1"/>
    <row r="52610" ht="12" customHeight="1"/>
    <row r="52611" ht="12" customHeight="1"/>
    <row r="52612" ht="12" customHeight="1"/>
    <row r="52613" ht="12" customHeight="1"/>
    <row r="52614" ht="12" customHeight="1"/>
    <row r="52615" ht="12" customHeight="1"/>
    <row r="52616" ht="12" customHeight="1"/>
    <row r="52617" ht="12" customHeight="1"/>
    <row r="52618" ht="12" customHeight="1"/>
    <row r="52619" ht="12" customHeight="1"/>
    <row r="52620" ht="12" customHeight="1"/>
    <row r="52621" ht="12" customHeight="1"/>
    <row r="52622" ht="12" customHeight="1"/>
    <row r="52623" ht="12" customHeight="1"/>
    <row r="52624" ht="12" customHeight="1"/>
    <row r="52625" ht="12" customHeight="1"/>
    <row r="52626" ht="12" customHeight="1"/>
    <row r="52627" ht="12" customHeight="1"/>
    <row r="52628" ht="12" customHeight="1"/>
    <row r="52629" ht="12" customHeight="1"/>
    <row r="52630" ht="12" customHeight="1"/>
    <row r="52631" ht="12" customHeight="1"/>
    <row r="52632" ht="12" customHeight="1"/>
    <row r="52633" ht="12" customHeight="1"/>
    <row r="52634" ht="12" customHeight="1"/>
    <row r="52635" ht="12" customHeight="1"/>
    <row r="52636" ht="12" customHeight="1"/>
    <row r="52637" ht="12" customHeight="1"/>
    <row r="52638" ht="12" customHeight="1"/>
    <row r="52639" ht="12" customHeight="1"/>
    <row r="52640" ht="12" customHeight="1"/>
    <row r="52641" ht="12" customHeight="1"/>
    <row r="52642" ht="12" customHeight="1"/>
    <row r="52643" ht="12" customHeight="1"/>
    <row r="52644" ht="12" customHeight="1"/>
    <row r="52645" ht="12" customHeight="1"/>
    <row r="52646" ht="12" customHeight="1"/>
    <row r="52647" ht="12" customHeight="1"/>
    <row r="52648" ht="12" customHeight="1"/>
    <row r="52649" ht="12" customHeight="1"/>
    <row r="52650" ht="12" customHeight="1"/>
    <row r="52651" ht="12" customHeight="1"/>
    <row r="52652" ht="12" customHeight="1"/>
    <row r="52653" ht="12" customHeight="1"/>
    <row r="52654" ht="12" customHeight="1"/>
    <row r="52655" ht="12" customHeight="1"/>
    <row r="52656" ht="12" customHeight="1"/>
    <row r="52657" ht="12" customHeight="1"/>
    <row r="52658" ht="12" customHeight="1"/>
    <row r="52659" ht="12" customHeight="1"/>
    <row r="52660" ht="12" customHeight="1"/>
    <row r="52661" ht="12" customHeight="1"/>
    <row r="52662" ht="12" customHeight="1"/>
    <row r="52663" ht="12" customHeight="1"/>
    <row r="52664" ht="12" customHeight="1"/>
    <row r="52665" ht="12" customHeight="1"/>
    <row r="52666" ht="12" customHeight="1"/>
    <row r="52667" ht="12" customHeight="1"/>
    <row r="52668" ht="12" customHeight="1"/>
    <row r="52669" ht="12" customHeight="1"/>
    <row r="52670" ht="12" customHeight="1"/>
    <row r="52671" ht="12" customHeight="1"/>
    <row r="52672" ht="12" customHeight="1"/>
    <row r="52673" ht="12" customHeight="1"/>
    <row r="52674" ht="12" customHeight="1"/>
    <row r="52675" ht="12" customHeight="1"/>
    <row r="52676" ht="12" customHeight="1"/>
    <row r="52677" ht="12" customHeight="1"/>
    <row r="52678" ht="12" customHeight="1"/>
    <row r="52679" ht="12" customHeight="1"/>
    <row r="52680" ht="12" customHeight="1"/>
    <row r="52681" ht="12" customHeight="1"/>
    <row r="52682" ht="12" customHeight="1"/>
    <row r="52683" ht="12" customHeight="1"/>
    <row r="52684" ht="12" customHeight="1"/>
    <row r="52685" ht="12" customHeight="1"/>
    <row r="52686" ht="12" customHeight="1"/>
    <row r="52687" ht="12" customHeight="1"/>
    <row r="52688" ht="12" customHeight="1"/>
    <row r="52689" ht="12" customHeight="1"/>
    <row r="52690" ht="12" customHeight="1"/>
    <row r="52691" ht="12" customHeight="1"/>
    <row r="52692" ht="12" customHeight="1"/>
    <row r="52693" ht="12" customHeight="1"/>
    <row r="52694" ht="12" customHeight="1"/>
    <row r="52695" ht="12" customHeight="1"/>
    <row r="52696" ht="12" customHeight="1"/>
    <row r="52697" ht="12" customHeight="1"/>
    <row r="52698" ht="12" customHeight="1"/>
    <row r="52699" ht="12" customHeight="1"/>
    <row r="52700" ht="12" customHeight="1"/>
    <row r="52701" ht="12" customHeight="1"/>
    <row r="52702" ht="12" customHeight="1"/>
    <row r="52703" ht="12" customHeight="1"/>
    <row r="52704" ht="12" customHeight="1"/>
    <row r="52705" ht="12" customHeight="1"/>
    <row r="52706" ht="12" customHeight="1"/>
    <row r="52707" ht="12" customHeight="1"/>
    <row r="52708" ht="12" customHeight="1"/>
    <row r="52709" ht="12" customHeight="1"/>
    <row r="52710" ht="12" customHeight="1"/>
    <row r="52711" ht="12" customHeight="1"/>
    <row r="52712" ht="12" customHeight="1"/>
    <row r="52713" ht="12" customHeight="1"/>
    <row r="52714" ht="12" customHeight="1"/>
    <row r="52715" ht="12" customHeight="1"/>
    <row r="52716" ht="12" customHeight="1"/>
    <row r="52717" ht="12" customHeight="1"/>
    <row r="52718" ht="12" customHeight="1"/>
    <row r="52719" ht="12" customHeight="1"/>
    <row r="52720" ht="12" customHeight="1"/>
    <row r="52721" ht="12" customHeight="1"/>
    <row r="52722" ht="12" customHeight="1"/>
    <row r="52723" ht="12" customHeight="1"/>
    <row r="52724" ht="12" customHeight="1"/>
    <row r="52725" ht="12" customHeight="1"/>
    <row r="52726" ht="12" customHeight="1"/>
    <row r="52727" ht="12" customHeight="1"/>
    <row r="52728" ht="12" customHeight="1"/>
    <row r="52729" ht="12" customHeight="1"/>
    <row r="52730" ht="12" customHeight="1"/>
    <row r="52731" ht="12" customHeight="1"/>
    <row r="52732" ht="12" customHeight="1"/>
    <row r="52733" ht="12" customHeight="1"/>
    <row r="52734" ht="12" customHeight="1"/>
    <row r="52735" ht="12" customHeight="1"/>
    <row r="52736" ht="12" customHeight="1"/>
    <row r="52737" ht="12" customHeight="1"/>
    <row r="52738" ht="12" customHeight="1"/>
    <row r="52739" ht="12" customHeight="1"/>
    <row r="52740" ht="12" customHeight="1"/>
    <row r="52741" ht="12" customHeight="1"/>
    <row r="52742" ht="12" customHeight="1"/>
    <row r="52743" ht="12" customHeight="1"/>
    <row r="52744" ht="12" customHeight="1"/>
    <row r="52745" ht="12" customHeight="1"/>
    <row r="52746" ht="12" customHeight="1"/>
    <row r="52747" ht="12" customHeight="1"/>
    <row r="52748" ht="12" customHeight="1"/>
    <row r="52749" ht="12" customHeight="1"/>
    <row r="52750" ht="12" customHeight="1"/>
    <row r="52751" ht="12" customHeight="1"/>
    <row r="52752" ht="12" customHeight="1"/>
    <row r="52753" ht="12" customHeight="1"/>
    <row r="52754" ht="12" customHeight="1"/>
    <row r="52755" ht="12" customHeight="1"/>
    <row r="52756" ht="12" customHeight="1"/>
    <row r="52757" ht="12" customHeight="1"/>
    <row r="52758" ht="12" customHeight="1"/>
    <row r="52759" ht="12" customHeight="1"/>
    <row r="52760" ht="12" customHeight="1"/>
    <row r="52761" ht="12" customHeight="1"/>
    <row r="52762" ht="12" customHeight="1"/>
    <row r="52763" ht="12" customHeight="1"/>
    <row r="52764" ht="12" customHeight="1"/>
    <row r="52765" ht="12" customHeight="1"/>
    <row r="52766" ht="12" customHeight="1"/>
    <row r="52767" ht="12" customHeight="1"/>
    <row r="52768" ht="12" customHeight="1"/>
    <row r="52769" ht="12" customHeight="1"/>
    <row r="52770" ht="12" customHeight="1"/>
    <row r="52771" ht="12" customHeight="1"/>
    <row r="52772" ht="12" customHeight="1"/>
    <row r="52773" ht="12" customHeight="1"/>
    <row r="52774" ht="12" customHeight="1"/>
    <row r="52775" ht="12" customHeight="1"/>
    <row r="52776" ht="12" customHeight="1"/>
    <row r="52777" ht="12" customHeight="1"/>
    <row r="52778" ht="12" customHeight="1"/>
    <row r="52779" ht="12" customHeight="1"/>
    <row r="52780" ht="12" customHeight="1"/>
    <row r="52781" ht="12" customHeight="1"/>
    <row r="52782" ht="12" customHeight="1"/>
    <row r="52783" ht="12" customHeight="1"/>
    <row r="52784" ht="12" customHeight="1"/>
    <row r="52785" ht="12" customHeight="1"/>
    <row r="52786" ht="12" customHeight="1"/>
    <row r="52787" ht="12" customHeight="1"/>
    <row r="52788" ht="12" customHeight="1"/>
    <row r="52789" ht="12" customHeight="1"/>
    <row r="52790" ht="12" customHeight="1"/>
    <row r="52791" ht="12" customHeight="1"/>
    <row r="52792" ht="12" customHeight="1"/>
    <row r="52793" ht="12" customHeight="1"/>
    <row r="52794" ht="12" customHeight="1"/>
    <row r="52795" ht="12" customHeight="1"/>
    <row r="52796" ht="12" customHeight="1"/>
    <row r="52797" ht="12" customHeight="1"/>
    <row r="52798" ht="12" customHeight="1"/>
    <row r="52799" ht="12" customHeight="1"/>
    <row r="52800" ht="12" customHeight="1"/>
    <row r="52801" ht="12" customHeight="1"/>
    <row r="52802" ht="12" customHeight="1"/>
    <row r="52803" ht="12" customHeight="1"/>
    <row r="52804" ht="12" customHeight="1"/>
    <row r="52805" ht="12" customHeight="1"/>
    <row r="52806" ht="12" customHeight="1"/>
    <row r="52807" ht="12" customHeight="1"/>
    <row r="52808" ht="12" customHeight="1"/>
    <row r="52809" ht="12" customHeight="1"/>
    <row r="52810" ht="12" customHeight="1"/>
    <row r="52811" ht="12" customHeight="1"/>
    <row r="52812" ht="12" customHeight="1"/>
    <row r="52813" ht="12" customHeight="1"/>
    <row r="52814" ht="12" customHeight="1"/>
    <row r="52815" ht="12" customHeight="1"/>
    <row r="52816" ht="12" customHeight="1"/>
    <row r="52817" ht="12" customHeight="1"/>
    <row r="52818" ht="12" customHeight="1"/>
    <row r="52819" ht="12" customHeight="1"/>
    <row r="52820" ht="12" customHeight="1"/>
    <row r="52821" ht="12" customHeight="1"/>
    <row r="52822" ht="12" customHeight="1"/>
    <row r="52823" ht="12" customHeight="1"/>
    <row r="52824" ht="12" customHeight="1"/>
    <row r="52825" ht="12" customHeight="1"/>
    <row r="52826" ht="12" customHeight="1"/>
    <row r="52827" ht="12" customHeight="1"/>
    <row r="52828" ht="12" customHeight="1"/>
    <row r="52829" ht="12" customHeight="1"/>
    <row r="52830" ht="12" customHeight="1"/>
    <row r="52831" ht="12" customHeight="1"/>
    <row r="52832" ht="12" customHeight="1"/>
    <row r="52833" ht="12" customHeight="1"/>
    <row r="52834" ht="12" customHeight="1"/>
    <row r="52835" ht="12" customHeight="1"/>
    <row r="52836" ht="12" customHeight="1"/>
    <row r="52837" ht="12" customHeight="1"/>
    <row r="52838" ht="12" customHeight="1"/>
    <row r="52839" ht="12" customHeight="1"/>
    <row r="52840" ht="12" customHeight="1"/>
    <row r="52841" ht="12" customHeight="1"/>
    <row r="52842" ht="12" customHeight="1"/>
    <row r="52843" ht="12" customHeight="1"/>
    <row r="52844" ht="12" customHeight="1"/>
    <row r="52845" ht="12" customHeight="1"/>
    <row r="52846" ht="12" customHeight="1"/>
    <row r="52847" ht="12" customHeight="1"/>
    <row r="52848" ht="12" customHeight="1"/>
    <row r="52849" ht="12" customHeight="1"/>
    <row r="52850" ht="12" customHeight="1"/>
    <row r="52851" ht="12" customHeight="1"/>
    <row r="52852" ht="12" customHeight="1"/>
    <row r="52853" ht="12" customHeight="1"/>
    <row r="52854" ht="12" customHeight="1"/>
    <row r="52855" ht="12" customHeight="1"/>
    <row r="52856" ht="12" customHeight="1"/>
    <row r="52857" ht="12" customHeight="1"/>
    <row r="52858" ht="12" customHeight="1"/>
    <row r="52859" ht="12" customHeight="1"/>
    <row r="52860" ht="12" customHeight="1"/>
    <row r="52861" ht="12" customHeight="1"/>
    <row r="52862" ht="12" customHeight="1"/>
    <row r="52863" ht="12" customHeight="1"/>
    <row r="52864" ht="12" customHeight="1"/>
    <row r="52865" ht="12" customHeight="1"/>
    <row r="52866" ht="12" customHeight="1"/>
    <row r="52867" ht="12" customHeight="1"/>
    <row r="52868" ht="12" customHeight="1"/>
    <row r="52869" ht="12" customHeight="1"/>
    <row r="52870" ht="12" customHeight="1"/>
    <row r="52871" ht="12" customHeight="1"/>
    <row r="52872" ht="12" customHeight="1"/>
    <row r="52873" ht="12" customHeight="1"/>
    <row r="52874" ht="12" customHeight="1"/>
    <row r="52875" ht="12" customHeight="1"/>
    <row r="52876" ht="12" customHeight="1"/>
    <row r="52877" ht="12" customHeight="1"/>
    <row r="52878" ht="12" customHeight="1"/>
    <row r="52879" ht="12" customHeight="1"/>
    <row r="52880" ht="12" customHeight="1"/>
    <row r="52881" ht="12" customHeight="1"/>
    <row r="52882" ht="12" customHeight="1"/>
    <row r="52883" ht="12" customHeight="1"/>
    <row r="52884" ht="12" customHeight="1"/>
    <row r="52885" ht="12" customHeight="1"/>
    <row r="52886" ht="12" customHeight="1"/>
    <row r="52887" ht="12" customHeight="1"/>
    <row r="52888" ht="12" customHeight="1"/>
    <row r="52889" ht="12" customHeight="1"/>
    <row r="52890" ht="12" customHeight="1"/>
    <row r="52891" ht="12" customHeight="1"/>
    <row r="52892" ht="12" customHeight="1"/>
    <row r="52893" ht="12" customHeight="1"/>
    <row r="52894" ht="12" customHeight="1"/>
    <row r="52895" ht="12" customHeight="1"/>
    <row r="52896" ht="12" customHeight="1"/>
    <row r="52897" ht="12" customHeight="1"/>
    <row r="52898" ht="12" customHeight="1"/>
    <row r="52899" ht="12" customHeight="1"/>
    <row r="52900" ht="12" customHeight="1"/>
    <row r="52901" ht="12" customHeight="1"/>
    <row r="52902" ht="12" customHeight="1"/>
    <row r="52903" ht="12" customHeight="1"/>
    <row r="52904" ht="12" customHeight="1"/>
    <row r="52905" ht="12" customHeight="1"/>
    <row r="52906" ht="12" customHeight="1"/>
    <row r="52907" ht="12" customHeight="1"/>
    <row r="52908" ht="12" customHeight="1"/>
    <row r="52909" ht="12" customHeight="1"/>
    <row r="52910" ht="12" customHeight="1"/>
    <row r="52911" ht="12" customHeight="1"/>
    <row r="52912" ht="12" customHeight="1"/>
    <row r="52913" ht="12" customHeight="1"/>
    <row r="52914" ht="12" customHeight="1"/>
    <row r="52915" ht="12" customHeight="1"/>
    <row r="52916" ht="12" customHeight="1"/>
    <row r="52917" ht="12" customHeight="1"/>
    <row r="52918" ht="12" customHeight="1"/>
    <row r="52919" ht="12" customHeight="1"/>
    <row r="52920" ht="12" customHeight="1"/>
    <row r="52921" ht="12" customHeight="1"/>
    <row r="52922" ht="12" customHeight="1"/>
    <row r="52923" ht="12" customHeight="1"/>
    <row r="52924" ht="12" customHeight="1"/>
    <row r="52925" ht="12" customHeight="1"/>
    <row r="52926" ht="12" customHeight="1"/>
    <row r="52927" ht="12" customHeight="1"/>
    <row r="52928" ht="12" customHeight="1"/>
    <row r="52929" ht="12" customHeight="1"/>
    <row r="52930" ht="12" customHeight="1"/>
    <row r="52931" ht="12" customHeight="1"/>
    <row r="52932" ht="12" customHeight="1"/>
    <row r="52933" ht="12" customHeight="1"/>
    <row r="52934" ht="12" customHeight="1"/>
    <row r="52935" ht="12" customHeight="1"/>
    <row r="52936" ht="12" customHeight="1"/>
    <row r="52937" ht="12" customHeight="1"/>
    <row r="52938" ht="12" customHeight="1"/>
    <row r="52939" ht="12" customHeight="1"/>
    <row r="52940" ht="12" customHeight="1"/>
    <row r="52941" ht="12" customHeight="1"/>
    <row r="52942" ht="12" customHeight="1"/>
    <row r="52943" ht="12" customHeight="1"/>
    <row r="52944" ht="12" customHeight="1"/>
    <row r="52945" ht="12" customHeight="1"/>
    <row r="52946" ht="12" customHeight="1"/>
    <row r="52947" ht="12" customHeight="1"/>
    <row r="52948" ht="12" customHeight="1"/>
    <row r="52949" ht="12" customHeight="1"/>
    <row r="52950" ht="12" customHeight="1"/>
    <row r="52951" ht="12" customHeight="1"/>
    <row r="52952" ht="12" customHeight="1"/>
    <row r="52953" ht="12" customHeight="1"/>
    <row r="52954" ht="12" customHeight="1"/>
    <row r="52955" ht="12" customHeight="1"/>
    <row r="52956" ht="12" customHeight="1"/>
    <row r="52957" ht="12" customHeight="1"/>
    <row r="52958" ht="12" customHeight="1"/>
    <row r="52959" ht="12" customHeight="1"/>
    <row r="52960" ht="12" customHeight="1"/>
    <row r="52961" ht="12" customHeight="1"/>
    <row r="52962" ht="12" customHeight="1"/>
    <row r="52963" ht="12" customHeight="1"/>
    <row r="52964" ht="12" customHeight="1"/>
    <row r="52965" ht="12" customHeight="1"/>
    <row r="52966" ht="12" customHeight="1"/>
    <row r="52967" ht="12" customHeight="1"/>
    <row r="52968" ht="12" customHeight="1"/>
    <row r="52969" ht="12" customHeight="1"/>
    <row r="52970" ht="12" customHeight="1"/>
    <row r="52971" ht="12" customHeight="1"/>
    <row r="52972" ht="12" customHeight="1"/>
    <row r="52973" ht="12" customHeight="1"/>
    <row r="52974" ht="12" customHeight="1"/>
    <row r="52975" ht="12" customHeight="1"/>
    <row r="52976" ht="12" customHeight="1"/>
    <row r="52977" ht="12" customHeight="1"/>
    <row r="52978" ht="12" customHeight="1"/>
    <row r="52979" ht="12" customHeight="1"/>
    <row r="52980" ht="12" customHeight="1"/>
    <row r="52981" ht="12" customHeight="1"/>
    <row r="52982" ht="12" customHeight="1"/>
    <row r="52983" ht="12" customHeight="1"/>
    <row r="52984" ht="12" customHeight="1"/>
    <row r="52985" ht="12" customHeight="1"/>
    <row r="52986" ht="12" customHeight="1"/>
    <row r="52987" ht="12" customHeight="1"/>
    <row r="52988" ht="12" customHeight="1"/>
    <row r="52989" ht="12" customHeight="1"/>
    <row r="52990" ht="12" customHeight="1"/>
    <row r="52991" ht="12" customHeight="1"/>
    <row r="52992" ht="12" customHeight="1"/>
    <row r="52993" ht="12" customHeight="1"/>
    <row r="52994" ht="12" customHeight="1"/>
    <row r="52995" ht="12" customHeight="1"/>
    <row r="52996" ht="12" customHeight="1"/>
    <row r="52997" ht="12" customHeight="1"/>
    <row r="52998" ht="12" customHeight="1"/>
    <row r="52999" ht="12" customHeight="1"/>
    <row r="53000" ht="12" customHeight="1"/>
    <row r="53001" ht="12" customHeight="1"/>
    <row r="53002" ht="12" customHeight="1"/>
    <row r="53003" ht="12" customHeight="1"/>
    <row r="53004" ht="12" customHeight="1"/>
    <row r="53005" ht="12" customHeight="1"/>
    <row r="53006" ht="12" customHeight="1"/>
    <row r="53007" ht="12" customHeight="1"/>
    <row r="53008" ht="12" customHeight="1"/>
    <row r="53009" ht="12" customHeight="1"/>
    <row r="53010" ht="12" customHeight="1"/>
    <row r="53011" ht="12" customHeight="1"/>
    <row r="53012" ht="12" customHeight="1"/>
    <row r="53013" ht="12" customHeight="1"/>
    <row r="53014" ht="12" customHeight="1"/>
    <row r="53015" ht="12" customHeight="1"/>
    <row r="53016" ht="12" customHeight="1"/>
    <row r="53017" ht="12" customHeight="1"/>
    <row r="53018" ht="12" customHeight="1"/>
    <row r="53019" ht="12" customHeight="1"/>
    <row r="53020" ht="12" customHeight="1"/>
    <row r="53021" ht="12" customHeight="1"/>
    <row r="53022" ht="12" customHeight="1"/>
    <row r="53023" ht="12" customHeight="1"/>
    <row r="53024" ht="12" customHeight="1"/>
    <row r="53025" ht="12" customHeight="1"/>
    <row r="53026" ht="12" customHeight="1"/>
    <row r="53027" ht="12" customHeight="1"/>
    <row r="53028" ht="12" customHeight="1"/>
    <row r="53029" ht="12" customHeight="1"/>
    <row r="53030" ht="12" customHeight="1"/>
    <row r="53031" ht="12" customHeight="1"/>
    <row r="53032" ht="12" customHeight="1"/>
    <row r="53033" ht="12" customHeight="1"/>
    <row r="53034" ht="12" customHeight="1"/>
    <row r="53035" ht="12" customHeight="1"/>
    <row r="53036" ht="12" customHeight="1"/>
    <row r="53037" ht="12" customHeight="1"/>
    <row r="53038" ht="12" customHeight="1"/>
    <row r="53039" ht="12" customHeight="1"/>
    <row r="53040" ht="12" customHeight="1"/>
    <row r="53041" ht="12" customHeight="1"/>
    <row r="53042" ht="12" customHeight="1"/>
    <row r="53043" ht="12" customHeight="1"/>
    <row r="53044" ht="12" customHeight="1"/>
    <row r="53045" ht="12" customHeight="1"/>
    <row r="53046" ht="12" customHeight="1"/>
    <row r="53047" ht="12" customHeight="1"/>
    <row r="53048" ht="12" customHeight="1"/>
    <row r="53049" ht="12" customHeight="1"/>
    <row r="53050" ht="12" customHeight="1"/>
    <row r="53051" ht="12" customHeight="1"/>
    <row r="53052" ht="12" customHeight="1"/>
    <row r="53053" ht="12" customHeight="1"/>
    <row r="53054" ht="12" customHeight="1"/>
    <row r="53055" ht="12" customHeight="1"/>
    <row r="53056" ht="12" customHeight="1"/>
    <row r="53057" ht="12" customHeight="1"/>
    <row r="53058" ht="12" customHeight="1"/>
    <row r="53059" ht="12" customHeight="1"/>
    <row r="53060" ht="12" customHeight="1"/>
    <row r="53061" ht="12" customHeight="1"/>
    <row r="53062" ht="12" customHeight="1"/>
    <row r="53063" ht="12" customHeight="1"/>
    <row r="53064" ht="12" customHeight="1"/>
    <row r="53065" ht="12" customHeight="1"/>
    <row r="53066" ht="12" customHeight="1"/>
    <row r="53067" ht="12" customHeight="1"/>
    <row r="53068" ht="12" customHeight="1"/>
    <row r="53069" ht="12" customHeight="1"/>
    <row r="53070" ht="12" customHeight="1"/>
    <row r="53071" ht="12" customHeight="1"/>
    <row r="53072" ht="12" customHeight="1"/>
    <row r="53073" ht="12" customHeight="1"/>
    <row r="53074" ht="12" customHeight="1"/>
    <row r="53075" ht="12" customHeight="1"/>
    <row r="53076" ht="12" customHeight="1"/>
    <row r="53077" ht="12" customHeight="1"/>
    <row r="53078" ht="12" customHeight="1"/>
    <row r="53079" ht="12" customHeight="1"/>
    <row r="53080" ht="12" customHeight="1"/>
    <row r="53081" ht="12" customHeight="1"/>
    <row r="53082" ht="12" customHeight="1"/>
    <row r="53083" ht="12" customHeight="1"/>
    <row r="53084" ht="12" customHeight="1"/>
    <row r="53085" ht="12" customHeight="1"/>
    <row r="53086" ht="12" customHeight="1"/>
    <row r="53087" ht="12" customHeight="1"/>
    <row r="53088" ht="12" customHeight="1"/>
    <row r="53089" ht="12" customHeight="1"/>
    <row r="53090" ht="12" customHeight="1"/>
    <row r="53091" ht="12" customHeight="1"/>
    <row r="53092" ht="12" customHeight="1"/>
    <row r="53093" ht="12" customHeight="1"/>
    <row r="53094" ht="12" customHeight="1"/>
    <row r="53095" ht="12" customHeight="1"/>
    <row r="53096" ht="12" customHeight="1"/>
    <row r="53097" ht="12" customHeight="1"/>
    <row r="53098" ht="12" customHeight="1"/>
    <row r="53099" ht="12" customHeight="1"/>
    <row r="53100" ht="12" customHeight="1"/>
    <row r="53101" ht="12" customHeight="1"/>
    <row r="53102" ht="12" customHeight="1"/>
    <row r="53103" ht="12" customHeight="1"/>
    <row r="53104" ht="12" customHeight="1"/>
    <row r="53105" ht="12" customHeight="1"/>
    <row r="53106" ht="12" customHeight="1"/>
    <row r="53107" ht="12" customHeight="1"/>
    <row r="53108" ht="12" customHeight="1"/>
    <row r="53109" ht="12" customHeight="1"/>
    <row r="53110" ht="12" customHeight="1"/>
    <row r="53111" ht="12" customHeight="1"/>
    <row r="53112" ht="12" customHeight="1"/>
    <row r="53113" ht="12" customHeight="1"/>
    <row r="53114" ht="12" customHeight="1"/>
    <row r="53115" ht="12" customHeight="1"/>
    <row r="53116" ht="12" customHeight="1"/>
    <row r="53117" ht="12" customHeight="1"/>
    <row r="53118" ht="12" customHeight="1"/>
    <row r="53119" ht="12" customHeight="1"/>
    <row r="53120" ht="12" customHeight="1"/>
    <row r="53121" ht="12" customHeight="1"/>
    <row r="53122" ht="12" customHeight="1"/>
    <row r="53123" ht="12" customHeight="1"/>
    <row r="53124" ht="12" customHeight="1"/>
    <row r="53125" ht="12" customHeight="1"/>
    <row r="53126" ht="12" customHeight="1"/>
    <row r="53127" ht="12" customHeight="1"/>
    <row r="53128" ht="12" customHeight="1"/>
    <row r="53129" ht="12" customHeight="1"/>
    <row r="53130" ht="12" customHeight="1"/>
    <row r="53131" ht="12" customHeight="1"/>
    <row r="53132" ht="12" customHeight="1"/>
    <row r="53133" ht="12" customHeight="1"/>
    <row r="53134" ht="12" customHeight="1"/>
    <row r="53135" ht="12" customHeight="1"/>
    <row r="53136" ht="12" customHeight="1"/>
    <row r="53137" ht="12" customHeight="1"/>
    <row r="53138" ht="12" customHeight="1"/>
    <row r="53139" ht="12" customHeight="1"/>
    <row r="53140" ht="12" customHeight="1"/>
    <row r="53141" ht="12" customHeight="1"/>
    <row r="53142" ht="12" customHeight="1"/>
    <row r="53143" ht="12" customHeight="1"/>
    <row r="53144" ht="12" customHeight="1"/>
    <row r="53145" ht="12" customHeight="1"/>
    <row r="53146" ht="12" customHeight="1"/>
    <row r="53147" ht="12" customHeight="1"/>
    <row r="53148" ht="12" customHeight="1"/>
    <row r="53149" ht="12" customHeight="1"/>
    <row r="53150" ht="12" customHeight="1"/>
    <row r="53151" ht="12" customHeight="1"/>
    <row r="53152" ht="12" customHeight="1"/>
    <row r="53153" ht="12" customHeight="1"/>
    <row r="53154" ht="12" customHeight="1"/>
    <row r="53155" ht="12" customHeight="1"/>
    <row r="53156" ht="12" customHeight="1"/>
    <row r="53157" ht="12" customHeight="1"/>
    <row r="53158" ht="12" customHeight="1"/>
    <row r="53159" ht="12" customHeight="1"/>
    <row r="53160" ht="12" customHeight="1"/>
    <row r="53161" ht="12" customHeight="1"/>
    <row r="53162" ht="12" customHeight="1"/>
    <row r="53163" ht="12" customHeight="1"/>
    <row r="53164" ht="12" customHeight="1"/>
    <row r="53165" ht="12" customHeight="1"/>
    <row r="53166" ht="12" customHeight="1"/>
    <row r="53167" ht="12" customHeight="1"/>
    <row r="53168" ht="12" customHeight="1"/>
    <row r="53169" ht="12" customHeight="1"/>
    <row r="53170" ht="12" customHeight="1"/>
    <row r="53171" ht="12" customHeight="1"/>
    <row r="53172" ht="12" customHeight="1"/>
    <row r="53173" ht="12" customHeight="1"/>
    <row r="53174" ht="12" customHeight="1"/>
    <row r="53175" ht="12" customHeight="1"/>
    <row r="53176" ht="12" customHeight="1"/>
    <row r="53177" ht="12" customHeight="1"/>
    <row r="53178" ht="12" customHeight="1"/>
    <row r="53179" ht="12" customHeight="1"/>
    <row r="53180" ht="12" customHeight="1"/>
    <row r="53181" ht="12" customHeight="1"/>
    <row r="53182" ht="12" customHeight="1"/>
    <row r="53183" ht="12" customHeight="1"/>
    <row r="53184" ht="12" customHeight="1"/>
    <row r="53185" ht="12" customHeight="1"/>
    <row r="53186" ht="12" customHeight="1"/>
    <row r="53187" ht="12" customHeight="1"/>
    <row r="53188" ht="12" customHeight="1"/>
    <row r="53189" ht="12" customHeight="1"/>
    <row r="53190" ht="12" customHeight="1"/>
    <row r="53191" ht="12" customHeight="1"/>
    <row r="53192" ht="12" customHeight="1"/>
    <row r="53193" ht="12" customHeight="1"/>
    <row r="53194" ht="12" customHeight="1"/>
    <row r="53195" ht="12" customHeight="1"/>
    <row r="53196" ht="12" customHeight="1"/>
    <row r="53197" ht="12" customHeight="1"/>
    <row r="53198" ht="12" customHeight="1"/>
    <row r="53199" ht="12" customHeight="1"/>
    <row r="53200" ht="12" customHeight="1"/>
    <row r="53201" ht="12" customHeight="1"/>
    <row r="53202" ht="12" customHeight="1"/>
    <row r="53203" ht="12" customHeight="1"/>
    <row r="53204" ht="12" customHeight="1"/>
    <row r="53205" ht="12" customHeight="1"/>
    <row r="53206" ht="12" customHeight="1"/>
    <row r="53207" ht="12" customHeight="1"/>
    <row r="53208" ht="12" customHeight="1"/>
    <row r="53209" ht="12" customHeight="1"/>
    <row r="53210" ht="12" customHeight="1"/>
    <row r="53211" ht="12" customHeight="1"/>
    <row r="53212" ht="12" customHeight="1"/>
    <row r="53213" ht="12" customHeight="1"/>
    <row r="53214" ht="12" customHeight="1"/>
    <row r="53215" ht="12" customHeight="1"/>
    <row r="53216" ht="12" customHeight="1"/>
    <row r="53217" ht="12" customHeight="1"/>
    <row r="53218" ht="12" customHeight="1"/>
    <row r="53219" ht="12" customHeight="1"/>
    <row r="53220" ht="12" customHeight="1"/>
    <row r="53221" ht="12" customHeight="1"/>
    <row r="53222" ht="12" customHeight="1"/>
    <row r="53223" ht="12" customHeight="1"/>
    <row r="53224" ht="12" customHeight="1"/>
    <row r="53225" ht="12" customHeight="1"/>
    <row r="53226" ht="12" customHeight="1"/>
    <row r="53227" ht="12" customHeight="1"/>
    <row r="53228" ht="12" customHeight="1"/>
    <row r="53229" ht="12" customHeight="1"/>
    <row r="53230" ht="12" customHeight="1"/>
    <row r="53231" ht="12" customHeight="1"/>
    <row r="53232" ht="12" customHeight="1"/>
    <row r="53233" ht="12" customHeight="1"/>
    <row r="53234" ht="12" customHeight="1"/>
    <row r="53235" ht="12" customHeight="1"/>
    <row r="53236" ht="12" customHeight="1"/>
    <row r="53237" ht="12" customHeight="1"/>
    <row r="53238" ht="12" customHeight="1"/>
    <row r="53239" ht="12" customHeight="1"/>
    <row r="53240" ht="12" customHeight="1"/>
    <row r="53241" ht="12" customHeight="1"/>
    <row r="53242" ht="12" customHeight="1"/>
    <row r="53243" ht="12" customHeight="1"/>
    <row r="53244" ht="12" customHeight="1"/>
    <row r="53245" ht="12" customHeight="1"/>
    <row r="53246" ht="12" customHeight="1"/>
    <row r="53247" ht="12" customHeight="1"/>
    <row r="53248" ht="12" customHeight="1"/>
    <row r="53249" ht="12" customHeight="1"/>
    <row r="53250" ht="12" customHeight="1"/>
    <row r="53251" ht="12" customHeight="1"/>
    <row r="53252" ht="12" customHeight="1"/>
    <row r="53253" ht="12" customHeight="1"/>
    <row r="53254" ht="12" customHeight="1"/>
    <row r="53255" ht="12" customHeight="1"/>
    <row r="53256" ht="12" customHeight="1"/>
    <row r="53257" ht="12" customHeight="1"/>
    <row r="53258" ht="12" customHeight="1"/>
    <row r="53259" ht="12" customHeight="1"/>
    <row r="53260" ht="12" customHeight="1"/>
    <row r="53261" ht="12" customHeight="1"/>
    <row r="53262" ht="12" customHeight="1"/>
    <row r="53263" ht="12" customHeight="1"/>
    <row r="53264" ht="12" customHeight="1"/>
    <row r="53265" ht="12" customHeight="1"/>
    <row r="53266" ht="12" customHeight="1"/>
    <row r="53267" ht="12" customHeight="1"/>
    <row r="53268" ht="12" customHeight="1"/>
    <row r="53269" ht="12" customHeight="1"/>
    <row r="53270" ht="12" customHeight="1"/>
    <row r="53271" ht="12" customHeight="1"/>
    <row r="53272" ht="12" customHeight="1"/>
    <row r="53273" ht="12" customHeight="1"/>
    <row r="53274" ht="12" customHeight="1"/>
    <row r="53275" ht="12" customHeight="1"/>
    <row r="53276" ht="12" customHeight="1"/>
    <row r="53277" ht="12" customHeight="1"/>
    <row r="53278" ht="12" customHeight="1"/>
    <row r="53279" ht="12" customHeight="1"/>
    <row r="53280" ht="12" customHeight="1"/>
    <row r="53281" ht="12" customHeight="1"/>
    <row r="53282" ht="12" customHeight="1"/>
    <row r="53283" ht="12" customHeight="1"/>
    <row r="53284" ht="12" customHeight="1"/>
    <row r="53285" ht="12" customHeight="1"/>
    <row r="53286" ht="12" customHeight="1"/>
    <row r="53287" ht="12" customHeight="1"/>
    <row r="53288" ht="12" customHeight="1"/>
    <row r="53289" ht="12" customHeight="1"/>
    <row r="53290" ht="12" customHeight="1"/>
    <row r="53291" ht="12" customHeight="1"/>
    <row r="53292" ht="12" customHeight="1"/>
    <row r="53293" ht="12" customHeight="1"/>
    <row r="53294" ht="12" customHeight="1"/>
    <row r="53295" ht="12" customHeight="1"/>
    <row r="53296" ht="12" customHeight="1"/>
    <row r="53297" ht="12" customHeight="1"/>
    <row r="53298" ht="12" customHeight="1"/>
    <row r="53299" ht="12" customHeight="1"/>
    <row r="53300" ht="12" customHeight="1"/>
    <row r="53301" ht="12" customHeight="1"/>
    <row r="53302" ht="12" customHeight="1"/>
    <row r="53303" ht="12" customHeight="1"/>
    <row r="53304" ht="12" customHeight="1"/>
    <row r="53305" ht="12" customHeight="1"/>
    <row r="53306" ht="12" customHeight="1"/>
    <row r="53307" ht="12" customHeight="1"/>
    <row r="53308" ht="12" customHeight="1"/>
    <row r="53309" ht="12" customHeight="1"/>
    <row r="53310" ht="12" customHeight="1"/>
    <row r="53311" ht="12" customHeight="1"/>
    <row r="53312" ht="12" customHeight="1"/>
    <row r="53313" ht="12" customHeight="1"/>
    <row r="53314" ht="12" customHeight="1"/>
    <row r="53315" ht="12" customHeight="1"/>
    <row r="53316" ht="12" customHeight="1"/>
    <row r="53317" ht="12" customHeight="1"/>
    <row r="53318" ht="12" customHeight="1"/>
    <row r="53319" ht="12" customHeight="1"/>
    <row r="53320" ht="12" customHeight="1"/>
    <row r="53321" ht="12" customHeight="1"/>
    <row r="53322" ht="12" customHeight="1"/>
    <row r="53323" ht="12" customHeight="1"/>
    <row r="53324" ht="12" customHeight="1"/>
    <row r="53325" ht="12" customHeight="1"/>
    <row r="53326" ht="12" customHeight="1"/>
    <row r="53327" ht="12" customHeight="1"/>
    <row r="53328" ht="12" customHeight="1"/>
    <row r="53329" ht="12" customHeight="1"/>
    <row r="53330" ht="12" customHeight="1"/>
    <row r="53331" ht="12" customHeight="1"/>
    <row r="53332" ht="12" customHeight="1"/>
    <row r="53333" ht="12" customHeight="1"/>
    <row r="53334" ht="12" customHeight="1"/>
    <row r="53335" ht="12" customHeight="1"/>
    <row r="53336" ht="12" customHeight="1"/>
    <row r="53337" ht="12" customHeight="1"/>
    <row r="53338" ht="12" customHeight="1"/>
    <row r="53339" ht="12" customHeight="1"/>
    <row r="53340" ht="12" customHeight="1"/>
    <row r="53341" ht="12" customHeight="1"/>
    <row r="53342" ht="12" customHeight="1"/>
    <row r="53343" ht="12" customHeight="1"/>
    <row r="53344" ht="12" customHeight="1"/>
    <row r="53345" ht="12" customHeight="1"/>
    <row r="53346" ht="12" customHeight="1"/>
    <row r="53347" ht="12" customHeight="1"/>
    <row r="53348" ht="12" customHeight="1"/>
    <row r="53349" ht="12" customHeight="1"/>
    <row r="53350" ht="12" customHeight="1"/>
    <row r="53351" ht="12" customHeight="1"/>
    <row r="53352" ht="12" customHeight="1"/>
    <row r="53353" ht="12" customHeight="1"/>
    <row r="53354" ht="12" customHeight="1"/>
    <row r="53355" ht="12" customHeight="1"/>
    <row r="53356" ht="12" customHeight="1"/>
    <row r="53357" ht="12" customHeight="1"/>
    <row r="53358" ht="12" customHeight="1"/>
    <row r="53359" ht="12" customHeight="1"/>
    <row r="53360" ht="12" customHeight="1"/>
    <row r="53361" ht="12" customHeight="1"/>
    <row r="53362" ht="12" customHeight="1"/>
    <row r="53363" ht="12" customHeight="1"/>
    <row r="53364" ht="12" customHeight="1"/>
    <row r="53365" ht="12" customHeight="1"/>
    <row r="53366" ht="12" customHeight="1"/>
    <row r="53367" ht="12" customHeight="1"/>
    <row r="53368" ht="12" customHeight="1"/>
    <row r="53369" ht="12" customHeight="1"/>
    <row r="53370" ht="12" customHeight="1"/>
    <row r="53371" ht="12" customHeight="1"/>
    <row r="53372" ht="12" customHeight="1"/>
    <row r="53373" ht="12" customHeight="1"/>
    <row r="53374" ht="12" customHeight="1"/>
    <row r="53375" ht="12" customHeight="1"/>
    <row r="53376" ht="12" customHeight="1"/>
    <row r="53377" ht="12" customHeight="1"/>
    <row r="53378" ht="12" customHeight="1"/>
    <row r="53379" ht="12" customHeight="1"/>
    <row r="53380" ht="12" customHeight="1"/>
    <row r="53381" ht="12" customHeight="1"/>
    <row r="53382" ht="12" customHeight="1"/>
    <row r="53383" ht="12" customHeight="1"/>
    <row r="53384" ht="12" customHeight="1"/>
    <row r="53385" ht="12" customHeight="1"/>
    <row r="53386" ht="12" customHeight="1"/>
    <row r="53387" ht="12" customHeight="1"/>
    <row r="53388" ht="12" customHeight="1"/>
    <row r="53389" ht="12" customHeight="1"/>
    <row r="53390" ht="12" customHeight="1"/>
    <row r="53391" ht="12" customHeight="1"/>
    <row r="53392" ht="12" customHeight="1"/>
    <row r="53393" ht="12" customHeight="1"/>
    <row r="53394" ht="12" customHeight="1"/>
    <row r="53395" ht="12" customHeight="1"/>
    <row r="53396" ht="12" customHeight="1"/>
    <row r="53397" ht="12" customHeight="1"/>
    <row r="53398" ht="12" customHeight="1"/>
    <row r="53399" ht="12" customHeight="1"/>
    <row r="53400" ht="12" customHeight="1"/>
    <row r="53401" ht="12" customHeight="1"/>
    <row r="53402" ht="12" customHeight="1"/>
    <row r="53403" ht="12" customHeight="1"/>
    <row r="53404" ht="12" customHeight="1"/>
    <row r="53405" ht="12" customHeight="1"/>
    <row r="53406" ht="12" customHeight="1"/>
    <row r="53407" ht="12" customHeight="1"/>
    <row r="53408" ht="12" customHeight="1"/>
    <row r="53409" ht="12" customHeight="1"/>
    <row r="53410" ht="12" customHeight="1"/>
    <row r="53411" ht="12" customHeight="1"/>
    <row r="53412" ht="12" customHeight="1"/>
    <row r="53413" ht="12" customHeight="1"/>
    <row r="53414" ht="12" customHeight="1"/>
    <row r="53415" ht="12" customHeight="1"/>
    <row r="53416" ht="12" customHeight="1"/>
    <row r="53417" ht="12" customHeight="1"/>
    <row r="53418" ht="12" customHeight="1"/>
    <row r="53419" ht="12" customHeight="1"/>
    <row r="53420" ht="12" customHeight="1"/>
    <row r="53421" ht="12" customHeight="1"/>
    <row r="53422" ht="12" customHeight="1"/>
    <row r="53423" ht="12" customHeight="1"/>
    <row r="53424" ht="12" customHeight="1"/>
    <row r="53425" ht="12" customHeight="1"/>
    <row r="53426" ht="12" customHeight="1"/>
    <row r="53427" ht="12" customHeight="1"/>
    <row r="53428" ht="12" customHeight="1"/>
    <row r="53429" ht="12" customHeight="1"/>
    <row r="53430" ht="12" customHeight="1"/>
    <row r="53431" ht="12" customHeight="1"/>
    <row r="53432" ht="12" customHeight="1"/>
    <row r="53433" ht="12" customHeight="1"/>
    <row r="53434" ht="12" customHeight="1"/>
    <row r="53435" ht="12" customHeight="1"/>
    <row r="53436" ht="12" customHeight="1"/>
    <row r="53437" ht="12" customHeight="1"/>
    <row r="53438" ht="12" customHeight="1"/>
    <row r="53439" ht="12" customHeight="1"/>
    <row r="53440" ht="12" customHeight="1"/>
    <row r="53441" ht="12" customHeight="1"/>
    <row r="53442" ht="12" customHeight="1"/>
    <row r="53443" ht="12" customHeight="1"/>
    <row r="53444" ht="12" customHeight="1"/>
    <row r="53445" ht="12" customHeight="1"/>
    <row r="53446" ht="12" customHeight="1"/>
    <row r="53447" ht="12" customHeight="1"/>
    <row r="53448" ht="12" customHeight="1"/>
    <row r="53449" ht="12" customHeight="1"/>
    <row r="53450" ht="12" customHeight="1"/>
    <row r="53451" ht="12" customHeight="1"/>
    <row r="53452" ht="12" customHeight="1"/>
    <row r="53453" ht="12" customHeight="1"/>
    <row r="53454" ht="12" customHeight="1"/>
    <row r="53455" ht="12" customHeight="1"/>
    <row r="53456" ht="12" customHeight="1"/>
    <row r="53457" ht="12" customHeight="1"/>
    <row r="53458" ht="12" customHeight="1"/>
    <row r="53459" ht="12" customHeight="1"/>
    <row r="53460" ht="12" customHeight="1"/>
    <row r="53461" ht="12" customHeight="1"/>
    <row r="53462" ht="12" customHeight="1"/>
    <row r="53463" ht="12" customHeight="1"/>
    <row r="53464" ht="12" customHeight="1"/>
    <row r="53465" ht="12" customHeight="1"/>
    <row r="53466" ht="12" customHeight="1"/>
    <row r="53467" ht="12" customHeight="1"/>
    <row r="53468" ht="12" customHeight="1"/>
    <row r="53469" ht="12" customHeight="1"/>
    <row r="53470" ht="12" customHeight="1"/>
    <row r="53471" ht="12" customHeight="1"/>
    <row r="53472" ht="12" customHeight="1"/>
    <row r="53473" ht="12" customHeight="1"/>
    <row r="53474" ht="12" customHeight="1"/>
    <row r="53475" ht="12" customHeight="1"/>
    <row r="53476" ht="12" customHeight="1"/>
    <row r="53477" ht="12" customHeight="1"/>
    <row r="53478" ht="12" customHeight="1"/>
    <row r="53479" ht="12" customHeight="1"/>
    <row r="53480" ht="12" customHeight="1"/>
    <row r="53481" ht="12" customHeight="1"/>
    <row r="53482" ht="12" customHeight="1"/>
    <row r="53483" ht="12" customHeight="1"/>
    <row r="53484" ht="12" customHeight="1"/>
    <row r="53485" ht="12" customHeight="1"/>
    <row r="53486" ht="12" customHeight="1"/>
    <row r="53487" ht="12" customHeight="1"/>
    <row r="53488" ht="12" customHeight="1"/>
    <row r="53489" ht="12" customHeight="1"/>
    <row r="53490" ht="12" customHeight="1"/>
    <row r="53491" ht="12" customHeight="1"/>
    <row r="53492" ht="12" customHeight="1"/>
    <row r="53493" ht="12" customHeight="1"/>
    <row r="53494" ht="12" customHeight="1"/>
    <row r="53495" ht="12" customHeight="1"/>
    <row r="53496" ht="12" customHeight="1"/>
    <row r="53497" ht="12" customHeight="1"/>
    <row r="53498" ht="12" customHeight="1"/>
    <row r="53499" ht="12" customHeight="1"/>
    <row r="53500" ht="12" customHeight="1"/>
    <row r="53501" ht="12" customHeight="1"/>
    <row r="53502" ht="12" customHeight="1"/>
    <row r="53503" ht="12" customHeight="1"/>
    <row r="53504" ht="12" customHeight="1"/>
    <row r="53505" ht="12" customHeight="1"/>
    <row r="53506" ht="12" customHeight="1"/>
    <row r="53507" ht="12" customHeight="1"/>
    <row r="53508" ht="12" customHeight="1"/>
    <row r="53509" ht="12" customHeight="1"/>
    <row r="53510" ht="12" customHeight="1"/>
    <row r="53511" ht="12" customHeight="1"/>
    <row r="53512" ht="12" customHeight="1"/>
    <row r="53513" ht="12" customHeight="1"/>
    <row r="53514" ht="12" customHeight="1"/>
    <row r="53515" ht="12" customHeight="1"/>
    <row r="53516" ht="12" customHeight="1"/>
    <row r="53517" ht="12" customHeight="1"/>
    <row r="53518" ht="12" customHeight="1"/>
    <row r="53519" ht="12" customHeight="1"/>
    <row r="53520" ht="12" customHeight="1"/>
    <row r="53521" ht="12" customHeight="1"/>
    <row r="53522" ht="12" customHeight="1"/>
    <row r="53523" ht="12" customHeight="1"/>
    <row r="53524" ht="12" customHeight="1"/>
    <row r="53525" ht="12" customHeight="1"/>
    <row r="53526" ht="12" customHeight="1"/>
    <row r="53527" ht="12" customHeight="1"/>
    <row r="53528" ht="12" customHeight="1"/>
    <row r="53529" ht="12" customHeight="1"/>
    <row r="53530" ht="12" customHeight="1"/>
    <row r="53531" ht="12" customHeight="1"/>
    <row r="53532" ht="12" customHeight="1"/>
    <row r="53533" ht="12" customHeight="1"/>
    <row r="53534" ht="12" customHeight="1"/>
    <row r="53535" ht="12" customHeight="1"/>
    <row r="53536" ht="12" customHeight="1"/>
    <row r="53537" ht="12" customHeight="1"/>
    <row r="53538" ht="12" customHeight="1"/>
    <row r="53539" ht="12" customHeight="1"/>
    <row r="53540" ht="12" customHeight="1"/>
    <row r="53541" ht="12" customHeight="1"/>
    <row r="53542" ht="12" customHeight="1"/>
    <row r="53543" ht="12" customHeight="1"/>
    <row r="53544" ht="12" customHeight="1"/>
    <row r="53545" ht="12" customHeight="1"/>
    <row r="53546" ht="12" customHeight="1"/>
    <row r="53547" ht="12" customHeight="1"/>
    <row r="53548" ht="12" customHeight="1"/>
    <row r="53549" ht="12" customHeight="1"/>
    <row r="53550" ht="12" customHeight="1"/>
    <row r="53551" ht="12" customHeight="1"/>
    <row r="53552" ht="12" customHeight="1"/>
    <row r="53553" ht="12" customHeight="1"/>
    <row r="53554" ht="12" customHeight="1"/>
    <row r="53555" ht="12" customHeight="1"/>
    <row r="53556" ht="12" customHeight="1"/>
    <row r="53557" ht="12" customHeight="1"/>
    <row r="53558" ht="12" customHeight="1"/>
    <row r="53559" ht="12" customHeight="1"/>
    <row r="53560" ht="12" customHeight="1"/>
    <row r="53561" ht="12" customHeight="1"/>
    <row r="53562" ht="12" customHeight="1"/>
    <row r="53563" ht="12" customHeight="1"/>
    <row r="53564" ht="12" customHeight="1"/>
    <row r="53565" ht="12" customHeight="1"/>
    <row r="53566" ht="12" customHeight="1"/>
    <row r="53567" ht="12" customHeight="1"/>
    <row r="53568" ht="12" customHeight="1"/>
    <row r="53569" ht="12" customHeight="1"/>
    <row r="53570" ht="12" customHeight="1"/>
    <row r="53571" ht="12" customHeight="1"/>
    <row r="53572" ht="12" customHeight="1"/>
    <row r="53573" ht="12" customHeight="1"/>
    <row r="53574" ht="12" customHeight="1"/>
    <row r="53575" ht="12" customHeight="1"/>
    <row r="53576" ht="12" customHeight="1"/>
    <row r="53577" ht="12" customHeight="1"/>
    <row r="53578" ht="12" customHeight="1"/>
    <row r="53579" ht="12" customHeight="1"/>
    <row r="53580" ht="12" customHeight="1"/>
    <row r="53581" ht="12" customHeight="1"/>
    <row r="53582" ht="12" customHeight="1"/>
    <row r="53583" ht="12" customHeight="1"/>
    <row r="53584" ht="12" customHeight="1"/>
    <row r="53585" ht="12" customHeight="1"/>
    <row r="53586" ht="12" customHeight="1"/>
    <row r="53587" ht="12" customHeight="1"/>
    <row r="53588" ht="12" customHeight="1"/>
    <row r="53589" ht="12" customHeight="1"/>
    <row r="53590" ht="12" customHeight="1"/>
    <row r="53591" ht="12" customHeight="1"/>
    <row r="53592" ht="12" customHeight="1"/>
    <row r="53593" ht="12" customHeight="1"/>
    <row r="53594" ht="12" customHeight="1"/>
    <row r="53595" ht="12" customHeight="1"/>
    <row r="53596" ht="12" customHeight="1"/>
    <row r="53597" ht="12" customHeight="1"/>
    <row r="53598" ht="12" customHeight="1"/>
    <row r="53599" ht="12" customHeight="1"/>
    <row r="53600" ht="12" customHeight="1"/>
    <row r="53601" ht="12" customHeight="1"/>
    <row r="53602" ht="12" customHeight="1"/>
    <row r="53603" ht="12" customHeight="1"/>
    <row r="53604" ht="12" customHeight="1"/>
    <row r="53605" ht="12" customHeight="1"/>
    <row r="53606" ht="12" customHeight="1"/>
    <row r="53607" ht="12" customHeight="1"/>
    <row r="53608" ht="12" customHeight="1"/>
    <row r="53609" ht="12" customHeight="1"/>
    <row r="53610" ht="12" customHeight="1"/>
    <row r="53611" ht="12" customHeight="1"/>
    <row r="53612" ht="12" customHeight="1"/>
    <row r="53613" ht="12" customHeight="1"/>
    <row r="53614" ht="12" customHeight="1"/>
    <row r="53615" ht="12" customHeight="1"/>
    <row r="53616" ht="12" customHeight="1"/>
    <row r="53617" ht="12" customHeight="1"/>
    <row r="53618" ht="12" customHeight="1"/>
    <row r="53619" ht="12" customHeight="1"/>
    <row r="53620" ht="12" customHeight="1"/>
    <row r="53621" ht="12" customHeight="1"/>
    <row r="53622" ht="12" customHeight="1"/>
    <row r="53623" ht="12" customHeight="1"/>
    <row r="53624" ht="12" customHeight="1"/>
    <row r="53625" ht="12" customHeight="1"/>
    <row r="53626" ht="12" customHeight="1"/>
    <row r="53627" ht="12" customHeight="1"/>
    <row r="53628" ht="12" customHeight="1"/>
    <row r="53629" ht="12" customHeight="1"/>
    <row r="53630" ht="12" customHeight="1"/>
    <row r="53631" ht="12" customHeight="1"/>
    <row r="53632" ht="12" customHeight="1"/>
    <row r="53633" ht="12" customHeight="1"/>
    <row r="53634" ht="12" customHeight="1"/>
    <row r="53635" ht="12" customHeight="1"/>
    <row r="53636" ht="12" customHeight="1"/>
    <row r="53637" ht="12" customHeight="1"/>
    <row r="53638" ht="12" customHeight="1"/>
    <row r="53639" ht="12" customHeight="1"/>
    <row r="53640" ht="12" customHeight="1"/>
    <row r="53641" ht="12" customHeight="1"/>
    <row r="53642" ht="12" customHeight="1"/>
    <row r="53643" ht="12" customHeight="1"/>
    <row r="53644" ht="12" customHeight="1"/>
    <row r="53645" ht="12" customHeight="1"/>
    <row r="53646" ht="12" customHeight="1"/>
    <row r="53647" ht="12" customHeight="1"/>
    <row r="53648" ht="12" customHeight="1"/>
    <row r="53649" ht="12" customHeight="1"/>
    <row r="53650" ht="12" customHeight="1"/>
    <row r="53651" ht="12" customHeight="1"/>
    <row r="53652" ht="12" customHeight="1"/>
    <row r="53653" ht="12" customHeight="1"/>
    <row r="53654" ht="12" customHeight="1"/>
    <row r="53655" ht="12" customHeight="1"/>
    <row r="53656" ht="12" customHeight="1"/>
    <row r="53657" ht="12" customHeight="1"/>
    <row r="53658" ht="12" customHeight="1"/>
    <row r="53659" ht="12" customHeight="1"/>
    <row r="53660" ht="12" customHeight="1"/>
    <row r="53661" ht="12" customHeight="1"/>
    <row r="53662" ht="12" customHeight="1"/>
    <row r="53663" ht="12" customHeight="1"/>
    <row r="53664" ht="12" customHeight="1"/>
    <row r="53665" ht="12" customHeight="1"/>
    <row r="53666" ht="12" customHeight="1"/>
    <row r="53667" ht="12" customHeight="1"/>
    <row r="53668" ht="12" customHeight="1"/>
    <row r="53669" ht="12" customHeight="1"/>
    <row r="53670" ht="12" customHeight="1"/>
    <row r="53671" ht="12" customHeight="1"/>
    <row r="53672" ht="12" customHeight="1"/>
    <row r="53673" ht="12" customHeight="1"/>
    <row r="53674" ht="12" customHeight="1"/>
    <row r="53675" ht="12" customHeight="1"/>
    <row r="53676" ht="12" customHeight="1"/>
    <row r="53677" ht="12" customHeight="1"/>
    <row r="53678" ht="12" customHeight="1"/>
    <row r="53679" ht="12" customHeight="1"/>
    <row r="53680" ht="12" customHeight="1"/>
    <row r="53681" ht="12" customHeight="1"/>
    <row r="53682" ht="12" customHeight="1"/>
    <row r="53683" ht="12" customHeight="1"/>
    <row r="53684" ht="12" customHeight="1"/>
    <row r="53685" ht="12" customHeight="1"/>
    <row r="53686" ht="12" customHeight="1"/>
    <row r="53687" ht="12" customHeight="1"/>
    <row r="53688" ht="12" customHeight="1"/>
    <row r="53689" ht="12" customHeight="1"/>
    <row r="53690" ht="12" customHeight="1"/>
    <row r="53691" ht="12" customHeight="1"/>
    <row r="53692" ht="12" customHeight="1"/>
    <row r="53693" ht="12" customHeight="1"/>
    <row r="53694" ht="12" customHeight="1"/>
    <row r="53695" ht="12" customHeight="1"/>
    <row r="53696" ht="12" customHeight="1"/>
    <row r="53697" ht="12" customHeight="1"/>
    <row r="53698" ht="12" customHeight="1"/>
    <row r="53699" ht="12" customHeight="1"/>
    <row r="53700" ht="12" customHeight="1"/>
    <row r="53701" ht="12" customHeight="1"/>
    <row r="53702" ht="12" customHeight="1"/>
    <row r="53703" ht="12" customHeight="1"/>
    <row r="53704" ht="12" customHeight="1"/>
    <row r="53705" ht="12" customHeight="1"/>
    <row r="53706" ht="12" customHeight="1"/>
    <row r="53707" ht="12" customHeight="1"/>
    <row r="53708" ht="12" customHeight="1"/>
    <row r="53709" ht="12" customHeight="1"/>
    <row r="53710" ht="12" customHeight="1"/>
    <row r="53711" ht="12" customHeight="1"/>
    <row r="53712" ht="12" customHeight="1"/>
    <row r="53713" ht="12" customHeight="1"/>
    <row r="53714" ht="12" customHeight="1"/>
    <row r="53715" ht="12" customHeight="1"/>
    <row r="53716" ht="12" customHeight="1"/>
    <row r="53717" ht="12" customHeight="1"/>
    <row r="53718" ht="12" customHeight="1"/>
    <row r="53719" ht="12" customHeight="1"/>
    <row r="53720" ht="12" customHeight="1"/>
    <row r="53721" ht="12" customHeight="1"/>
    <row r="53722" ht="12" customHeight="1"/>
    <row r="53723" ht="12" customHeight="1"/>
    <row r="53724" ht="12" customHeight="1"/>
    <row r="53725" ht="12" customHeight="1"/>
    <row r="53726" ht="12" customHeight="1"/>
    <row r="53727" ht="12" customHeight="1"/>
    <row r="53728" ht="12" customHeight="1"/>
    <row r="53729" ht="12" customHeight="1"/>
    <row r="53730" ht="12" customHeight="1"/>
    <row r="53731" ht="12" customHeight="1"/>
    <row r="53732" ht="12" customHeight="1"/>
    <row r="53733" ht="12" customHeight="1"/>
    <row r="53734" ht="12" customHeight="1"/>
    <row r="53735" ht="12" customHeight="1"/>
    <row r="53736" ht="12" customHeight="1"/>
    <row r="53737" ht="12" customHeight="1"/>
    <row r="53738" ht="12" customHeight="1"/>
    <row r="53739" ht="12" customHeight="1"/>
    <row r="53740" ht="12" customHeight="1"/>
    <row r="53741" ht="12" customHeight="1"/>
    <row r="53742" ht="12" customHeight="1"/>
    <row r="53743" ht="12" customHeight="1"/>
    <row r="53744" ht="12" customHeight="1"/>
    <row r="53745" ht="12" customHeight="1"/>
    <row r="53746" ht="12" customHeight="1"/>
    <row r="53747" ht="12" customHeight="1"/>
    <row r="53748" ht="12" customHeight="1"/>
    <row r="53749" ht="12" customHeight="1"/>
    <row r="53750" ht="12" customHeight="1"/>
    <row r="53751" ht="12" customHeight="1"/>
    <row r="53752" ht="12" customHeight="1"/>
    <row r="53753" ht="12" customHeight="1"/>
    <row r="53754" ht="12" customHeight="1"/>
    <row r="53755" ht="12" customHeight="1"/>
    <row r="53756" ht="12" customHeight="1"/>
    <row r="53757" ht="12" customHeight="1"/>
    <row r="53758" ht="12" customHeight="1"/>
    <row r="53759" ht="12" customHeight="1"/>
    <row r="53760" ht="12" customHeight="1"/>
    <row r="53761" ht="12" customHeight="1"/>
    <row r="53762" ht="12" customHeight="1"/>
    <row r="53763" ht="12" customHeight="1"/>
    <row r="53764" ht="12" customHeight="1"/>
    <row r="53765" ht="12" customHeight="1"/>
    <row r="53766" ht="12" customHeight="1"/>
    <row r="53767" ht="12" customHeight="1"/>
    <row r="53768" ht="12" customHeight="1"/>
    <row r="53769" ht="12" customHeight="1"/>
    <row r="53770" ht="12" customHeight="1"/>
    <row r="53771" ht="12" customHeight="1"/>
    <row r="53772" ht="12" customHeight="1"/>
    <row r="53773" ht="12" customHeight="1"/>
    <row r="53774" ht="12" customHeight="1"/>
    <row r="53775" ht="12" customHeight="1"/>
    <row r="53776" ht="12" customHeight="1"/>
    <row r="53777" ht="12" customHeight="1"/>
    <row r="53778" ht="12" customHeight="1"/>
    <row r="53779" ht="12" customHeight="1"/>
    <row r="53780" ht="12" customHeight="1"/>
    <row r="53781" ht="12" customHeight="1"/>
    <row r="53782" ht="12" customHeight="1"/>
    <row r="53783" ht="12" customHeight="1"/>
    <row r="53784" ht="12" customHeight="1"/>
    <row r="53785" ht="12" customHeight="1"/>
    <row r="53786" ht="12" customHeight="1"/>
    <row r="53787" ht="12" customHeight="1"/>
    <row r="53788" ht="12" customHeight="1"/>
    <row r="53789" ht="12" customHeight="1"/>
    <row r="53790" ht="12" customHeight="1"/>
    <row r="53791" ht="12" customHeight="1"/>
    <row r="53792" ht="12" customHeight="1"/>
    <row r="53793" ht="12" customHeight="1"/>
    <row r="53794" ht="12" customHeight="1"/>
    <row r="53795" ht="12" customHeight="1"/>
    <row r="53796" ht="12" customHeight="1"/>
    <row r="53797" ht="12" customHeight="1"/>
    <row r="53798" ht="12" customHeight="1"/>
    <row r="53799" ht="12" customHeight="1"/>
    <row r="53800" ht="12" customHeight="1"/>
    <row r="53801" ht="12" customHeight="1"/>
    <row r="53802" ht="12" customHeight="1"/>
    <row r="53803" ht="12" customHeight="1"/>
    <row r="53804" ht="12" customHeight="1"/>
    <row r="53805" ht="12" customHeight="1"/>
    <row r="53806" ht="12" customHeight="1"/>
    <row r="53807" ht="12" customHeight="1"/>
    <row r="53808" ht="12" customHeight="1"/>
    <row r="53809" ht="12" customHeight="1"/>
    <row r="53810" ht="12" customHeight="1"/>
    <row r="53811" ht="12" customHeight="1"/>
    <row r="53812" ht="12" customHeight="1"/>
    <row r="53813" ht="12" customHeight="1"/>
    <row r="53814" ht="12" customHeight="1"/>
    <row r="53815" ht="12" customHeight="1"/>
    <row r="53816" ht="12" customHeight="1"/>
    <row r="53817" ht="12" customHeight="1"/>
    <row r="53818" ht="12" customHeight="1"/>
    <row r="53819" ht="12" customHeight="1"/>
    <row r="53820" ht="12" customHeight="1"/>
    <row r="53821" ht="12" customHeight="1"/>
    <row r="53822" ht="12" customHeight="1"/>
    <row r="53823" ht="12" customHeight="1"/>
    <row r="53824" ht="12" customHeight="1"/>
    <row r="53825" ht="12" customHeight="1"/>
    <row r="53826" ht="12" customHeight="1"/>
    <row r="53827" ht="12" customHeight="1"/>
    <row r="53828" ht="12" customHeight="1"/>
    <row r="53829" ht="12" customHeight="1"/>
    <row r="53830" ht="12" customHeight="1"/>
    <row r="53831" ht="12" customHeight="1"/>
    <row r="53832" ht="12" customHeight="1"/>
    <row r="53833" ht="12" customHeight="1"/>
    <row r="53834" ht="12" customHeight="1"/>
    <row r="53835" ht="12" customHeight="1"/>
    <row r="53836" ht="12" customHeight="1"/>
    <row r="53837" ht="12" customHeight="1"/>
    <row r="53838" ht="12" customHeight="1"/>
    <row r="53839" ht="12" customHeight="1"/>
    <row r="53840" ht="12" customHeight="1"/>
    <row r="53841" ht="12" customHeight="1"/>
    <row r="53842" ht="12" customHeight="1"/>
    <row r="53843" ht="12" customHeight="1"/>
    <row r="53844" ht="12" customHeight="1"/>
    <row r="53845" ht="12" customHeight="1"/>
    <row r="53846" ht="12" customHeight="1"/>
    <row r="53847" ht="12" customHeight="1"/>
    <row r="53848" ht="12" customHeight="1"/>
    <row r="53849" ht="12" customHeight="1"/>
    <row r="53850" ht="12" customHeight="1"/>
    <row r="53851" ht="12" customHeight="1"/>
    <row r="53852" ht="12" customHeight="1"/>
    <row r="53853" ht="12" customHeight="1"/>
    <row r="53854" ht="12" customHeight="1"/>
    <row r="53855" ht="12" customHeight="1"/>
    <row r="53856" ht="12" customHeight="1"/>
    <row r="53857" ht="12" customHeight="1"/>
    <row r="53858" ht="12" customHeight="1"/>
    <row r="53859" ht="12" customHeight="1"/>
    <row r="53860" ht="12" customHeight="1"/>
    <row r="53861" ht="12" customHeight="1"/>
    <row r="53862" ht="12" customHeight="1"/>
    <row r="53863" ht="12" customHeight="1"/>
    <row r="53864" ht="12" customHeight="1"/>
    <row r="53865" ht="12" customHeight="1"/>
    <row r="53866" ht="12" customHeight="1"/>
    <row r="53867" ht="12" customHeight="1"/>
    <row r="53868" ht="12" customHeight="1"/>
    <row r="53869" ht="12" customHeight="1"/>
    <row r="53870" ht="12" customHeight="1"/>
    <row r="53871" ht="12" customHeight="1"/>
    <row r="53872" ht="12" customHeight="1"/>
    <row r="53873" ht="12" customHeight="1"/>
    <row r="53874" ht="12" customHeight="1"/>
    <row r="53875" ht="12" customHeight="1"/>
    <row r="53876" ht="12" customHeight="1"/>
    <row r="53877" ht="12" customHeight="1"/>
    <row r="53878" ht="12" customHeight="1"/>
    <row r="53879" ht="12" customHeight="1"/>
    <row r="53880" ht="12" customHeight="1"/>
    <row r="53881" ht="12" customHeight="1"/>
    <row r="53882" ht="12" customHeight="1"/>
    <row r="53883" ht="12" customHeight="1"/>
    <row r="53884" ht="12" customHeight="1"/>
    <row r="53885" ht="12" customHeight="1"/>
    <row r="53886" ht="12" customHeight="1"/>
    <row r="53887" ht="12" customHeight="1"/>
    <row r="53888" ht="12" customHeight="1"/>
    <row r="53889" ht="12" customHeight="1"/>
    <row r="53890" ht="12" customHeight="1"/>
    <row r="53891" ht="12" customHeight="1"/>
    <row r="53892" ht="12" customHeight="1"/>
    <row r="53893" ht="12" customHeight="1"/>
    <row r="53894" ht="12" customHeight="1"/>
    <row r="53895" ht="12" customHeight="1"/>
    <row r="53896" ht="12" customHeight="1"/>
    <row r="53897" ht="12" customHeight="1"/>
    <row r="53898" ht="12" customHeight="1"/>
    <row r="53899" ht="12" customHeight="1"/>
    <row r="53900" ht="12" customHeight="1"/>
    <row r="53901" ht="12" customHeight="1"/>
    <row r="53902" ht="12" customHeight="1"/>
    <row r="53903" ht="12" customHeight="1"/>
    <row r="53904" ht="12" customHeight="1"/>
    <row r="53905" ht="12" customHeight="1"/>
    <row r="53906" ht="12" customHeight="1"/>
    <row r="53907" ht="12" customHeight="1"/>
    <row r="53908" ht="12" customHeight="1"/>
    <row r="53909" ht="12" customHeight="1"/>
    <row r="53910" ht="12" customHeight="1"/>
    <row r="53911" ht="12" customHeight="1"/>
    <row r="53912" ht="12" customHeight="1"/>
    <row r="53913" ht="12" customHeight="1"/>
    <row r="53914" ht="12" customHeight="1"/>
    <row r="53915" ht="12" customHeight="1"/>
    <row r="53916" ht="12" customHeight="1"/>
    <row r="53917" ht="12" customHeight="1"/>
    <row r="53918" ht="12" customHeight="1"/>
    <row r="53919" ht="12" customHeight="1"/>
    <row r="53920" ht="12" customHeight="1"/>
    <row r="53921" ht="12" customHeight="1"/>
    <row r="53922" ht="12" customHeight="1"/>
    <row r="53923" ht="12" customHeight="1"/>
    <row r="53924" ht="12" customHeight="1"/>
    <row r="53925" ht="12" customHeight="1"/>
    <row r="53926" ht="12" customHeight="1"/>
    <row r="53927" ht="12" customHeight="1"/>
    <row r="53928" ht="12" customHeight="1"/>
    <row r="53929" ht="12" customHeight="1"/>
    <row r="53930" ht="12" customHeight="1"/>
    <row r="53931" ht="12" customHeight="1"/>
    <row r="53932" ht="12" customHeight="1"/>
    <row r="53933" ht="12" customHeight="1"/>
    <row r="53934" ht="12" customHeight="1"/>
    <row r="53935" ht="12" customHeight="1"/>
    <row r="53936" ht="12" customHeight="1"/>
    <row r="53937" ht="12" customHeight="1"/>
    <row r="53938" ht="12" customHeight="1"/>
    <row r="53939" ht="12" customHeight="1"/>
    <row r="53940" ht="12" customHeight="1"/>
    <row r="53941" ht="12" customHeight="1"/>
    <row r="53942" ht="12" customHeight="1"/>
    <row r="53943" ht="12" customHeight="1"/>
    <row r="53944" ht="12" customHeight="1"/>
    <row r="53945" ht="12" customHeight="1"/>
    <row r="53946" ht="12" customHeight="1"/>
    <row r="53947" ht="12" customHeight="1"/>
    <row r="53948" ht="12" customHeight="1"/>
    <row r="53949" ht="12" customHeight="1"/>
    <row r="53950" ht="12" customHeight="1"/>
    <row r="53951" ht="12" customHeight="1"/>
    <row r="53952" ht="12" customHeight="1"/>
    <row r="53953" ht="12" customHeight="1"/>
    <row r="53954" ht="12" customHeight="1"/>
    <row r="53955" ht="12" customHeight="1"/>
    <row r="53956" ht="12" customHeight="1"/>
    <row r="53957" ht="12" customHeight="1"/>
    <row r="53958" ht="12" customHeight="1"/>
    <row r="53959" ht="12" customHeight="1"/>
    <row r="53960" ht="12" customHeight="1"/>
    <row r="53961" ht="12" customHeight="1"/>
    <row r="53962" ht="12" customHeight="1"/>
    <row r="53963" ht="12" customHeight="1"/>
    <row r="53964" ht="12" customHeight="1"/>
    <row r="53965" ht="12" customHeight="1"/>
    <row r="53966" ht="12" customHeight="1"/>
    <row r="53967" ht="12" customHeight="1"/>
    <row r="53968" ht="12" customHeight="1"/>
    <row r="53969" ht="12" customHeight="1"/>
    <row r="53970" ht="12" customHeight="1"/>
    <row r="53971" ht="12" customHeight="1"/>
    <row r="53972" ht="12" customHeight="1"/>
    <row r="53973" ht="12" customHeight="1"/>
    <row r="53974" ht="12" customHeight="1"/>
    <row r="53975" ht="12" customHeight="1"/>
    <row r="53976" ht="12" customHeight="1"/>
    <row r="53977" ht="12" customHeight="1"/>
    <row r="53978" ht="12" customHeight="1"/>
    <row r="53979" ht="12" customHeight="1"/>
    <row r="53980" ht="12" customHeight="1"/>
    <row r="53981" ht="12" customHeight="1"/>
    <row r="53982" ht="12" customHeight="1"/>
    <row r="53983" ht="12" customHeight="1"/>
    <row r="53984" ht="12" customHeight="1"/>
    <row r="53985" ht="12" customHeight="1"/>
    <row r="53986" ht="12" customHeight="1"/>
    <row r="53987" ht="12" customHeight="1"/>
    <row r="53988" ht="12" customHeight="1"/>
    <row r="53989" ht="12" customHeight="1"/>
    <row r="53990" ht="12" customHeight="1"/>
    <row r="53991" ht="12" customHeight="1"/>
    <row r="53992" ht="12" customHeight="1"/>
    <row r="53993" ht="12" customHeight="1"/>
    <row r="53994" ht="12" customHeight="1"/>
    <row r="53995" ht="12" customHeight="1"/>
    <row r="53996" ht="12" customHeight="1"/>
    <row r="53997" ht="12" customHeight="1"/>
    <row r="53998" ht="12" customHeight="1"/>
    <row r="53999" ht="12" customHeight="1"/>
    <row r="54000" ht="12" customHeight="1"/>
    <row r="54001" ht="12" customHeight="1"/>
    <row r="54002" ht="12" customHeight="1"/>
    <row r="54003" ht="12" customHeight="1"/>
    <row r="54004" ht="12" customHeight="1"/>
    <row r="54005" ht="12" customHeight="1"/>
    <row r="54006" ht="12" customHeight="1"/>
    <row r="54007" ht="12" customHeight="1"/>
    <row r="54008" ht="12" customHeight="1"/>
    <row r="54009" ht="12" customHeight="1"/>
    <row r="54010" ht="12" customHeight="1"/>
    <row r="54011" ht="12" customHeight="1"/>
    <row r="54012" ht="12" customHeight="1"/>
    <row r="54013" ht="12" customHeight="1"/>
    <row r="54014" ht="12" customHeight="1"/>
    <row r="54015" ht="12" customHeight="1"/>
    <row r="54016" ht="12" customHeight="1"/>
    <row r="54017" ht="12" customHeight="1"/>
    <row r="54018" ht="12" customHeight="1"/>
    <row r="54019" ht="12" customHeight="1"/>
    <row r="54020" ht="12" customHeight="1"/>
    <row r="54021" ht="12" customHeight="1"/>
    <row r="54022" ht="12" customHeight="1"/>
    <row r="54023" ht="12" customHeight="1"/>
    <row r="54024" ht="12" customHeight="1"/>
    <row r="54025" ht="12" customHeight="1"/>
    <row r="54026" ht="12" customHeight="1"/>
    <row r="54027" ht="12" customHeight="1"/>
    <row r="54028" ht="12" customHeight="1"/>
    <row r="54029" ht="12" customHeight="1"/>
    <row r="54030" ht="12" customHeight="1"/>
    <row r="54031" ht="12" customHeight="1"/>
    <row r="54032" ht="12" customHeight="1"/>
    <row r="54033" ht="12" customHeight="1"/>
    <row r="54034" ht="12" customHeight="1"/>
    <row r="54035" ht="12" customHeight="1"/>
    <row r="54036" ht="12" customHeight="1"/>
    <row r="54037" ht="12" customHeight="1"/>
    <row r="54038" ht="12" customHeight="1"/>
    <row r="54039" ht="12" customHeight="1"/>
    <row r="54040" ht="12" customHeight="1"/>
    <row r="54041" ht="12" customHeight="1"/>
    <row r="54042" ht="12" customHeight="1"/>
    <row r="54043" ht="12" customHeight="1"/>
    <row r="54044" ht="12" customHeight="1"/>
    <row r="54045" ht="12" customHeight="1"/>
    <row r="54046" ht="12" customHeight="1"/>
    <row r="54047" ht="12" customHeight="1"/>
    <row r="54048" ht="12" customHeight="1"/>
    <row r="54049" ht="12" customHeight="1"/>
    <row r="54050" ht="12" customHeight="1"/>
    <row r="54051" ht="12" customHeight="1"/>
    <row r="54052" ht="12" customHeight="1"/>
    <row r="54053" ht="12" customHeight="1"/>
    <row r="54054" ht="12" customHeight="1"/>
    <row r="54055" ht="12" customHeight="1"/>
    <row r="54056" ht="12" customHeight="1"/>
    <row r="54057" ht="12" customHeight="1"/>
    <row r="54058" ht="12" customHeight="1"/>
    <row r="54059" ht="12" customHeight="1"/>
    <row r="54060" ht="12" customHeight="1"/>
    <row r="54061" ht="12" customHeight="1"/>
    <row r="54062" ht="12" customHeight="1"/>
    <row r="54063" ht="12" customHeight="1"/>
    <row r="54064" ht="12" customHeight="1"/>
    <row r="54065" ht="12" customHeight="1"/>
    <row r="54066" ht="12" customHeight="1"/>
    <row r="54067" ht="12" customHeight="1"/>
    <row r="54068" ht="12" customHeight="1"/>
    <row r="54069" ht="12" customHeight="1"/>
    <row r="54070" ht="12" customHeight="1"/>
    <row r="54071" ht="12" customHeight="1"/>
    <row r="54072" ht="12" customHeight="1"/>
    <row r="54073" ht="12" customHeight="1"/>
    <row r="54074" ht="12" customHeight="1"/>
    <row r="54075" ht="12" customHeight="1"/>
    <row r="54076" ht="12" customHeight="1"/>
    <row r="54077" ht="12" customHeight="1"/>
    <row r="54078" ht="12" customHeight="1"/>
    <row r="54079" ht="12" customHeight="1"/>
    <row r="54080" ht="12" customHeight="1"/>
    <row r="54081" ht="12" customHeight="1"/>
    <row r="54082" ht="12" customHeight="1"/>
    <row r="54083" ht="12" customHeight="1"/>
    <row r="54084" ht="12" customHeight="1"/>
    <row r="54085" ht="12" customHeight="1"/>
    <row r="54086" ht="12" customHeight="1"/>
    <row r="54087" ht="12" customHeight="1"/>
    <row r="54088" ht="12" customHeight="1"/>
    <row r="54089" ht="12" customHeight="1"/>
    <row r="54090" ht="12" customHeight="1"/>
    <row r="54091" ht="12" customHeight="1"/>
    <row r="54092" ht="12" customHeight="1"/>
    <row r="54093" ht="12" customHeight="1"/>
    <row r="54094" ht="12" customHeight="1"/>
    <row r="54095" ht="12" customHeight="1"/>
    <row r="54096" ht="12" customHeight="1"/>
    <row r="54097" ht="12" customHeight="1"/>
    <row r="54098" ht="12" customHeight="1"/>
    <row r="54099" ht="12" customHeight="1"/>
    <row r="54100" ht="12" customHeight="1"/>
    <row r="54101" ht="12" customHeight="1"/>
    <row r="54102" ht="12" customHeight="1"/>
    <row r="54103" ht="12" customHeight="1"/>
    <row r="54104" ht="12" customHeight="1"/>
    <row r="54105" ht="12" customHeight="1"/>
    <row r="54106" ht="12" customHeight="1"/>
    <row r="54107" ht="12" customHeight="1"/>
    <row r="54108" ht="12" customHeight="1"/>
    <row r="54109" ht="12" customHeight="1"/>
    <row r="54110" ht="12" customHeight="1"/>
    <row r="54111" ht="12" customHeight="1"/>
    <row r="54112" ht="12" customHeight="1"/>
    <row r="54113" ht="12" customHeight="1"/>
    <row r="54114" ht="12" customHeight="1"/>
    <row r="54115" ht="12" customHeight="1"/>
    <row r="54116" ht="12" customHeight="1"/>
    <row r="54117" ht="12" customHeight="1"/>
    <row r="54118" ht="12" customHeight="1"/>
    <row r="54119" ht="12" customHeight="1"/>
    <row r="54120" ht="12" customHeight="1"/>
    <row r="54121" ht="12" customHeight="1"/>
    <row r="54122" ht="12" customHeight="1"/>
    <row r="54123" ht="12" customHeight="1"/>
    <row r="54124" ht="12" customHeight="1"/>
    <row r="54125" ht="12" customHeight="1"/>
    <row r="54126" ht="12" customHeight="1"/>
    <row r="54127" ht="12" customHeight="1"/>
    <row r="54128" ht="12" customHeight="1"/>
    <row r="54129" ht="12" customHeight="1"/>
    <row r="54130" ht="12" customHeight="1"/>
    <row r="54131" ht="12" customHeight="1"/>
    <row r="54132" ht="12" customHeight="1"/>
    <row r="54133" ht="12" customHeight="1"/>
    <row r="54134" ht="12" customHeight="1"/>
    <row r="54135" ht="12" customHeight="1"/>
    <row r="54136" ht="12" customHeight="1"/>
    <row r="54137" ht="12" customHeight="1"/>
    <row r="54138" ht="12" customHeight="1"/>
    <row r="54139" ht="12" customHeight="1"/>
    <row r="54140" ht="12" customHeight="1"/>
    <row r="54141" ht="12" customHeight="1"/>
    <row r="54142" ht="12" customHeight="1"/>
    <row r="54143" ht="12" customHeight="1"/>
    <row r="54144" ht="12" customHeight="1"/>
    <row r="54145" ht="12" customHeight="1"/>
    <row r="54146" ht="12" customHeight="1"/>
    <row r="54147" ht="12" customHeight="1"/>
    <row r="54148" ht="12" customHeight="1"/>
    <row r="54149" ht="12" customHeight="1"/>
    <row r="54150" ht="12" customHeight="1"/>
    <row r="54151" ht="12" customHeight="1"/>
    <row r="54152" ht="12" customHeight="1"/>
    <row r="54153" ht="12" customHeight="1"/>
    <row r="54154" ht="12" customHeight="1"/>
    <row r="54155" ht="12" customHeight="1"/>
    <row r="54156" ht="12" customHeight="1"/>
    <row r="54157" ht="12" customHeight="1"/>
    <row r="54158" ht="12" customHeight="1"/>
    <row r="54159" ht="12" customHeight="1"/>
    <row r="54160" ht="12" customHeight="1"/>
    <row r="54161" ht="12" customHeight="1"/>
    <row r="54162" ht="12" customHeight="1"/>
    <row r="54163" ht="12" customHeight="1"/>
    <row r="54164" ht="12" customHeight="1"/>
    <row r="54165" ht="12" customHeight="1"/>
    <row r="54166" ht="12" customHeight="1"/>
    <row r="54167" ht="12" customHeight="1"/>
    <row r="54168" ht="12" customHeight="1"/>
    <row r="54169" ht="12" customHeight="1"/>
    <row r="54170" ht="12" customHeight="1"/>
    <row r="54171" ht="12" customHeight="1"/>
    <row r="54172" ht="12" customHeight="1"/>
    <row r="54173" ht="12" customHeight="1"/>
    <row r="54174" ht="12" customHeight="1"/>
    <row r="54175" ht="12" customHeight="1"/>
    <row r="54176" ht="12" customHeight="1"/>
    <row r="54177" ht="12" customHeight="1"/>
    <row r="54178" ht="12" customHeight="1"/>
    <row r="54179" ht="12" customHeight="1"/>
    <row r="54180" ht="12" customHeight="1"/>
    <row r="54181" ht="12" customHeight="1"/>
    <row r="54182" ht="12" customHeight="1"/>
    <row r="54183" ht="12" customHeight="1"/>
    <row r="54184" ht="12" customHeight="1"/>
    <row r="54185" ht="12" customHeight="1"/>
    <row r="54186" ht="12" customHeight="1"/>
    <row r="54187" ht="12" customHeight="1"/>
    <row r="54188" ht="12" customHeight="1"/>
    <row r="54189" ht="12" customHeight="1"/>
    <row r="54190" ht="12" customHeight="1"/>
    <row r="54191" ht="12" customHeight="1"/>
    <row r="54192" ht="12" customHeight="1"/>
    <row r="54193" ht="12" customHeight="1"/>
    <row r="54194" ht="12" customHeight="1"/>
    <row r="54195" ht="12" customHeight="1"/>
    <row r="54196" ht="12" customHeight="1"/>
    <row r="54197" ht="12" customHeight="1"/>
    <row r="54198" ht="12" customHeight="1"/>
    <row r="54199" ht="12" customHeight="1"/>
    <row r="54200" ht="12" customHeight="1"/>
    <row r="54201" ht="12" customHeight="1"/>
    <row r="54202" ht="12" customHeight="1"/>
    <row r="54203" ht="12" customHeight="1"/>
    <row r="54204" ht="12" customHeight="1"/>
    <row r="54205" ht="12" customHeight="1"/>
    <row r="54206" ht="12" customHeight="1"/>
    <row r="54207" ht="12" customHeight="1"/>
    <row r="54208" ht="12" customHeight="1"/>
    <row r="54209" ht="12" customHeight="1"/>
    <row r="54210" ht="12" customHeight="1"/>
    <row r="54211" ht="12" customHeight="1"/>
    <row r="54212" ht="12" customHeight="1"/>
    <row r="54213" ht="12" customHeight="1"/>
    <row r="54214" ht="12" customHeight="1"/>
    <row r="54215" ht="12" customHeight="1"/>
    <row r="54216" ht="12" customHeight="1"/>
    <row r="54217" ht="12" customHeight="1"/>
    <row r="54218" ht="12" customHeight="1"/>
    <row r="54219" ht="12" customHeight="1"/>
    <row r="54220" ht="12" customHeight="1"/>
    <row r="54221" ht="12" customHeight="1"/>
    <row r="54222" ht="12" customHeight="1"/>
    <row r="54223" ht="12" customHeight="1"/>
    <row r="54224" ht="12" customHeight="1"/>
    <row r="54225" ht="12" customHeight="1"/>
    <row r="54226" ht="12" customHeight="1"/>
    <row r="54227" ht="12" customHeight="1"/>
    <row r="54228" ht="12" customHeight="1"/>
    <row r="54229" ht="12" customHeight="1"/>
    <row r="54230" ht="12" customHeight="1"/>
    <row r="54231" ht="12" customHeight="1"/>
    <row r="54232" ht="12" customHeight="1"/>
    <row r="54233" ht="12" customHeight="1"/>
    <row r="54234" ht="12" customHeight="1"/>
    <row r="54235" ht="12" customHeight="1"/>
    <row r="54236" ht="12" customHeight="1"/>
    <row r="54237" ht="12" customHeight="1"/>
    <row r="54238" ht="12" customHeight="1"/>
    <row r="54239" ht="12" customHeight="1"/>
    <row r="54240" ht="12" customHeight="1"/>
    <row r="54241" ht="12" customHeight="1"/>
    <row r="54242" ht="12" customHeight="1"/>
    <row r="54243" ht="12" customHeight="1"/>
    <row r="54244" ht="12" customHeight="1"/>
    <row r="54245" ht="12" customHeight="1"/>
    <row r="54246" ht="12" customHeight="1"/>
    <row r="54247" ht="12" customHeight="1"/>
    <row r="54248" ht="12" customHeight="1"/>
    <row r="54249" ht="12" customHeight="1"/>
    <row r="54250" ht="12" customHeight="1"/>
    <row r="54251" ht="12" customHeight="1"/>
    <row r="54252" ht="12" customHeight="1"/>
    <row r="54253" ht="12" customHeight="1"/>
    <row r="54254" ht="12" customHeight="1"/>
    <row r="54255" ht="12" customHeight="1"/>
    <row r="54256" ht="12" customHeight="1"/>
    <row r="54257" ht="12" customHeight="1"/>
    <row r="54258" ht="12" customHeight="1"/>
    <row r="54259" ht="12" customHeight="1"/>
    <row r="54260" ht="12" customHeight="1"/>
    <row r="54261" ht="12" customHeight="1"/>
    <row r="54262" ht="12" customHeight="1"/>
    <row r="54263" ht="12" customHeight="1"/>
    <row r="54264" ht="12" customHeight="1"/>
    <row r="54265" ht="12" customHeight="1"/>
    <row r="54266" ht="12" customHeight="1"/>
    <row r="54267" ht="12" customHeight="1"/>
    <row r="54268" ht="12" customHeight="1"/>
    <row r="54269" ht="12" customHeight="1"/>
    <row r="54270" ht="12" customHeight="1"/>
    <row r="54271" ht="12" customHeight="1"/>
    <row r="54272" ht="12" customHeight="1"/>
    <row r="54273" ht="12" customHeight="1"/>
    <row r="54274" ht="12" customHeight="1"/>
    <row r="54275" ht="12" customHeight="1"/>
    <row r="54276" ht="12" customHeight="1"/>
    <row r="54277" ht="12" customHeight="1"/>
    <row r="54278" ht="12" customHeight="1"/>
    <row r="54279" ht="12" customHeight="1"/>
    <row r="54280" ht="12" customHeight="1"/>
    <row r="54281" ht="12" customHeight="1"/>
    <row r="54282" ht="12" customHeight="1"/>
    <row r="54283" ht="12" customHeight="1"/>
    <row r="54284" ht="12" customHeight="1"/>
    <row r="54285" ht="12" customHeight="1"/>
    <row r="54286" ht="12" customHeight="1"/>
    <row r="54287" ht="12" customHeight="1"/>
    <row r="54288" ht="12" customHeight="1"/>
    <row r="54289" ht="12" customHeight="1"/>
    <row r="54290" ht="12" customHeight="1"/>
    <row r="54291" ht="12" customHeight="1"/>
    <row r="54292" ht="12" customHeight="1"/>
    <row r="54293" ht="12" customHeight="1"/>
    <row r="54294" ht="12" customHeight="1"/>
    <row r="54295" ht="12" customHeight="1"/>
    <row r="54296" ht="12" customHeight="1"/>
    <row r="54297" ht="12" customHeight="1"/>
    <row r="54298" ht="12" customHeight="1"/>
    <row r="54299" ht="12" customHeight="1"/>
    <row r="54300" ht="12" customHeight="1"/>
    <row r="54301" ht="12" customHeight="1"/>
    <row r="54302" ht="12" customHeight="1"/>
    <row r="54303" ht="12" customHeight="1"/>
    <row r="54304" ht="12" customHeight="1"/>
    <row r="54305" ht="12" customHeight="1"/>
    <row r="54306" ht="12" customHeight="1"/>
    <row r="54307" ht="12" customHeight="1"/>
    <row r="54308" ht="12" customHeight="1"/>
    <row r="54309" ht="12" customHeight="1"/>
    <row r="54310" ht="12" customHeight="1"/>
    <row r="54311" ht="12" customHeight="1"/>
    <row r="54312" ht="12" customHeight="1"/>
    <row r="54313" ht="12" customHeight="1"/>
    <row r="54314" ht="12" customHeight="1"/>
    <row r="54315" ht="12" customHeight="1"/>
    <row r="54316" ht="12" customHeight="1"/>
    <row r="54317" ht="12" customHeight="1"/>
    <row r="54318" ht="12" customHeight="1"/>
    <row r="54319" ht="12" customHeight="1"/>
    <row r="54320" ht="12" customHeight="1"/>
    <row r="54321" ht="12" customHeight="1"/>
    <row r="54322" ht="12" customHeight="1"/>
    <row r="54323" ht="12" customHeight="1"/>
    <row r="54324" ht="12" customHeight="1"/>
    <row r="54325" ht="12" customHeight="1"/>
    <row r="54326" ht="12" customHeight="1"/>
    <row r="54327" ht="12" customHeight="1"/>
    <row r="54328" ht="12" customHeight="1"/>
    <row r="54329" ht="12" customHeight="1"/>
    <row r="54330" ht="12" customHeight="1"/>
    <row r="54331" ht="12" customHeight="1"/>
    <row r="54332" ht="12" customHeight="1"/>
    <row r="54333" ht="12" customHeight="1"/>
    <row r="54334" ht="12" customHeight="1"/>
    <row r="54335" ht="12" customHeight="1"/>
    <row r="54336" ht="12" customHeight="1"/>
    <row r="54337" ht="12" customHeight="1"/>
    <row r="54338" ht="12" customHeight="1"/>
    <row r="54339" ht="12" customHeight="1"/>
    <row r="54340" ht="12" customHeight="1"/>
    <row r="54341" ht="12" customHeight="1"/>
    <row r="54342" ht="12" customHeight="1"/>
    <row r="54343" ht="12" customHeight="1"/>
    <row r="54344" ht="12" customHeight="1"/>
    <row r="54345" ht="12" customHeight="1"/>
    <row r="54346" ht="12" customHeight="1"/>
    <row r="54347" ht="12" customHeight="1"/>
    <row r="54348" ht="12" customHeight="1"/>
    <row r="54349" ht="12" customHeight="1"/>
    <row r="54350" ht="12" customHeight="1"/>
    <row r="54351" ht="12" customHeight="1"/>
    <row r="54352" ht="12" customHeight="1"/>
    <row r="54353" ht="12" customHeight="1"/>
    <row r="54354" ht="12" customHeight="1"/>
    <row r="54355" ht="12" customHeight="1"/>
    <row r="54356" ht="12" customHeight="1"/>
    <row r="54357" ht="12" customHeight="1"/>
    <row r="54358" ht="12" customHeight="1"/>
    <row r="54359" ht="12" customHeight="1"/>
    <row r="54360" ht="12" customHeight="1"/>
    <row r="54361" ht="12" customHeight="1"/>
    <row r="54362" ht="12" customHeight="1"/>
    <row r="54363" ht="12" customHeight="1"/>
    <row r="54364" ht="12" customHeight="1"/>
    <row r="54365" ht="12" customHeight="1"/>
    <row r="54366" ht="12" customHeight="1"/>
    <row r="54367" ht="12" customHeight="1"/>
    <row r="54368" ht="12" customHeight="1"/>
    <row r="54369" ht="12" customHeight="1"/>
    <row r="54370" ht="12" customHeight="1"/>
    <row r="54371" ht="12" customHeight="1"/>
    <row r="54372" ht="12" customHeight="1"/>
    <row r="54373" ht="12" customHeight="1"/>
    <row r="54374" ht="12" customHeight="1"/>
    <row r="54375" ht="12" customHeight="1"/>
    <row r="54376" ht="12" customHeight="1"/>
    <row r="54377" ht="12" customHeight="1"/>
    <row r="54378" ht="12" customHeight="1"/>
    <row r="54379" ht="12" customHeight="1"/>
    <row r="54380" ht="12" customHeight="1"/>
    <row r="54381" ht="12" customHeight="1"/>
    <row r="54382" ht="12" customHeight="1"/>
    <row r="54383" ht="12" customHeight="1"/>
    <row r="54384" ht="12" customHeight="1"/>
    <row r="54385" ht="12" customHeight="1"/>
    <row r="54386" ht="12" customHeight="1"/>
    <row r="54387" ht="12" customHeight="1"/>
    <row r="54388" ht="12" customHeight="1"/>
    <row r="54389" ht="12" customHeight="1"/>
    <row r="54390" ht="12" customHeight="1"/>
    <row r="54391" ht="12" customHeight="1"/>
    <row r="54392" ht="12" customHeight="1"/>
    <row r="54393" ht="12" customHeight="1"/>
    <row r="54394" ht="12" customHeight="1"/>
    <row r="54395" ht="12" customHeight="1"/>
    <row r="54396" ht="12" customHeight="1"/>
    <row r="54397" ht="12" customHeight="1"/>
    <row r="54398" ht="12" customHeight="1"/>
    <row r="54399" ht="12" customHeight="1"/>
    <row r="54400" ht="12" customHeight="1"/>
    <row r="54401" ht="12" customHeight="1"/>
    <row r="54402" ht="12" customHeight="1"/>
    <row r="54403" ht="12" customHeight="1"/>
    <row r="54404" ht="12" customHeight="1"/>
    <row r="54405" ht="12" customHeight="1"/>
    <row r="54406" ht="12" customHeight="1"/>
    <row r="54407" ht="12" customHeight="1"/>
    <row r="54408" ht="12" customHeight="1"/>
    <row r="54409" ht="12" customHeight="1"/>
    <row r="54410" ht="12" customHeight="1"/>
    <row r="54411" ht="12" customHeight="1"/>
    <row r="54412" ht="12" customHeight="1"/>
    <row r="54413" ht="12" customHeight="1"/>
    <row r="54414" ht="12" customHeight="1"/>
    <row r="54415" ht="12" customHeight="1"/>
    <row r="54416" ht="12" customHeight="1"/>
    <row r="54417" ht="12" customHeight="1"/>
    <row r="54418" ht="12" customHeight="1"/>
    <row r="54419" ht="12" customHeight="1"/>
    <row r="54420" ht="12" customHeight="1"/>
    <row r="54421" ht="12" customHeight="1"/>
    <row r="54422" ht="12" customHeight="1"/>
    <row r="54423" ht="12" customHeight="1"/>
    <row r="54424" ht="12" customHeight="1"/>
    <row r="54425" ht="12" customHeight="1"/>
    <row r="54426" ht="12" customHeight="1"/>
    <row r="54427" ht="12" customHeight="1"/>
    <row r="54428" ht="12" customHeight="1"/>
    <row r="54429" ht="12" customHeight="1"/>
    <row r="54430" ht="12" customHeight="1"/>
    <row r="54431" ht="12" customHeight="1"/>
    <row r="54432" ht="12" customHeight="1"/>
    <row r="54433" ht="12" customHeight="1"/>
    <row r="54434" ht="12" customHeight="1"/>
    <row r="54435" ht="12" customHeight="1"/>
    <row r="54436" ht="12" customHeight="1"/>
    <row r="54437" ht="12" customHeight="1"/>
    <row r="54438" ht="12" customHeight="1"/>
    <row r="54439" ht="12" customHeight="1"/>
    <row r="54440" ht="12" customHeight="1"/>
    <row r="54441" ht="12" customHeight="1"/>
    <row r="54442" ht="12" customHeight="1"/>
    <row r="54443" ht="12" customHeight="1"/>
    <row r="54444" ht="12" customHeight="1"/>
    <row r="54445" ht="12" customHeight="1"/>
    <row r="54446" ht="12" customHeight="1"/>
    <row r="54447" ht="12" customHeight="1"/>
    <row r="54448" ht="12" customHeight="1"/>
    <row r="54449" ht="12" customHeight="1"/>
    <row r="54450" ht="12" customHeight="1"/>
    <row r="54451" ht="12" customHeight="1"/>
    <row r="54452" ht="12" customHeight="1"/>
    <row r="54453" ht="12" customHeight="1"/>
    <row r="54454" ht="12" customHeight="1"/>
    <row r="54455" ht="12" customHeight="1"/>
    <row r="54456" ht="12" customHeight="1"/>
    <row r="54457" ht="12" customHeight="1"/>
    <row r="54458" ht="12" customHeight="1"/>
    <row r="54459" ht="12" customHeight="1"/>
    <row r="54460" ht="12" customHeight="1"/>
    <row r="54461" ht="12" customHeight="1"/>
    <row r="54462" ht="12" customHeight="1"/>
    <row r="54463" ht="12" customHeight="1"/>
    <row r="54464" ht="12" customHeight="1"/>
    <row r="54465" ht="12" customHeight="1"/>
    <row r="54466" ht="12" customHeight="1"/>
    <row r="54467" ht="12" customHeight="1"/>
    <row r="54468" ht="12" customHeight="1"/>
    <row r="54469" ht="12" customHeight="1"/>
    <row r="54470" ht="12" customHeight="1"/>
    <row r="54471" ht="12" customHeight="1"/>
    <row r="54472" ht="12" customHeight="1"/>
    <row r="54473" ht="12" customHeight="1"/>
    <row r="54474" ht="12" customHeight="1"/>
    <row r="54475" ht="12" customHeight="1"/>
    <row r="54476" ht="12" customHeight="1"/>
    <row r="54477" ht="12" customHeight="1"/>
    <row r="54478" ht="12" customHeight="1"/>
    <row r="54479" ht="12" customHeight="1"/>
    <row r="54480" ht="12" customHeight="1"/>
    <row r="54481" ht="12" customHeight="1"/>
    <row r="54482" ht="12" customHeight="1"/>
    <row r="54483" ht="12" customHeight="1"/>
    <row r="54484" ht="12" customHeight="1"/>
    <row r="54485" ht="12" customHeight="1"/>
    <row r="54486" ht="12" customHeight="1"/>
    <row r="54487" ht="12" customHeight="1"/>
    <row r="54488" ht="12" customHeight="1"/>
    <row r="54489" ht="12" customHeight="1"/>
    <row r="54490" ht="12" customHeight="1"/>
    <row r="54491" ht="12" customHeight="1"/>
    <row r="54492" ht="12" customHeight="1"/>
    <row r="54493" ht="12" customHeight="1"/>
    <row r="54494" ht="12" customHeight="1"/>
    <row r="54495" ht="12" customHeight="1"/>
    <row r="54496" ht="12" customHeight="1"/>
    <row r="54497" ht="12" customHeight="1"/>
    <row r="54498" ht="12" customHeight="1"/>
    <row r="54499" ht="12" customHeight="1"/>
    <row r="54500" ht="12" customHeight="1"/>
    <row r="54501" ht="12" customHeight="1"/>
    <row r="54502" ht="12" customHeight="1"/>
    <row r="54503" ht="12" customHeight="1"/>
    <row r="54504" ht="12" customHeight="1"/>
    <row r="54505" ht="12" customHeight="1"/>
    <row r="54506" ht="12" customHeight="1"/>
    <row r="54507" ht="12" customHeight="1"/>
    <row r="54508" ht="12" customHeight="1"/>
    <row r="54509" ht="12" customHeight="1"/>
    <row r="54510" ht="12" customHeight="1"/>
    <row r="54511" ht="12" customHeight="1"/>
    <row r="54512" ht="12" customHeight="1"/>
    <row r="54513" ht="12" customHeight="1"/>
    <row r="54514" ht="12" customHeight="1"/>
    <row r="54515" ht="12" customHeight="1"/>
    <row r="54516" ht="12" customHeight="1"/>
    <row r="54517" ht="12" customHeight="1"/>
    <row r="54518" ht="12" customHeight="1"/>
    <row r="54519" ht="12" customHeight="1"/>
    <row r="54520" ht="12" customHeight="1"/>
    <row r="54521" ht="12" customHeight="1"/>
    <row r="54522" ht="12" customHeight="1"/>
    <row r="54523" ht="12" customHeight="1"/>
    <row r="54524" ht="12" customHeight="1"/>
    <row r="54525" ht="12" customHeight="1"/>
    <row r="54526" ht="12" customHeight="1"/>
    <row r="54527" ht="12" customHeight="1"/>
    <row r="54528" ht="12" customHeight="1"/>
    <row r="54529" ht="12" customHeight="1"/>
    <row r="54530" ht="12" customHeight="1"/>
    <row r="54531" ht="12" customHeight="1"/>
    <row r="54532" ht="12" customHeight="1"/>
    <row r="54533" ht="12" customHeight="1"/>
    <row r="54534" ht="12" customHeight="1"/>
    <row r="54535" ht="12" customHeight="1"/>
    <row r="54536" ht="12" customHeight="1"/>
    <row r="54537" ht="12" customHeight="1"/>
    <row r="54538" ht="12" customHeight="1"/>
    <row r="54539" ht="12" customHeight="1"/>
    <row r="54540" ht="12" customHeight="1"/>
    <row r="54541" ht="12" customHeight="1"/>
    <row r="54542" ht="12" customHeight="1"/>
    <row r="54543" ht="12" customHeight="1"/>
    <row r="54544" ht="12" customHeight="1"/>
    <row r="54545" ht="12" customHeight="1"/>
    <row r="54546" ht="12" customHeight="1"/>
    <row r="54547" ht="12" customHeight="1"/>
    <row r="54548" ht="12" customHeight="1"/>
    <row r="54549" ht="12" customHeight="1"/>
    <row r="54550" ht="12" customHeight="1"/>
    <row r="54551" ht="12" customHeight="1"/>
    <row r="54552" ht="12" customHeight="1"/>
    <row r="54553" ht="12" customHeight="1"/>
    <row r="54554" ht="12" customHeight="1"/>
    <row r="54555" ht="12" customHeight="1"/>
    <row r="54556" ht="12" customHeight="1"/>
    <row r="54557" ht="12" customHeight="1"/>
    <row r="54558" ht="12" customHeight="1"/>
    <row r="54559" ht="12" customHeight="1"/>
    <row r="54560" ht="12" customHeight="1"/>
    <row r="54561" ht="12" customHeight="1"/>
    <row r="54562" ht="12" customHeight="1"/>
    <row r="54563" ht="12" customHeight="1"/>
    <row r="54564" ht="12" customHeight="1"/>
    <row r="54565" ht="12" customHeight="1"/>
    <row r="54566" ht="12" customHeight="1"/>
    <row r="54567" ht="12" customHeight="1"/>
    <row r="54568" ht="12" customHeight="1"/>
    <row r="54569" ht="12" customHeight="1"/>
    <row r="54570" ht="12" customHeight="1"/>
    <row r="54571" ht="12" customHeight="1"/>
    <row r="54572" ht="12" customHeight="1"/>
    <row r="54573" ht="12" customHeight="1"/>
    <row r="54574" ht="12" customHeight="1"/>
    <row r="54575" ht="12" customHeight="1"/>
    <row r="54576" ht="12" customHeight="1"/>
    <row r="54577" ht="12" customHeight="1"/>
    <row r="54578" ht="12" customHeight="1"/>
    <row r="54579" ht="12" customHeight="1"/>
    <row r="54580" ht="12" customHeight="1"/>
    <row r="54581" ht="12" customHeight="1"/>
    <row r="54582" ht="12" customHeight="1"/>
    <row r="54583" ht="12" customHeight="1"/>
    <row r="54584" ht="12" customHeight="1"/>
    <row r="54585" ht="12" customHeight="1"/>
    <row r="54586" ht="12" customHeight="1"/>
    <row r="54587" ht="12" customHeight="1"/>
    <row r="54588" ht="12" customHeight="1"/>
    <row r="54589" ht="12" customHeight="1"/>
    <row r="54590" ht="12" customHeight="1"/>
    <row r="54591" ht="12" customHeight="1"/>
    <row r="54592" ht="12" customHeight="1"/>
    <row r="54593" ht="12" customHeight="1"/>
    <row r="54594" ht="12" customHeight="1"/>
    <row r="54595" ht="12" customHeight="1"/>
    <row r="54596" ht="12" customHeight="1"/>
    <row r="54597" ht="12" customHeight="1"/>
    <row r="54598" ht="12" customHeight="1"/>
    <row r="54599" ht="12" customHeight="1"/>
    <row r="54600" ht="12" customHeight="1"/>
    <row r="54601" ht="12" customHeight="1"/>
    <row r="54602" ht="12" customHeight="1"/>
    <row r="54603" ht="12" customHeight="1"/>
    <row r="54604" ht="12" customHeight="1"/>
    <row r="54605" ht="12" customHeight="1"/>
    <row r="54606" ht="12" customHeight="1"/>
    <row r="54607" ht="12" customHeight="1"/>
    <row r="54608" ht="12" customHeight="1"/>
    <row r="54609" ht="12" customHeight="1"/>
    <row r="54610" ht="12" customHeight="1"/>
    <row r="54611" ht="12" customHeight="1"/>
    <row r="54612" ht="12" customHeight="1"/>
    <row r="54613" ht="12" customHeight="1"/>
    <row r="54614" ht="12" customHeight="1"/>
    <row r="54615" ht="12" customHeight="1"/>
    <row r="54616" ht="12" customHeight="1"/>
    <row r="54617" ht="12" customHeight="1"/>
    <row r="54618" ht="12" customHeight="1"/>
    <row r="54619" ht="12" customHeight="1"/>
    <row r="54620" ht="12" customHeight="1"/>
    <row r="54621" ht="12" customHeight="1"/>
    <row r="54622" ht="12" customHeight="1"/>
    <row r="54623" ht="12" customHeight="1"/>
    <row r="54624" ht="12" customHeight="1"/>
    <row r="54625" ht="12" customHeight="1"/>
    <row r="54626" ht="12" customHeight="1"/>
    <row r="54627" ht="12" customHeight="1"/>
    <row r="54628" ht="12" customHeight="1"/>
    <row r="54629" ht="12" customHeight="1"/>
    <row r="54630" ht="12" customHeight="1"/>
    <row r="54631" ht="12" customHeight="1"/>
    <row r="54632" ht="12" customHeight="1"/>
    <row r="54633" ht="12" customHeight="1"/>
    <row r="54634" ht="12" customHeight="1"/>
    <row r="54635" ht="12" customHeight="1"/>
    <row r="54636" ht="12" customHeight="1"/>
    <row r="54637" ht="12" customHeight="1"/>
    <row r="54638" ht="12" customHeight="1"/>
    <row r="54639" ht="12" customHeight="1"/>
    <row r="54640" ht="12" customHeight="1"/>
    <row r="54641" ht="12" customHeight="1"/>
    <row r="54642" ht="12" customHeight="1"/>
    <row r="54643" ht="12" customHeight="1"/>
    <row r="54644" ht="12" customHeight="1"/>
    <row r="54645" ht="12" customHeight="1"/>
    <row r="54646" ht="12" customHeight="1"/>
    <row r="54647" ht="12" customHeight="1"/>
    <row r="54648" ht="12" customHeight="1"/>
    <row r="54649" ht="12" customHeight="1"/>
    <row r="54650" ht="12" customHeight="1"/>
    <row r="54651" ht="12" customHeight="1"/>
    <row r="54652" ht="12" customHeight="1"/>
    <row r="54653" ht="12" customHeight="1"/>
    <row r="54654" ht="12" customHeight="1"/>
    <row r="54655" ht="12" customHeight="1"/>
    <row r="54656" ht="12" customHeight="1"/>
    <row r="54657" ht="12" customHeight="1"/>
    <row r="54658" ht="12" customHeight="1"/>
    <row r="54659" ht="12" customHeight="1"/>
    <row r="54660" ht="12" customHeight="1"/>
    <row r="54661" ht="12" customHeight="1"/>
    <row r="54662" ht="12" customHeight="1"/>
    <row r="54663" ht="12" customHeight="1"/>
    <row r="54664" ht="12" customHeight="1"/>
    <row r="54665" ht="12" customHeight="1"/>
    <row r="54666" ht="12" customHeight="1"/>
    <row r="54667" ht="12" customHeight="1"/>
    <row r="54668" ht="12" customHeight="1"/>
    <row r="54669" ht="12" customHeight="1"/>
    <row r="54670" ht="12" customHeight="1"/>
    <row r="54671" ht="12" customHeight="1"/>
    <row r="54672" ht="12" customHeight="1"/>
    <row r="54673" ht="12" customHeight="1"/>
    <row r="54674" ht="12" customHeight="1"/>
    <row r="54675" ht="12" customHeight="1"/>
    <row r="54676" ht="12" customHeight="1"/>
    <row r="54677" ht="12" customHeight="1"/>
    <row r="54678" ht="12" customHeight="1"/>
    <row r="54679" ht="12" customHeight="1"/>
    <row r="54680" ht="12" customHeight="1"/>
    <row r="54681" ht="12" customHeight="1"/>
    <row r="54682" ht="12" customHeight="1"/>
    <row r="54683" ht="12" customHeight="1"/>
    <row r="54684" ht="12" customHeight="1"/>
    <row r="54685" ht="12" customHeight="1"/>
    <row r="54686" ht="12" customHeight="1"/>
    <row r="54687" ht="12" customHeight="1"/>
    <row r="54688" ht="12" customHeight="1"/>
    <row r="54689" ht="12" customHeight="1"/>
    <row r="54690" ht="12" customHeight="1"/>
    <row r="54691" ht="12" customHeight="1"/>
    <row r="54692" ht="12" customHeight="1"/>
    <row r="54693" ht="12" customHeight="1"/>
    <row r="54694" ht="12" customHeight="1"/>
    <row r="54695" ht="12" customHeight="1"/>
    <row r="54696" ht="12" customHeight="1"/>
    <row r="54697" ht="12" customHeight="1"/>
    <row r="54698" ht="12" customHeight="1"/>
    <row r="54699" ht="12" customHeight="1"/>
    <row r="54700" ht="12" customHeight="1"/>
    <row r="54701" ht="12" customHeight="1"/>
    <row r="54702" ht="12" customHeight="1"/>
    <row r="54703" ht="12" customHeight="1"/>
    <row r="54704" ht="12" customHeight="1"/>
    <row r="54705" ht="12" customHeight="1"/>
    <row r="54706" ht="12" customHeight="1"/>
    <row r="54707" ht="12" customHeight="1"/>
    <row r="54708" ht="12" customHeight="1"/>
    <row r="54709" ht="12" customHeight="1"/>
    <row r="54710" ht="12" customHeight="1"/>
    <row r="54711" ht="12" customHeight="1"/>
    <row r="54712" ht="12" customHeight="1"/>
    <row r="54713" ht="12" customHeight="1"/>
    <row r="54714" ht="12" customHeight="1"/>
    <row r="54715" ht="12" customHeight="1"/>
    <row r="54716" ht="12" customHeight="1"/>
    <row r="54717" ht="12" customHeight="1"/>
    <row r="54718" ht="12" customHeight="1"/>
    <row r="54719" ht="12" customHeight="1"/>
    <row r="54720" ht="12" customHeight="1"/>
    <row r="54721" ht="12" customHeight="1"/>
    <row r="54722" ht="12" customHeight="1"/>
    <row r="54723" ht="12" customHeight="1"/>
    <row r="54724" ht="12" customHeight="1"/>
    <row r="54725" ht="12" customHeight="1"/>
    <row r="54726" ht="12" customHeight="1"/>
    <row r="54727" ht="12" customHeight="1"/>
    <row r="54728" ht="12" customHeight="1"/>
    <row r="54729" ht="12" customHeight="1"/>
    <row r="54730" ht="12" customHeight="1"/>
    <row r="54731" ht="12" customHeight="1"/>
    <row r="54732" ht="12" customHeight="1"/>
    <row r="54733" ht="12" customHeight="1"/>
    <row r="54734" ht="12" customHeight="1"/>
    <row r="54735" ht="12" customHeight="1"/>
    <row r="54736" ht="12" customHeight="1"/>
    <row r="54737" ht="12" customHeight="1"/>
    <row r="54738" ht="12" customHeight="1"/>
    <row r="54739" ht="12" customHeight="1"/>
    <row r="54740" ht="12" customHeight="1"/>
    <row r="54741" ht="12" customHeight="1"/>
    <row r="54742" ht="12" customHeight="1"/>
    <row r="54743" ht="12" customHeight="1"/>
    <row r="54744" ht="12" customHeight="1"/>
    <row r="54745" ht="12" customHeight="1"/>
    <row r="54746" ht="12" customHeight="1"/>
    <row r="54747" ht="12" customHeight="1"/>
    <row r="54748" ht="12" customHeight="1"/>
    <row r="54749" ht="12" customHeight="1"/>
    <row r="54750" ht="12" customHeight="1"/>
    <row r="54751" ht="12" customHeight="1"/>
    <row r="54752" ht="12" customHeight="1"/>
    <row r="54753" ht="12" customHeight="1"/>
    <row r="54754" ht="12" customHeight="1"/>
    <row r="54755" ht="12" customHeight="1"/>
    <row r="54756" ht="12" customHeight="1"/>
    <row r="54757" ht="12" customHeight="1"/>
    <row r="54758" ht="12" customHeight="1"/>
    <row r="54759" ht="12" customHeight="1"/>
    <row r="54760" ht="12" customHeight="1"/>
    <row r="54761" ht="12" customHeight="1"/>
    <row r="54762" ht="12" customHeight="1"/>
    <row r="54763" ht="12" customHeight="1"/>
    <row r="54764" ht="12" customHeight="1"/>
    <row r="54765" ht="12" customHeight="1"/>
    <row r="54766" ht="12" customHeight="1"/>
    <row r="54767" ht="12" customHeight="1"/>
    <row r="54768" ht="12" customHeight="1"/>
    <row r="54769" ht="12" customHeight="1"/>
    <row r="54770" ht="12" customHeight="1"/>
    <row r="54771" ht="12" customHeight="1"/>
    <row r="54772" ht="12" customHeight="1"/>
    <row r="54773" ht="12" customHeight="1"/>
    <row r="54774" ht="12" customHeight="1"/>
    <row r="54775" ht="12" customHeight="1"/>
    <row r="54776" ht="12" customHeight="1"/>
    <row r="54777" ht="12" customHeight="1"/>
    <row r="54778" ht="12" customHeight="1"/>
    <row r="54779" ht="12" customHeight="1"/>
    <row r="54780" ht="12" customHeight="1"/>
    <row r="54781" ht="12" customHeight="1"/>
    <row r="54782" ht="12" customHeight="1"/>
    <row r="54783" ht="12" customHeight="1"/>
    <row r="54784" ht="12" customHeight="1"/>
    <row r="54785" ht="12" customHeight="1"/>
    <row r="54786" ht="12" customHeight="1"/>
    <row r="54787" ht="12" customHeight="1"/>
    <row r="54788" ht="12" customHeight="1"/>
    <row r="54789" ht="12" customHeight="1"/>
    <row r="54790" ht="12" customHeight="1"/>
    <row r="54791" ht="12" customHeight="1"/>
    <row r="54792" ht="12" customHeight="1"/>
    <row r="54793" ht="12" customHeight="1"/>
    <row r="54794" ht="12" customHeight="1"/>
    <row r="54795" ht="12" customHeight="1"/>
    <row r="54796" ht="12" customHeight="1"/>
    <row r="54797" ht="12" customHeight="1"/>
    <row r="54798" ht="12" customHeight="1"/>
    <row r="54799" ht="12" customHeight="1"/>
    <row r="54800" ht="12" customHeight="1"/>
    <row r="54801" ht="12" customHeight="1"/>
    <row r="54802" ht="12" customHeight="1"/>
    <row r="54803" ht="12" customHeight="1"/>
    <row r="54804" ht="12" customHeight="1"/>
    <row r="54805" ht="12" customHeight="1"/>
    <row r="54806" ht="12" customHeight="1"/>
    <row r="54807" ht="12" customHeight="1"/>
    <row r="54808" ht="12" customHeight="1"/>
    <row r="54809" ht="12" customHeight="1"/>
    <row r="54810" ht="12" customHeight="1"/>
    <row r="54811" ht="12" customHeight="1"/>
    <row r="54812" ht="12" customHeight="1"/>
    <row r="54813" ht="12" customHeight="1"/>
    <row r="54814" ht="12" customHeight="1"/>
    <row r="54815" ht="12" customHeight="1"/>
    <row r="54816" ht="12" customHeight="1"/>
    <row r="54817" ht="12" customHeight="1"/>
    <row r="54818" ht="12" customHeight="1"/>
    <row r="54819" ht="12" customHeight="1"/>
    <row r="54820" ht="12" customHeight="1"/>
    <row r="54821" ht="12" customHeight="1"/>
    <row r="54822" ht="12" customHeight="1"/>
    <row r="54823" ht="12" customHeight="1"/>
    <row r="54824" ht="12" customHeight="1"/>
    <row r="54825" ht="12" customHeight="1"/>
    <row r="54826" ht="12" customHeight="1"/>
    <row r="54827" ht="12" customHeight="1"/>
    <row r="54828" ht="12" customHeight="1"/>
    <row r="54829" ht="12" customHeight="1"/>
    <row r="54830" ht="12" customHeight="1"/>
    <row r="54831" ht="12" customHeight="1"/>
    <row r="54832" ht="12" customHeight="1"/>
    <row r="54833" ht="12" customHeight="1"/>
    <row r="54834" ht="12" customHeight="1"/>
    <row r="54835" ht="12" customHeight="1"/>
    <row r="54836" ht="12" customHeight="1"/>
    <row r="54837" ht="12" customHeight="1"/>
    <row r="54838" ht="12" customHeight="1"/>
    <row r="54839" ht="12" customHeight="1"/>
    <row r="54840" ht="12" customHeight="1"/>
    <row r="54841" ht="12" customHeight="1"/>
    <row r="54842" ht="12" customHeight="1"/>
    <row r="54843" ht="12" customHeight="1"/>
    <row r="54844" ht="12" customHeight="1"/>
    <row r="54845" ht="12" customHeight="1"/>
    <row r="54846" ht="12" customHeight="1"/>
    <row r="54847" ht="12" customHeight="1"/>
    <row r="54848" ht="12" customHeight="1"/>
    <row r="54849" ht="12" customHeight="1"/>
    <row r="54850" ht="12" customHeight="1"/>
    <row r="54851" ht="12" customHeight="1"/>
    <row r="54852" ht="12" customHeight="1"/>
    <row r="54853" ht="12" customHeight="1"/>
    <row r="54854" ht="12" customHeight="1"/>
    <row r="54855" ht="12" customHeight="1"/>
    <row r="54856" ht="12" customHeight="1"/>
    <row r="54857" ht="12" customHeight="1"/>
    <row r="54858" ht="12" customHeight="1"/>
    <row r="54859" ht="12" customHeight="1"/>
    <row r="54860" ht="12" customHeight="1"/>
    <row r="54861" ht="12" customHeight="1"/>
    <row r="54862" ht="12" customHeight="1"/>
    <row r="54863" ht="12" customHeight="1"/>
    <row r="54864" ht="12" customHeight="1"/>
    <row r="54865" ht="12" customHeight="1"/>
    <row r="54866" ht="12" customHeight="1"/>
    <row r="54867" ht="12" customHeight="1"/>
    <row r="54868" ht="12" customHeight="1"/>
    <row r="54869" ht="12" customHeight="1"/>
    <row r="54870" ht="12" customHeight="1"/>
    <row r="54871" ht="12" customHeight="1"/>
    <row r="54872" ht="12" customHeight="1"/>
    <row r="54873" ht="12" customHeight="1"/>
    <row r="54874" ht="12" customHeight="1"/>
    <row r="54875" ht="12" customHeight="1"/>
    <row r="54876" ht="12" customHeight="1"/>
    <row r="54877" ht="12" customHeight="1"/>
    <row r="54878" ht="12" customHeight="1"/>
    <row r="54879" ht="12" customHeight="1"/>
    <row r="54880" ht="12" customHeight="1"/>
    <row r="54881" ht="12" customHeight="1"/>
    <row r="54882" ht="12" customHeight="1"/>
    <row r="54883" ht="12" customHeight="1"/>
    <row r="54884" ht="12" customHeight="1"/>
    <row r="54885" ht="12" customHeight="1"/>
    <row r="54886" ht="12" customHeight="1"/>
    <row r="54887" ht="12" customHeight="1"/>
    <row r="54888" ht="12" customHeight="1"/>
    <row r="54889" ht="12" customHeight="1"/>
    <row r="54890" ht="12" customHeight="1"/>
    <row r="54891" ht="12" customHeight="1"/>
    <row r="54892" ht="12" customHeight="1"/>
    <row r="54893" ht="12" customHeight="1"/>
    <row r="54894" ht="12" customHeight="1"/>
    <row r="54895" ht="12" customHeight="1"/>
    <row r="54896" ht="12" customHeight="1"/>
    <row r="54897" ht="12" customHeight="1"/>
    <row r="54898" ht="12" customHeight="1"/>
    <row r="54899" ht="12" customHeight="1"/>
    <row r="54900" ht="12" customHeight="1"/>
    <row r="54901" ht="12" customHeight="1"/>
    <row r="54902" ht="12" customHeight="1"/>
    <row r="54903" ht="12" customHeight="1"/>
    <row r="54904" ht="12" customHeight="1"/>
    <row r="54905" ht="12" customHeight="1"/>
    <row r="54906" ht="12" customHeight="1"/>
    <row r="54907" ht="12" customHeight="1"/>
    <row r="54908" ht="12" customHeight="1"/>
    <row r="54909" ht="12" customHeight="1"/>
    <row r="54910" ht="12" customHeight="1"/>
    <row r="54911" ht="12" customHeight="1"/>
    <row r="54912" ht="12" customHeight="1"/>
    <row r="54913" ht="12" customHeight="1"/>
    <row r="54914" ht="12" customHeight="1"/>
    <row r="54915" ht="12" customHeight="1"/>
    <row r="54916" ht="12" customHeight="1"/>
    <row r="54917" ht="12" customHeight="1"/>
    <row r="54918" ht="12" customHeight="1"/>
    <row r="54919" ht="12" customHeight="1"/>
    <row r="54920" ht="12" customHeight="1"/>
    <row r="54921" ht="12" customHeight="1"/>
    <row r="54922" ht="12" customHeight="1"/>
    <row r="54923" ht="12" customHeight="1"/>
    <row r="54924" ht="12" customHeight="1"/>
    <row r="54925" ht="12" customHeight="1"/>
    <row r="54926" ht="12" customHeight="1"/>
    <row r="54927" ht="12" customHeight="1"/>
    <row r="54928" ht="12" customHeight="1"/>
    <row r="54929" ht="12" customHeight="1"/>
    <row r="54930" ht="12" customHeight="1"/>
    <row r="54931" ht="12" customHeight="1"/>
    <row r="54932" ht="12" customHeight="1"/>
    <row r="54933" ht="12" customHeight="1"/>
    <row r="54934" ht="12" customHeight="1"/>
    <row r="54935" ht="12" customHeight="1"/>
    <row r="54936" ht="12" customHeight="1"/>
    <row r="54937" ht="12" customHeight="1"/>
    <row r="54938" ht="12" customHeight="1"/>
    <row r="54939" ht="12" customHeight="1"/>
    <row r="54940" ht="12" customHeight="1"/>
    <row r="54941" ht="12" customHeight="1"/>
    <row r="54942" ht="12" customHeight="1"/>
    <row r="54943" ht="12" customHeight="1"/>
    <row r="54944" ht="12" customHeight="1"/>
    <row r="54945" ht="12" customHeight="1"/>
    <row r="54946" ht="12" customHeight="1"/>
    <row r="54947" ht="12" customHeight="1"/>
    <row r="54948" ht="12" customHeight="1"/>
    <row r="54949" ht="12" customHeight="1"/>
    <row r="54950" ht="12" customHeight="1"/>
    <row r="54951" ht="12" customHeight="1"/>
    <row r="54952" ht="12" customHeight="1"/>
    <row r="54953" ht="12" customHeight="1"/>
    <row r="54954" ht="12" customHeight="1"/>
    <row r="54955" ht="12" customHeight="1"/>
    <row r="54956" ht="12" customHeight="1"/>
    <row r="54957" ht="12" customHeight="1"/>
    <row r="54958" ht="12" customHeight="1"/>
    <row r="54959" ht="12" customHeight="1"/>
    <row r="54960" ht="12" customHeight="1"/>
    <row r="54961" ht="12" customHeight="1"/>
    <row r="54962" ht="12" customHeight="1"/>
    <row r="54963" ht="12" customHeight="1"/>
    <row r="54964" ht="12" customHeight="1"/>
    <row r="54965" ht="12" customHeight="1"/>
    <row r="54966" ht="12" customHeight="1"/>
    <row r="54967" ht="12" customHeight="1"/>
    <row r="54968" ht="12" customHeight="1"/>
    <row r="54969" ht="12" customHeight="1"/>
    <row r="54970" ht="12" customHeight="1"/>
    <row r="54971" ht="12" customHeight="1"/>
    <row r="54972" ht="12" customHeight="1"/>
    <row r="54973" ht="12" customHeight="1"/>
    <row r="54974" ht="12" customHeight="1"/>
    <row r="54975" ht="12" customHeight="1"/>
    <row r="54976" ht="12" customHeight="1"/>
    <row r="54977" ht="12" customHeight="1"/>
    <row r="54978" ht="12" customHeight="1"/>
    <row r="54979" ht="12" customHeight="1"/>
    <row r="54980" ht="12" customHeight="1"/>
    <row r="54981" ht="12" customHeight="1"/>
    <row r="54982" ht="12" customHeight="1"/>
    <row r="54983" ht="12" customHeight="1"/>
    <row r="54984" ht="12" customHeight="1"/>
    <row r="54985" ht="12" customHeight="1"/>
    <row r="54986" ht="12" customHeight="1"/>
    <row r="54987" ht="12" customHeight="1"/>
    <row r="54988" ht="12" customHeight="1"/>
    <row r="54989" ht="12" customHeight="1"/>
    <row r="54990" ht="12" customHeight="1"/>
    <row r="54991" ht="12" customHeight="1"/>
    <row r="54992" ht="12" customHeight="1"/>
    <row r="54993" ht="12" customHeight="1"/>
    <row r="54994" ht="12" customHeight="1"/>
    <row r="54995" ht="12" customHeight="1"/>
    <row r="54996" ht="12" customHeight="1"/>
    <row r="54997" ht="12" customHeight="1"/>
    <row r="54998" ht="12" customHeight="1"/>
    <row r="54999" ht="12" customHeight="1"/>
    <row r="55000" ht="12" customHeight="1"/>
    <row r="55001" ht="12" customHeight="1"/>
    <row r="55002" ht="12" customHeight="1"/>
    <row r="55003" ht="12" customHeight="1"/>
    <row r="55004" ht="12" customHeight="1"/>
    <row r="55005" ht="12" customHeight="1"/>
    <row r="55006" ht="12" customHeight="1"/>
    <row r="55007" ht="12" customHeight="1"/>
    <row r="55008" ht="12" customHeight="1"/>
    <row r="55009" ht="12" customHeight="1"/>
    <row r="55010" ht="12" customHeight="1"/>
    <row r="55011" ht="12" customHeight="1"/>
    <row r="55012" ht="12" customHeight="1"/>
    <row r="55013" ht="12" customHeight="1"/>
    <row r="55014" ht="12" customHeight="1"/>
    <row r="55015" ht="12" customHeight="1"/>
    <row r="55016" ht="12" customHeight="1"/>
    <row r="55017" ht="12" customHeight="1"/>
    <row r="55018" ht="12" customHeight="1"/>
    <row r="55019" ht="12" customHeight="1"/>
    <row r="55020" ht="12" customHeight="1"/>
    <row r="55021" ht="12" customHeight="1"/>
    <row r="55022" ht="12" customHeight="1"/>
    <row r="55023" ht="12" customHeight="1"/>
    <row r="55024" ht="12" customHeight="1"/>
    <row r="55025" ht="12" customHeight="1"/>
    <row r="55026" ht="12" customHeight="1"/>
    <row r="55027" ht="12" customHeight="1"/>
    <row r="55028" ht="12" customHeight="1"/>
    <row r="55029" ht="12" customHeight="1"/>
    <row r="55030" ht="12" customHeight="1"/>
    <row r="55031" ht="12" customHeight="1"/>
    <row r="55032" ht="12" customHeight="1"/>
    <row r="55033" ht="12" customHeight="1"/>
    <row r="55034" ht="12" customHeight="1"/>
    <row r="55035" ht="12" customHeight="1"/>
    <row r="55036" ht="12" customHeight="1"/>
    <row r="55037" ht="12" customHeight="1"/>
    <row r="55038" ht="12" customHeight="1"/>
    <row r="55039" ht="12" customHeight="1"/>
    <row r="55040" ht="12" customHeight="1"/>
    <row r="55041" ht="12" customHeight="1"/>
    <row r="55042" ht="12" customHeight="1"/>
    <row r="55043" ht="12" customHeight="1"/>
    <row r="55044" ht="12" customHeight="1"/>
    <row r="55045" ht="12" customHeight="1"/>
    <row r="55046" ht="12" customHeight="1"/>
    <row r="55047" ht="12" customHeight="1"/>
    <row r="55048" ht="12" customHeight="1"/>
    <row r="55049" ht="12" customHeight="1"/>
    <row r="55050" ht="12" customHeight="1"/>
    <row r="55051" ht="12" customHeight="1"/>
    <row r="55052" ht="12" customHeight="1"/>
    <row r="55053" ht="12" customHeight="1"/>
    <row r="55054" ht="12" customHeight="1"/>
    <row r="55055" ht="12" customHeight="1"/>
    <row r="55056" ht="12" customHeight="1"/>
    <row r="55057" ht="12" customHeight="1"/>
    <row r="55058" ht="12" customHeight="1"/>
    <row r="55059" ht="12" customHeight="1"/>
    <row r="55060" ht="12" customHeight="1"/>
    <row r="55061" ht="12" customHeight="1"/>
    <row r="55062" ht="12" customHeight="1"/>
    <row r="55063" ht="12" customHeight="1"/>
    <row r="55064" ht="12" customHeight="1"/>
    <row r="55065" ht="12" customHeight="1"/>
    <row r="55066" ht="12" customHeight="1"/>
    <row r="55067" ht="12" customHeight="1"/>
    <row r="55068" ht="12" customHeight="1"/>
    <row r="55069" ht="12" customHeight="1"/>
    <row r="55070" ht="12" customHeight="1"/>
    <row r="55071" ht="12" customHeight="1"/>
    <row r="55072" ht="12" customHeight="1"/>
    <row r="55073" ht="12" customHeight="1"/>
    <row r="55074" ht="12" customHeight="1"/>
    <row r="55075" ht="12" customHeight="1"/>
    <row r="55076" ht="12" customHeight="1"/>
    <row r="55077" ht="12" customHeight="1"/>
    <row r="55078" ht="12" customHeight="1"/>
    <row r="55079" ht="12" customHeight="1"/>
    <row r="55080" ht="12" customHeight="1"/>
    <row r="55081" ht="12" customHeight="1"/>
    <row r="55082" ht="12" customHeight="1"/>
    <row r="55083" ht="12" customHeight="1"/>
    <row r="55084" ht="12" customHeight="1"/>
    <row r="55085" ht="12" customHeight="1"/>
    <row r="55086" ht="12" customHeight="1"/>
    <row r="55087" ht="12" customHeight="1"/>
    <row r="55088" ht="12" customHeight="1"/>
    <row r="55089" ht="12" customHeight="1"/>
    <row r="55090" ht="12" customHeight="1"/>
    <row r="55091" ht="12" customHeight="1"/>
    <row r="55092" ht="12" customHeight="1"/>
    <row r="55093" ht="12" customHeight="1"/>
    <row r="55094" ht="12" customHeight="1"/>
    <row r="55095" ht="12" customHeight="1"/>
    <row r="55096" ht="12" customHeight="1"/>
    <row r="55097" ht="12" customHeight="1"/>
    <row r="55098" ht="12" customHeight="1"/>
    <row r="55099" ht="12" customHeight="1"/>
    <row r="55100" ht="12" customHeight="1"/>
    <row r="55101" ht="12" customHeight="1"/>
    <row r="55102" ht="12" customHeight="1"/>
    <row r="55103" ht="12" customHeight="1"/>
    <row r="55104" ht="12" customHeight="1"/>
    <row r="55105" ht="12" customHeight="1"/>
    <row r="55106" ht="12" customHeight="1"/>
    <row r="55107" ht="12" customHeight="1"/>
    <row r="55108" ht="12" customHeight="1"/>
    <row r="55109" ht="12" customHeight="1"/>
    <row r="55110" ht="12" customHeight="1"/>
    <row r="55111" ht="12" customHeight="1"/>
    <row r="55112" ht="12" customHeight="1"/>
    <row r="55113" ht="12" customHeight="1"/>
    <row r="55114" ht="12" customHeight="1"/>
    <row r="55115" ht="12" customHeight="1"/>
    <row r="55116" ht="12" customHeight="1"/>
    <row r="55117" ht="12" customHeight="1"/>
    <row r="55118" ht="12" customHeight="1"/>
    <row r="55119" ht="12" customHeight="1"/>
    <row r="55120" ht="12" customHeight="1"/>
    <row r="55121" ht="12" customHeight="1"/>
    <row r="55122" ht="12" customHeight="1"/>
    <row r="55123" ht="12" customHeight="1"/>
    <row r="55124" ht="12" customHeight="1"/>
    <row r="55125" ht="12" customHeight="1"/>
    <row r="55126" ht="12" customHeight="1"/>
    <row r="55127" ht="12" customHeight="1"/>
    <row r="55128" ht="12" customHeight="1"/>
    <row r="55129" ht="12" customHeight="1"/>
    <row r="55130" ht="12" customHeight="1"/>
    <row r="55131" ht="12" customHeight="1"/>
    <row r="55132" ht="12" customHeight="1"/>
    <row r="55133" ht="12" customHeight="1"/>
    <row r="55134" ht="12" customHeight="1"/>
    <row r="55135" ht="12" customHeight="1"/>
    <row r="55136" ht="12" customHeight="1"/>
    <row r="55137" ht="12" customHeight="1"/>
    <row r="55138" ht="12" customHeight="1"/>
    <row r="55139" ht="12" customHeight="1"/>
    <row r="55140" ht="12" customHeight="1"/>
    <row r="55141" ht="12" customHeight="1"/>
    <row r="55142" ht="12" customHeight="1"/>
    <row r="55143" ht="12" customHeight="1"/>
    <row r="55144" ht="12" customHeight="1"/>
    <row r="55145" ht="12" customHeight="1"/>
    <row r="55146" ht="12" customHeight="1"/>
    <row r="55147" ht="12" customHeight="1"/>
    <row r="55148" ht="12" customHeight="1"/>
    <row r="55149" ht="12" customHeight="1"/>
    <row r="55150" ht="12" customHeight="1"/>
    <row r="55151" ht="12" customHeight="1"/>
    <row r="55152" ht="12" customHeight="1"/>
    <row r="55153" ht="12" customHeight="1"/>
    <row r="55154" ht="12" customHeight="1"/>
    <row r="55155" ht="12" customHeight="1"/>
    <row r="55156" ht="12" customHeight="1"/>
    <row r="55157" ht="12" customHeight="1"/>
    <row r="55158" ht="12" customHeight="1"/>
    <row r="55159" ht="12" customHeight="1"/>
    <row r="55160" ht="12" customHeight="1"/>
    <row r="55161" ht="12" customHeight="1"/>
    <row r="55162" ht="12" customHeight="1"/>
    <row r="55163" ht="12" customHeight="1"/>
    <row r="55164" ht="12" customHeight="1"/>
    <row r="55165" ht="12" customHeight="1"/>
    <row r="55166" ht="12" customHeight="1"/>
    <row r="55167" ht="12" customHeight="1"/>
    <row r="55168" ht="12" customHeight="1"/>
    <row r="55169" ht="12" customHeight="1"/>
    <row r="55170" ht="12" customHeight="1"/>
    <row r="55171" ht="12" customHeight="1"/>
    <row r="55172" ht="12" customHeight="1"/>
    <row r="55173" ht="12" customHeight="1"/>
    <row r="55174" ht="12" customHeight="1"/>
    <row r="55175" ht="12" customHeight="1"/>
    <row r="55176" ht="12" customHeight="1"/>
    <row r="55177" ht="12" customHeight="1"/>
    <row r="55178" ht="12" customHeight="1"/>
    <row r="55179" ht="12" customHeight="1"/>
    <row r="55180" ht="12" customHeight="1"/>
    <row r="55181" ht="12" customHeight="1"/>
    <row r="55182" ht="12" customHeight="1"/>
    <row r="55183" ht="12" customHeight="1"/>
    <row r="55184" ht="12" customHeight="1"/>
    <row r="55185" ht="12" customHeight="1"/>
    <row r="55186" ht="12" customHeight="1"/>
    <row r="55187" ht="12" customHeight="1"/>
    <row r="55188" ht="12" customHeight="1"/>
    <row r="55189" ht="12" customHeight="1"/>
    <row r="55190" ht="12" customHeight="1"/>
    <row r="55191" ht="12" customHeight="1"/>
    <row r="55192" ht="12" customHeight="1"/>
    <row r="55193" ht="12" customHeight="1"/>
    <row r="55194" ht="12" customHeight="1"/>
    <row r="55195" ht="12" customHeight="1"/>
    <row r="55196" ht="12" customHeight="1"/>
    <row r="55197" ht="12" customHeight="1"/>
    <row r="55198" ht="12" customHeight="1"/>
    <row r="55199" ht="12" customHeight="1"/>
    <row r="55200" ht="12" customHeight="1"/>
    <row r="55201" ht="12" customHeight="1"/>
    <row r="55202" ht="12" customHeight="1"/>
    <row r="55203" ht="12" customHeight="1"/>
    <row r="55204" ht="12" customHeight="1"/>
    <row r="55205" ht="12" customHeight="1"/>
    <row r="55206" ht="12" customHeight="1"/>
    <row r="55207" ht="12" customHeight="1"/>
    <row r="55208" ht="12" customHeight="1"/>
    <row r="55209" ht="12" customHeight="1"/>
    <row r="55210" ht="12" customHeight="1"/>
    <row r="55211" ht="12" customHeight="1"/>
    <row r="55212" ht="12" customHeight="1"/>
    <row r="55213" ht="12" customHeight="1"/>
    <row r="55214" ht="12" customHeight="1"/>
    <row r="55215" ht="12" customHeight="1"/>
    <row r="55216" ht="12" customHeight="1"/>
    <row r="55217" ht="12" customHeight="1"/>
    <row r="55218" ht="12" customHeight="1"/>
    <row r="55219" ht="12" customHeight="1"/>
    <row r="55220" ht="12" customHeight="1"/>
    <row r="55221" ht="12" customHeight="1"/>
    <row r="55222" ht="12" customHeight="1"/>
    <row r="55223" ht="12" customHeight="1"/>
    <row r="55224" ht="12" customHeight="1"/>
    <row r="55225" ht="12" customHeight="1"/>
    <row r="55226" ht="12" customHeight="1"/>
    <row r="55227" ht="12" customHeight="1"/>
    <row r="55228" ht="12" customHeight="1"/>
    <row r="55229" ht="12" customHeight="1"/>
    <row r="55230" ht="12" customHeight="1"/>
    <row r="55231" ht="12" customHeight="1"/>
    <row r="55232" ht="12" customHeight="1"/>
    <row r="55233" ht="12" customHeight="1"/>
    <row r="55234" ht="12" customHeight="1"/>
    <row r="55235" ht="12" customHeight="1"/>
    <row r="55236" ht="12" customHeight="1"/>
    <row r="55237" ht="12" customHeight="1"/>
    <row r="55238" ht="12" customHeight="1"/>
    <row r="55239" ht="12" customHeight="1"/>
    <row r="55240" ht="12" customHeight="1"/>
    <row r="55241" ht="12" customHeight="1"/>
    <row r="55242" ht="12" customHeight="1"/>
    <row r="55243" ht="12" customHeight="1"/>
    <row r="55244" ht="12" customHeight="1"/>
    <row r="55245" ht="12" customHeight="1"/>
    <row r="55246" ht="12" customHeight="1"/>
    <row r="55247" ht="12" customHeight="1"/>
    <row r="55248" ht="12" customHeight="1"/>
    <row r="55249" ht="12" customHeight="1"/>
    <row r="55250" ht="12" customHeight="1"/>
    <row r="55251" ht="12" customHeight="1"/>
    <row r="55252" ht="12" customHeight="1"/>
    <row r="55253" ht="12" customHeight="1"/>
    <row r="55254" ht="12" customHeight="1"/>
    <row r="55255" ht="12" customHeight="1"/>
    <row r="55256" ht="12" customHeight="1"/>
    <row r="55257" ht="12" customHeight="1"/>
    <row r="55258" ht="12" customHeight="1"/>
    <row r="55259" ht="12" customHeight="1"/>
    <row r="55260" ht="12" customHeight="1"/>
    <row r="55261" ht="12" customHeight="1"/>
    <row r="55262" ht="12" customHeight="1"/>
    <row r="55263" ht="12" customHeight="1"/>
    <row r="55264" ht="12" customHeight="1"/>
    <row r="55265" ht="12" customHeight="1"/>
    <row r="55266" ht="12" customHeight="1"/>
    <row r="55267" ht="12" customHeight="1"/>
    <row r="55268" ht="12" customHeight="1"/>
    <row r="55269" ht="12" customHeight="1"/>
    <row r="55270" ht="12" customHeight="1"/>
    <row r="55271" ht="12" customHeight="1"/>
    <row r="55272" ht="12" customHeight="1"/>
    <row r="55273" ht="12" customHeight="1"/>
    <row r="55274" ht="12" customHeight="1"/>
    <row r="55275" ht="12" customHeight="1"/>
    <row r="55276" ht="12" customHeight="1"/>
    <row r="55277" ht="12" customHeight="1"/>
    <row r="55278" ht="12" customHeight="1"/>
    <row r="55279" ht="12" customHeight="1"/>
    <row r="55280" ht="12" customHeight="1"/>
    <row r="55281" ht="12" customHeight="1"/>
    <row r="55282" ht="12" customHeight="1"/>
    <row r="55283" ht="12" customHeight="1"/>
    <row r="55284" ht="12" customHeight="1"/>
    <row r="55285" ht="12" customHeight="1"/>
    <row r="55286" ht="12" customHeight="1"/>
    <row r="55287" ht="12" customHeight="1"/>
    <row r="55288" ht="12" customHeight="1"/>
    <row r="55289" ht="12" customHeight="1"/>
    <row r="55290" ht="12" customHeight="1"/>
    <row r="55291" ht="12" customHeight="1"/>
    <row r="55292" ht="12" customHeight="1"/>
    <row r="55293" ht="12" customHeight="1"/>
    <row r="55294" ht="12" customHeight="1"/>
    <row r="55295" ht="12" customHeight="1"/>
    <row r="55296" ht="12" customHeight="1"/>
    <row r="55297" ht="12" customHeight="1"/>
    <row r="55298" ht="12" customHeight="1"/>
    <row r="55299" ht="12" customHeight="1"/>
    <row r="55300" ht="12" customHeight="1"/>
    <row r="55301" ht="12" customHeight="1"/>
    <row r="55302" ht="12" customHeight="1"/>
    <row r="55303" ht="12" customHeight="1"/>
    <row r="55304" ht="12" customHeight="1"/>
    <row r="55305" ht="12" customHeight="1"/>
    <row r="55306" ht="12" customHeight="1"/>
    <row r="55307" ht="12" customHeight="1"/>
    <row r="55308" ht="12" customHeight="1"/>
    <row r="55309" ht="12" customHeight="1"/>
    <row r="55310" ht="12" customHeight="1"/>
    <row r="55311" ht="12" customHeight="1"/>
    <row r="55312" ht="12" customHeight="1"/>
    <row r="55313" ht="12" customHeight="1"/>
    <row r="55314" ht="12" customHeight="1"/>
    <row r="55315" ht="12" customHeight="1"/>
    <row r="55316" ht="12" customHeight="1"/>
    <row r="55317" ht="12" customHeight="1"/>
    <row r="55318" ht="12" customHeight="1"/>
    <row r="55319" ht="12" customHeight="1"/>
    <row r="55320" ht="12" customHeight="1"/>
    <row r="55321" ht="12" customHeight="1"/>
    <row r="55322" ht="12" customHeight="1"/>
    <row r="55323" ht="12" customHeight="1"/>
    <row r="55324" ht="12" customHeight="1"/>
    <row r="55325" ht="12" customHeight="1"/>
    <row r="55326" ht="12" customHeight="1"/>
    <row r="55327" ht="12" customHeight="1"/>
    <row r="55328" ht="12" customHeight="1"/>
    <row r="55329" ht="12" customHeight="1"/>
    <row r="55330" ht="12" customHeight="1"/>
    <row r="55331" ht="12" customHeight="1"/>
    <row r="55332" ht="12" customHeight="1"/>
    <row r="55333" ht="12" customHeight="1"/>
    <row r="55334" ht="12" customHeight="1"/>
    <row r="55335" ht="12" customHeight="1"/>
    <row r="55336" ht="12" customHeight="1"/>
    <row r="55337" ht="12" customHeight="1"/>
    <row r="55338" ht="12" customHeight="1"/>
    <row r="55339" ht="12" customHeight="1"/>
    <row r="55340" ht="12" customHeight="1"/>
    <row r="55341" ht="12" customHeight="1"/>
    <row r="55342" ht="12" customHeight="1"/>
    <row r="55343" ht="12" customHeight="1"/>
    <row r="55344" ht="12" customHeight="1"/>
    <row r="55345" ht="12" customHeight="1"/>
    <row r="55346" ht="12" customHeight="1"/>
    <row r="55347" ht="12" customHeight="1"/>
    <row r="55348" ht="12" customHeight="1"/>
    <row r="55349" ht="12" customHeight="1"/>
    <row r="55350" ht="12" customHeight="1"/>
    <row r="55351" ht="12" customHeight="1"/>
    <row r="55352" ht="12" customHeight="1"/>
    <row r="55353" ht="12" customHeight="1"/>
    <row r="55354" ht="12" customHeight="1"/>
    <row r="55355" ht="12" customHeight="1"/>
    <row r="55356" ht="12" customHeight="1"/>
    <row r="55357" ht="12" customHeight="1"/>
    <row r="55358" ht="12" customHeight="1"/>
    <row r="55359" ht="12" customHeight="1"/>
    <row r="55360" ht="12" customHeight="1"/>
    <row r="55361" ht="12" customHeight="1"/>
    <row r="55362" ht="12" customHeight="1"/>
    <row r="55363" ht="12" customHeight="1"/>
    <row r="55364" ht="12" customHeight="1"/>
    <row r="55365" ht="12" customHeight="1"/>
    <row r="55366" ht="12" customHeight="1"/>
    <row r="55367" ht="12" customHeight="1"/>
    <row r="55368" ht="12" customHeight="1"/>
    <row r="55369" ht="12" customHeight="1"/>
    <row r="55370" ht="12" customHeight="1"/>
    <row r="55371" ht="12" customHeight="1"/>
    <row r="55372" ht="12" customHeight="1"/>
    <row r="55373" ht="12" customHeight="1"/>
    <row r="55374" ht="12" customHeight="1"/>
    <row r="55375" ht="12" customHeight="1"/>
    <row r="55376" ht="12" customHeight="1"/>
    <row r="55377" ht="12" customHeight="1"/>
    <row r="55378" ht="12" customHeight="1"/>
    <row r="55379" ht="12" customHeight="1"/>
    <row r="55380" ht="12" customHeight="1"/>
    <row r="55381" ht="12" customHeight="1"/>
    <row r="55382" ht="12" customHeight="1"/>
    <row r="55383" ht="12" customHeight="1"/>
    <row r="55384" ht="12" customHeight="1"/>
    <row r="55385" ht="12" customHeight="1"/>
    <row r="55386" ht="12" customHeight="1"/>
    <row r="55387" ht="12" customHeight="1"/>
    <row r="55388" ht="12" customHeight="1"/>
    <row r="55389" ht="12" customHeight="1"/>
    <row r="55390" ht="12" customHeight="1"/>
    <row r="55391" ht="12" customHeight="1"/>
    <row r="55392" ht="12" customHeight="1"/>
    <row r="55393" ht="12" customHeight="1"/>
    <row r="55394" ht="12" customHeight="1"/>
    <row r="55395" ht="12" customHeight="1"/>
    <row r="55396" ht="12" customHeight="1"/>
    <row r="55397" ht="12" customHeight="1"/>
    <row r="55398" ht="12" customHeight="1"/>
    <row r="55399" ht="12" customHeight="1"/>
    <row r="55400" ht="12" customHeight="1"/>
    <row r="55401" ht="12" customHeight="1"/>
    <row r="55402" ht="12" customHeight="1"/>
    <row r="55403" ht="12" customHeight="1"/>
    <row r="55404" ht="12" customHeight="1"/>
    <row r="55405" ht="12" customHeight="1"/>
    <row r="55406" ht="12" customHeight="1"/>
    <row r="55407" ht="12" customHeight="1"/>
    <row r="55408" ht="12" customHeight="1"/>
    <row r="55409" ht="12" customHeight="1"/>
    <row r="55410" ht="12" customHeight="1"/>
    <row r="55411" ht="12" customHeight="1"/>
    <row r="55412" ht="12" customHeight="1"/>
    <row r="55413" ht="12" customHeight="1"/>
    <row r="55414" ht="12" customHeight="1"/>
    <row r="55415" ht="12" customHeight="1"/>
    <row r="55416" ht="12" customHeight="1"/>
    <row r="55417" ht="12" customHeight="1"/>
    <row r="55418" ht="12" customHeight="1"/>
    <row r="55419" ht="12" customHeight="1"/>
    <row r="55420" ht="12" customHeight="1"/>
    <row r="55421" ht="12" customHeight="1"/>
    <row r="55422" ht="12" customHeight="1"/>
    <row r="55423" ht="12" customHeight="1"/>
    <row r="55424" ht="12" customHeight="1"/>
    <row r="55425" ht="12" customHeight="1"/>
    <row r="55426" ht="12" customHeight="1"/>
    <row r="55427" ht="12" customHeight="1"/>
    <row r="55428" ht="12" customHeight="1"/>
    <row r="55429" ht="12" customHeight="1"/>
    <row r="55430" ht="12" customHeight="1"/>
    <row r="55431" ht="12" customHeight="1"/>
    <row r="55432" ht="12" customHeight="1"/>
    <row r="55433" ht="12" customHeight="1"/>
    <row r="55434" ht="12" customHeight="1"/>
    <row r="55435" ht="12" customHeight="1"/>
    <row r="55436" ht="12" customHeight="1"/>
    <row r="55437" ht="12" customHeight="1"/>
    <row r="55438" ht="12" customHeight="1"/>
    <row r="55439" ht="12" customHeight="1"/>
    <row r="55440" ht="12" customHeight="1"/>
    <row r="55441" ht="12" customHeight="1"/>
    <row r="55442" ht="12" customHeight="1"/>
    <row r="55443" ht="12" customHeight="1"/>
    <row r="55444" ht="12" customHeight="1"/>
    <row r="55445" ht="12" customHeight="1"/>
    <row r="55446" ht="12" customHeight="1"/>
    <row r="55447" ht="12" customHeight="1"/>
    <row r="55448" ht="12" customHeight="1"/>
    <row r="55449" ht="12" customHeight="1"/>
    <row r="55450" ht="12" customHeight="1"/>
    <row r="55451" ht="12" customHeight="1"/>
    <row r="55452" ht="12" customHeight="1"/>
    <row r="55453" ht="12" customHeight="1"/>
    <row r="55454" ht="12" customHeight="1"/>
    <row r="55455" ht="12" customHeight="1"/>
    <row r="55456" ht="12" customHeight="1"/>
    <row r="55457" ht="12" customHeight="1"/>
    <row r="55458" ht="12" customHeight="1"/>
    <row r="55459" ht="12" customHeight="1"/>
    <row r="55460" ht="12" customHeight="1"/>
    <row r="55461" ht="12" customHeight="1"/>
    <row r="55462" ht="12" customHeight="1"/>
    <row r="55463" ht="12" customHeight="1"/>
    <row r="55464" ht="12" customHeight="1"/>
    <row r="55465" ht="12" customHeight="1"/>
    <row r="55466" ht="12" customHeight="1"/>
    <row r="55467" ht="12" customHeight="1"/>
    <row r="55468" ht="12" customHeight="1"/>
    <row r="55469" ht="12" customHeight="1"/>
    <row r="55470" ht="12" customHeight="1"/>
    <row r="55471" ht="12" customHeight="1"/>
    <row r="55472" ht="12" customHeight="1"/>
    <row r="55473" ht="12" customHeight="1"/>
    <row r="55474" ht="12" customHeight="1"/>
    <row r="55475" ht="12" customHeight="1"/>
    <row r="55476" ht="12" customHeight="1"/>
    <row r="55477" ht="12" customHeight="1"/>
    <row r="55478" ht="12" customHeight="1"/>
    <row r="55479" ht="12" customHeight="1"/>
    <row r="55480" ht="12" customHeight="1"/>
    <row r="55481" ht="12" customHeight="1"/>
    <row r="55482" ht="12" customHeight="1"/>
    <row r="55483" ht="12" customHeight="1"/>
    <row r="55484" ht="12" customHeight="1"/>
    <row r="55485" ht="12" customHeight="1"/>
    <row r="55486" ht="12" customHeight="1"/>
    <row r="55487" ht="12" customHeight="1"/>
    <row r="55488" ht="12" customHeight="1"/>
    <row r="55489" ht="12" customHeight="1"/>
    <row r="55490" ht="12" customHeight="1"/>
    <row r="55491" ht="12" customHeight="1"/>
    <row r="55492" ht="12" customHeight="1"/>
    <row r="55493" ht="12" customHeight="1"/>
    <row r="55494" ht="12" customHeight="1"/>
    <row r="55495" ht="12" customHeight="1"/>
    <row r="55496" ht="12" customHeight="1"/>
    <row r="55497" ht="12" customHeight="1"/>
    <row r="55498" ht="12" customHeight="1"/>
    <row r="55499" ht="12" customHeight="1"/>
    <row r="55500" ht="12" customHeight="1"/>
    <row r="55501" ht="12" customHeight="1"/>
    <row r="55502" ht="12" customHeight="1"/>
    <row r="55503" ht="12" customHeight="1"/>
    <row r="55504" ht="12" customHeight="1"/>
    <row r="55505" ht="12" customHeight="1"/>
    <row r="55506" ht="12" customHeight="1"/>
    <row r="55507" ht="12" customHeight="1"/>
    <row r="55508" ht="12" customHeight="1"/>
    <row r="55509" ht="12" customHeight="1"/>
    <row r="55510" ht="12" customHeight="1"/>
    <row r="55511" ht="12" customHeight="1"/>
    <row r="55512" ht="12" customHeight="1"/>
    <row r="55513" ht="12" customHeight="1"/>
    <row r="55514" ht="12" customHeight="1"/>
    <row r="55515" ht="12" customHeight="1"/>
    <row r="55516" ht="12" customHeight="1"/>
    <row r="55517" ht="12" customHeight="1"/>
    <row r="55518" ht="12" customHeight="1"/>
    <row r="55519" ht="12" customHeight="1"/>
    <row r="55520" ht="12" customHeight="1"/>
    <row r="55521" ht="12" customHeight="1"/>
    <row r="55522" ht="12" customHeight="1"/>
    <row r="55523" ht="12" customHeight="1"/>
    <row r="55524" ht="12" customHeight="1"/>
    <row r="55525" ht="12" customHeight="1"/>
    <row r="55526" ht="12" customHeight="1"/>
    <row r="55527" ht="12" customHeight="1"/>
    <row r="55528" ht="12" customHeight="1"/>
    <row r="55529" ht="12" customHeight="1"/>
    <row r="55530" ht="12" customHeight="1"/>
    <row r="55531" ht="12" customHeight="1"/>
    <row r="55532" ht="12" customHeight="1"/>
    <row r="55533" ht="12" customHeight="1"/>
    <row r="55534" ht="12" customHeight="1"/>
    <row r="55535" ht="12" customHeight="1"/>
    <row r="55536" ht="12" customHeight="1"/>
    <row r="55537" ht="12" customHeight="1"/>
    <row r="55538" ht="12" customHeight="1"/>
    <row r="55539" ht="12" customHeight="1"/>
    <row r="55540" ht="12" customHeight="1"/>
    <row r="55541" ht="12" customHeight="1"/>
    <row r="55542" ht="12" customHeight="1"/>
    <row r="55543" ht="12" customHeight="1"/>
    <row r="55544" ht="12" customHeight="1"/>
    <row r="55545" ht="12" customHeight="1"/>
    <row r="55546" ht="12" customHeight="1"/>
    <row r="55547" ht="12" customHeight="1"/>
    <row r="55548" ht="12" customHeight="1"/>
    <row r="55549" ht="12" customHeight="1"/>
    <row r="55550" ht="12" customHeight="1"/>
    <row r="55551" ht="12" customHeight="1"/>
    <row r="55552" ht="12" customHeight="1"/>
    <row r="55553" ht="12" customHeight="1"/>
    <row r="55554" ht="12" customHeight="1"/>
    <row r="55555" ht="12" customHeight="1"/>
    <row r="55556" ht="12" customHeight="1"/>
    <row r="55557" ht="12" customHeight="1"/>
    <row r="55558" ht="12" customHeight="1"/>
    <row r="55559" ht="12" customHeight="1"/>
    <row r="55560" ht="12" customHeight="1"/>
    <row r="55561" ht="12" customHeight="1"/>
    <row r="55562" ht="12" customHeight="1"/>
    <row r="55563" ht="12" customHeight="1"/>
    <row r="55564" ht="12" customHeight="1"/>
    <row r="55565" ht="12" customHeight="1"/>
    <row r="55566" ht="12" customHeight="1"/>
    <row r="55567" ht="12" customHeight="1"/>
    <row r="55568" ht="12" customHeight="1"/>
    <row r="55569" ht="12" customHeight="1"/>
    <row r="55570" ht="12" customHeight="1"/>
    <row r="55571" ht="12" customHeight="1"/>
    <row r="55572" ht="12" customHeight="1"/>
    <row r="55573" ht="12" customHeight="1"/>
    <row r="55574" ht="12" customHeight="1"/>
    <row r="55575" ht="12" customHeight="1"/>
    <row r="55576" ht="12" customHeight="1"/>
    <row r="55577" ht="12" customHeight="1"/>
    <row r="55578" ht="12" customHeight="1"/>
    <row r="55579" ht="12" customHeight="1"/>
    <row r="55580" ht="12" customHeight="1"/>
    <row r="55581" ht="12" customHeight="1"/>
    <row r="55582" ht="12" customHeight="1"/>
    <row r="55583" ht="12" customHeight="1"/>
    <row r="55584" ht="12" customHeight="1"/>
    <row r="55585" ht="12" customHeight="1"/>
    <row r="55586" ht="12" customHeight="1"/>
    <row r="55587" ht="12" customHeight="1"/>
    <row r="55588" ht="12" customHeight="1"/>
    <row r="55589" ht="12" customHeight="1"/>
    <row r="55590" ht="12" customHeight="1"/>
    <row r="55591" ht="12" customHeight="1"/>
    <row r="55592" ht="12" customHeight="1"/>
    <row r="55593" ht="12" customHeight="1"/>
    <row r="55594" ht="12" customHeight="1"/>
    <row r="55595" ht="12" customHeight="1"/>
    <row r="55596" ht="12" customHeight="1"/>
    <row r="55597" ht="12" customHeight="1"/>
    <row r="55598" ht="12" customHeight="1"/>
    <row r="55599" ht="12" customHeight="1"/>
    <row r="55600" ht="12" customHeight="1"/>
    <row r="55601" ht="12" customHeight="1"/>
    <row r="55602" ht="12" customHeight="1"/>
    <row r="55603" ht="12" customHeight="1"/>
    <row r="55604" ht="12" customHeight="1"/>
    <row r="55605" ht="12" customHeight="1"/>
    <row r="55606" ht="12" customHeight="1"/>
    <row r="55607" ht="12" customHeight="1"/>
    <row r="55608" ht="12" customHeight="1"/>
    <row r="55609" ht="12" customHeight="1"/>
    <row r="55610" ht="12" customHeight="1"/>
    <row r="55611" ht="12" customHeight="1"/>
    <row r="55612" ht="12" customHeight="1"/>
    <row r="55613" ht="12" customHeight="1"/>
    <row r="55614" ht="12" customHeight="1"/>
    <row r="55615" ht="12" customHeight="1"/>
    <row r="55616" ht="12" customHeight="1"/>
    <row r="55617" ht="12" customHeight="1"/>
    <row r="55618" ht="12" customHeight="1"/>
    <row r="55619" ht="12" customHeight="1"/>
    <row r="55620" ht="12" customHeight="1"/>
    <row r="55621" ht="12" customHeight="1"/>
    <row r="55622" ht="12" customHeight="1"/>
    <row r="55623" ht="12" customHeight="1"/>
    <row r="55624" ht="12" customHeight="1"/>
    <row r="55625" ht="12" customHeight="1"/>
    <row r="55626" ht="12" customHeight="1"/>
    <row r="55627" ht="12" customHeight="1"/>
    <row r="55628" ht="12" customHeight="1"/>
    <row r="55629" ht="12" customHeight="1"/>
    <row r="55630" ht="12" customHeight="1"/>
    <row r="55631" ht="12" customHeight="1"/>
    <row r="55632" ht="12" customHeight="1"/>
    <row r="55633" ht="12" customHeight="1"/>
    <row r="55634" ht="12" customHeight="1"/>
    <row r="55635" ht="12" customHeight="1"/>
    <row r="55636" ht="12" customHeight="1"/>
    <row r="55637" ht="12" customHeight="1"/>
    <row r="55638" ht="12" customHeight="1"/>
    <row r="55639" ht="12" customHeight="1"/>
    <row r="55640" ht="12" customHeight="1"/>
    <row r="55641" ht="12" customHeight="1"/>
    <row r="55642" ht="12" customHeight="1"/>
    <row r="55643" ht="12" customHeight="1"/>
    <row r="55644" ht="12" customHeight="1"/>
    <row r="55645" ht="12" customHeight="1"/>
    <row r="55646" ht="12" customHeight="1"/>
    <row r="55647" ht="12" customHeight="1"/>
    <row r="55648" ht="12" customHeight="1"/>
    <row r="55649" ht="12" customHeight="1"/>
    <row r="55650" ht="12" customHeight="1"/>
    <row r="55651" ht="12" customHeight="1"/>
    <row r="55652" ht="12" customHeight="1"/>
    <row r="55653" ht="12" customHeight="1"/>
    <row r="55654" ht="12" customHeight="1"/>
    <row r="55655" ht="12" customHeight="1"/>
    <row r="55656" ht="12" customHeight="1"/>
    <row r="55657" ht="12" customHeight="1"/>
    <row r="55658" ht="12" customHeight="1"/>
    <row r="55659" ht="12" customHeight="1"/>
    <row r="55660" ht="12" customHeight="1"/>
    <row r="55661" ht="12" customHeight="1"/>
    <row r="55662" ht="12" customHeight="1"/>
    <row r="55663" ht="12" customHeight="1"/>
    <row r="55664" ht="12" customHeight="1"/>
    <row r="55665" ht="12" customHeight="1"/>
    <row r="55666" ht="12" customHeight="1"/>
    <row r="55667" ht="12" customHeight="1"/>
    <row r="55668" ht="12" customHeight="1"/>
    <row r="55669" ht="12" customHeight="1"/>
    <row r="55670" ht="12" customHeight="1"/>
    <row r="55671" ht="12" customHeight="1"/>
    <row r="55672" ht="12" customHeight="1"/>
    <row r="55673" ht="12" customHeight="1"/>
    <row r="55674" ht="12" customHeight="1"/>
    <row r="55675" ht="12" customHeight="1"/>
    <row r="55676" ht="12" customHeight="1"/>
    <row r="55677" ht="12" customHeight="1"/>
    <row r="55678" ht="12" customHeight="1"/>
    <row r="55679" ht="12" customHeight="1"/>
    <row r="55680" ht="12" customHeight="1"/>
    <row r="55681" ht="12" customHeight="1"/>
    <row r="55682" ht="12" customHeight="1"/>
    <row r="55683" ht="12" customHeight="1"/>
    <row r="55684" ht="12" customHeight="1"/>
    <row r="55685" ht="12" customHeight="1"/>
    <row r="55686" ht="12" customHeight="1"/>
    <row r="55687" ht="12" customHeight="1"/>
    <row r="55688" ht="12" customHeight="1"/>
    <row r="55689" ht="12" customHeight="1"/>
    <row r="55690" ht="12" customHeight="1"/>
    <row r="55691" ht="12" customHeight="1"/>
    <row r="55692" ht="12" customHeight="1"/>
    <row r="55693" ht="12" customHeight="1"/>
    <row r="55694" ht="12" customHeight="1"/>
    <row r="55695" ht="12" customHeight="1"/>
    <row r="55696" ht="12" customHeight="1"/>
    <row r="55697" ht="12" customHeight="1"/>
    <row r="55698" ht="12" customHeight="1"/>
    <row r="55699" ht="12" customHeight="1"/>
    <row r="55700" ht="12" customHeight="1"/>
    <row r="55701" ht="12" customHeight="1"/>
    <row r="55702" ht="12" customHeight="1"/>
    <row r="55703" ht="12" customHeight="1"/>
    <row r="55704" ht="12" customHeight="1"/>
    <row r="55705" ht="12" customHeight="1"/>
    <row r="55706" ht="12" customHeight="1"/>
    <row r="55707" ht="12" customHeight="1"/>
    <row r="55708" ht="12" customHeight="1"/>
    <row r="55709" ht="12" customHeight="1"/>
    <row r="55710" ht="12" customHeight="1"/>
    <row r="55711" ht="12" customHeight="1"/>
    <row r="55712" ht="12" customHeight="1"/>
    <row r="55713" ht="12" customHeight="1"/>
    <row r="55714" ht="12" customHeight="1"/>
    <row r="55715" ht="12" customHeight="1"/>
    <row r="55716" ht="12" customHeight="1"/>
    <row r="55717" ht="12" customHeight="1"/>
    <row r="55718" ht="12" customHeight="1"/>
    <row r="55719" ht="12" customHeight="1"/>
    <row r="55720" ht="12" customHeight="1"/>
    <row r="55721" ht="12" customHeight="1"/>
    <row r="55722" ht="12" customHeight="1"/>
    <row r="55723" ht="12" customHeight="1"/>
    <row r="55724" ht="12" customHeight="1"/>
    <row r="55725" ht="12" customHeight="1"/>
    <row r="55726" ht="12" customHeight="1"/>
    <row r="55727" ht="12" customHeight="1"/>
    <row r="55728" ht="12" customHeight="1"/>
    <row r="55729" ht="12" customHeight="1"/>
    <row r="55730" ht="12" customHeight="1"/>
    <row r="55731" ht="12" customHeight="1"/>
    <row r="55732" ht="12" customHeight="1"/>
    <row r="55733" ht="12" customHeight="1"/>
    <row r="55734" ht="12" customHeight="1"/>
    <row r="55735" ht="12" customHeight="1"/>
    <row r="55736" ht="12" customHeight="1"/>
    <row r="55737" ht="12" customHeight="1"/>
    <row r="55738" ht="12" customHeight="1"/>
    <row r="55739" ht="12" customHeight="1"/>
    <row r="55740" ht="12" customHeight="1"/>
    <row r="55741" ht="12" customHeight="1"/>
    <row r="55742" ht="12" customHeight="1"/>
    <row r="55743" ht="12" customHeight="1"/>
    <row r="55744" ht="12" customHeight="1"/>
    <row r="55745" ht="12" customHeight="1"/>
    <row r="55746" ht="12" customHeight="1"/>
    <row r="55747" ht="12" customHeight="1"/>
    <row r="55748" ht="12" customHeight="1"/>
    <row r="55749" ht="12" customHeight="1"/>
    <row r="55750" ht="12" customHeight="1"/>
    <row r="55751" ht="12" customHeight="1"/>
    <row r="55752" ht="12" customHeight="1"/>
    <row r="55753" ht="12" customHeight="1"/>
    <row r="55754" ht="12" customHeight="1"/>
    <row r="55755" ht="12" customHeight="1"/>
    <row r="55756" ht="12" customHeight="1"/>
    <row r="55757" ht="12" customHeight="1"/>
    <row r="55758" ht="12" customHeight="1"/>
    <row r="55759" ht="12" customHeight="1"/>
    <row r="55760" ht="12" customHeight="1"/>
    <row r="55761" ht="12" customHeight="1"/>
    <row r="55762" ht="12" customHeight="1"/>
    <row r="55763" ht="12" customHeight="1"/>
    <row r="55764" ht="12" customHeight="1"/>
    <row r="55765" ht="12" customHeight="1"/>
    <row r="55766" ht="12" customHeight="1"/>
    <row r="55767" ht="12" customHeight="1"/>
    <row r="55768" ht="12" customHeight="1"/>
    <row r="55769" ht="12" customHeight="1"/>
    <row r="55770" ht="12" customHeight="1"/>
    <row r="55771" ht="12" customHeight="1"/>
    <row r="55772" ht="12" customHeight="1"/>
    <row r="55773" ht="12" customHeight="1"/>
    <row r="55774" ht="12" customHeight="1"/>
    <row r="55775" ht="12" customHeight="1"/>
    <row r="55776" ht="12" customHeight="1"/>
    <row r="55777" ht="12" customHeight="1"/>
    <row r="55778" ht="12" customHeight="1"/>
    <row r="55779" ht="12" customHeight="1"/>
    <row r="55780" ht="12" customHeight="1"/>
    <row r="55781" ht="12" customHeight="1"/>
    <row r="55782" ht="12" customHeight="1"/>
    <row r="55783" ht="12" customHeight="1"/>
    <row r="55784" ht="12" customHeight="1"/>
    <row r="55785" ht="12" customHeight="1"/>
    <row r="55786" ht="12" customHeight="1"/>
    <row r="55787" ht="12" customHeight="1"/>
    <row r="55788" ht="12" customHeight="1"/>
    <row r="55789" ht="12" customHeight="1"/>
    <row r="55790" ht="12" customHeight="1"/>
    <row r="55791" ht="12" customHeight="1"/>
    <row r="55792" ht="12" customHeight="1"/>
    <row r="55793" ht="12" customHeight="1"/>
    <row r="55794" ht="12" customHeight="1"/>
    <row r="55795" ht="12" customHeight="1"/>
    <row r="55796" ht="12" customHeight="1"/>
    <row r="55797" ht="12" customHeight="1"/>
    <row r="55798" ht="12" customHeight="1"/>
    <row r="55799" ht="12" customHeight="1"/>
    <row r="55800" ht="12" customHeight="1"/>
    <row r="55801" ht="12" customHeight="1"/>
    <row r="55802" ht="12" customHeight="1"/>
    <row r="55803" ht="12" customHeight="1"/>
    <row r="55804" ht="12" customHeight="1"/>
    <row r="55805" ht="12" customHeight="1"/>
    <row r="55806" ht="12" customHeight="1"/>
    <row r="55807" ht="12" customHeight="1"/>
    <row r="55808" ht="12" customHeight="1"/>
    <row r="55809" ht="12" customHeight="1"/>
    <row r="55810" ht="12" customHeight="1"/>
    <row r="55811" ht="12" customHeight="1"/>
    <row r="55812" ht="12" customHeight="1"/>
    <row r="55813" ht="12" customHeight="1"/>
    <row r="55814" ht="12" customHeight="1"/>
    <row r="55815" ht="12" customHeight="1"/>
    <row r="55816" ht="12" customHeight="1"/>
    <row r="55817" ht="12" customHeight="1"/>
    <row r="55818" ht="12" customHeight="1"/>
    <row r="55819" ht="12" customHeight="1"/>
    <row r="55820" ht="12" customHeight="1"/>
    <row r="55821" ht="12" customHeight="1"/>
    <row r="55822" ht="12" customHeight="1"/>
    <row r="55823" ht="12" customHeight="1"/>
    <row r="55824" ht="12" customHeight="1"/>
    <row r="55825" ht="12" customHeight="1"/>
    <row r="55826" ht="12" customHeight="1"/>
    <row r="55827" ht="12" customHeight="1"/>
    <row r="55828" ht="12" customHeight="1"/>
    <row r="55829" ht="12" customHeight="1"/>
    <row r="55830" ht="12" customHeight="1"/>
    <row r="55831" ht="12" customHeight="1"/>
    <row r="55832" ht="12" customHeight="1"/>
    <row r="55833" ht="12" customHeight="1"/>
    <row r="55834" ht="12" customHeight="1"/>
    <row r="55835" ht="12" customHeight="1"/>
    <row r="55836" ht="12" customHeight="1"/>
    <row r="55837" ht="12" customHeight="1"/>
    <row r="55838" ht="12" customHeight="1"/>
    <row r="55839" ht="12" customHeight="1"/>
    <row r="55840" ht="12" customHeight="1"/>
    <row r="55841" ht="12" customHeight="1"/>
    <row r="55842" ht="12" customHeight="1"/>
    <row r="55843" ht="12" customHeight="1"/>
    <row r="55844" ht="12" customHeight="1"/>
    <row r="55845" ht="12" customHeight="1"/>
    <row r="55846" ht="12" customHeight="1"/>
    <row r="55847" ht="12" customHeight="1"/>
    <row r="55848" ht="12" customHeight="1"/>
    <row r="55849" ht="12" customHeight="1"/>
    <row r="55850" ht="12" customHeight="1"/>
    <row r="55851" ht="12" customHeight="1"/>
    <row r="55852" ht="12" customHeight="1"/>
    <row r="55853" ht="12" customHeight="1"/>
    <row r="55854" ht="12" customHeight="1"/>
    <row r="55855" ht="12" customHeight="1"/>
    <row r="55856" ht="12" customHeight="1"/>
    <row r="55857" ht="12" customHeight="1"/>
    <row r="55858" ht="12" customHeight="1"/>
    <row r="55859" ht="12" customHeight="1"/>
    <row r="55860" ht="12" customHeight="1"/>
    <row r="55861" ht="12" customHeight="1"/>
    <row r="55862" ht="12" customHeight="1"/>
    <row r="55863" ht="12" customHeight="1"/>
    <row r="55864" ht="12" customHeight="1"/>
    <row r="55865" ht="12" customHeight="1"/>
    <row r="55866" ht="12" customHeight="1"/>
    <row r="55867" ht="12" customHeight="1"/>
    <row r="55868" ht="12" customHeight="1"/>
    <row r="55869" ht="12" customHeight="1"/>
    <row r="55870" ht="12" customHeight="1"/>
    <row r="55871" ht="12" customHeight="1"/>
    <row r="55872" ht="12" customHeight="1"/>
    <row r="55873" ht="12" customHeight="1"/>
    <row r="55874" ht="12" customHeight="1"/>
    <row r="55875" ht="12" customHeight="1"/>
    <row r="55876" ht="12" customHeight="1"/>
    <row r="55877" ht="12" customHeight="1"/>
    <row r="55878" ht="12" customHeight="1"/>
    <row r="55879" ht="12" customHeight="1"/>
    <row r="55880" ht="12" customHeight="1"/>
    <row r="55881" ht="12" customHeight="1"/>
    <row r="55882" ht="12" customHeight="1"/>
    <row r="55883" ht="12" customHeight="1"/>
    <row r="55884" ht="12" customHeight="1"/>
    <row r="55885" ht="12" customHeight="1"/>
    <row r="55886" ht="12" customHeight="1"/>
    <row r="55887" ht="12" customHeight="1"/>
    <row r="55888" ht="12" customHeight="1"/>
    <row r="55889" ht="12" customHeight="1"/>
    <row r="55890" ht="12" customHeight="1"/>
    <row r="55891" ht="12" customHeight="1"/>
    <row r="55892" ht="12" customHeight="1"/>
    <row r="55893" ht="12" customHeight="1"/>
    <row r="55894" ht="12" customHeight="1"/>
    <row r="55895" ht="12" customHeight="1"/>
    <row r="55896" ht="12" customHeight="1"/>
    <row r="55897" ht="12" customHeight="1"/>
    <row r="55898" ht="12" customHeight="1"/>
    <row r="55899" ht="12" customHeight="1"/>
    <row r="55900" ht="12" customHeight="1"/>
    <row r="55901" ht="12" customHeight="1"/>
    <row r="55902" ht="12" customHeight="1"/>
    <row r="55903" ht="12" customHeight="1"/>
    <row r="55904" ht="12" customHeight="1"/>
    <row r="55905" ht="12" customHeight="1"/>
    <row r="55906" ht="12" customHeight="1"/>
    <row r="55907" ht="12" customHeight="1"/>
    <row r="55908" ht="12" customHeight="1"/>
    <row r="55909" ht="12" customHeight="1"/>
    <row r="55910" ht="12" customHeight="1"/>
    <row r="55911" ht="12" customHeight="1"/>
    <row r="55912" ht="12" customHeight="1"/>
    <row r="55913" ht="12" customHeight="1"/>
    <row r="55914" ht="12" customHeight="1"/>
    <row r="55915" ht="12" customHeight="1"/>
    <row r="55916" ht="12" customHeight="1"/>
    <row r="55917" ht="12" customHeight="1"/>
    <row r="55918" ht="12" customHeight="1"/>
    <row r="55919" ht="12" customHeight="1"/>
    <row r="55920" ht="12" customHeight="1"/>
    <row r="55921" ht="12" customHeight="1"/>
    <row r="55922" ht="12" customHeight="1"/>
    <row r="55923" ht="12" customHeight="1"/>
    <row r="55924" ht="12" customHeight="1"/>
    <row r="55925" ht="12" customHeight="1"/>
    <row r="55926" ht="12" customHeight="1"/>
    <row r="55927" ht="12" customHeight="1"/>
    <row r="55928" ht="12" customHeight="1"/>
    <row r="55929" ht="12" customHeight="1"/>
    <row r="55930" ht="12" customHeight="1"/>
    <row r="55931" ht="12" customHeight="1"/>
    <row r="55932" ht="12" customHeight="1"/>
    <row r="55933" ht="12" customHeight="1"/>
    <row r="55934" ht="12" customHeight="1"/>
    <row r="55935" ht="12" customHeight="1"/>
    <row r="55936" ht="12" customHeight="1"/>
    <row r="55937" ht="12" customHeight="1"/>
    <row r="55938" ht="12" customHeight="1"/>
    <row r="55939" ht="12" customHeight="1"/>
    <row r="55940" ht="12" customHeight="1"/>
    <row r="55941" ht="12" customHeight="1"/>
    <row r="55942" ht="12" customHeight="1"/>
    <row r="55943" ht="12" customHeight="1"/>
    <row r="55944" ht="12" customHeight="1"/>
    <row r="55945" ht="12" customHeight="1"/>
    <row r="55946" ht="12" customHeight="1"/>
    <row r="55947" ht="12" customHeight="1"/>
    <row r="55948" ht="12" customHeight="1"/>
    <row r="55949" ht="12" customHeight="1"/>
    <row r="55950" ht="12" customHeight="1"/>
    <row r="55951" ht="12" customHeight="1"/>
    <row r="55952" ht="12" customHeight="1"/>
    <row r="55953" ht="12" customHeight="1"/>
    <row r="55954" ht="12" customHeight="1"/>
    <row r="55955" ht="12" customHeight="1"/>
    <row r="55956" ht="12" customHeight="1"/>
    <row r="55957" ht="12" customHeight="1"/>
    <row r="55958" ht="12" customHeight="1"/>
    <row r="55959" ht="12" customHeight="1"/>
    <row r="55960" ht="12" customHeight="1"/>
    <row r="55961" ht="12" customHeight="1"/>
    <row r="55962" ht="12" customHeight="1"/>
    <row r="55963" ht="12" customHeight="1"/>
    <row r="55964" ht="12" customHeight="1"/>
    <row r="55965" ht="12" customHeight="1"/>
    <row r="55966" ht="12" customHeight="1"/>
    <row r="55967" ht="12" customHeight="1"/>
    <row r="55968" ht="12" customHeight="1"/>
    <row r="55969" ht="12" customHeight="1"/>
    <row r="55970" ht="12" customHeight="1"/>
    <row r="55971" ht="12" customHeight="1"/>
    <row r="55972" ht="12" customHeight="1"/>
    <row r="55973" ht="12" customHeight="1"/>
    <row r="55974" ht="12" customHeight="1"/>
    <row r="55975" ht="12" customHeight="1"/>
    <row r="55976" ht="12" customHeight="1"/>
    <row r="55977" ht="12" customHeight="1"/>
    <row r="55978" ht="12" customHeight="1"/>
    <row r="55979" ht="12" customHeight="1"/>
    <row r="55980" ht="12" customHeight="1"/>
    <row r="55981" ht="12" customHeight="1"/>
    <row r="55982" ht="12" customHeight="1"/>
    <row r="55983" ht="12" customHeight="1"/>
    <row r="55984" ht="12" customHeight="1"/>
    <row r="55985" ht="12" customHeight="1"/>
    <row r="55986" ht="12" customHeight="1"/>
    <row r="55987" ht="12" customHeight="1"/>
    <row r="55988" ht="12" customHeight="1"/>
    <row r="55989" ht="12" customHeight="1"/>
    <row r="55990" ht="12" customHeight="1"/>
    <row r="55991" ht="12" customHeight="1"/>
    <row r="55992" ht="12" customHeight="1"/>
    <row r="55993" ht="12" customHeight="1"/>
    <row r="55994" ht="12" customHeight="1"/>
    <row r="55995" ht="12" customHeight="1"/>
    <row r="55996" ht="12" customHeight="1"/>
    <row r="55997" ht="12" customHeight="1"/>
    <row r="55998" ht="12" customHeight="1"/>
    <row r="55999" ht="12" customHeight="1"/>
    <row r="56000" ht="12" customHeight="1"/>
    <row r="56001" ht="12" customHeight="1"/>
    <row r="56002" ht="12" customHeight="1"/>
    <row r="56003" ht="12" customHeight="1"/>
    <row r="56004" ht="12" customHeight="1"/>
    <row r="56005" ht="12" customHeight="1"/>
    <row r="56006" ht="12" customHeight="1"/>
    <row r="56007" ht="12" customHeight="1"/>
    <row r="56008" ht="12" customHeight="1"/>
    <row r="56009" ht="12" customHeight="1"/>
    <row r="56010" ht="12" customHeight="1"/>
    <row r="56011" ht="12" customHeight="1"/>
    <row r="56012" ht="12" customHeight="1"/>
    <row r="56013" ht="12" customHeight="1"/>
    <row r="56014" ht="12" customHeight="1"/>
    <row r="56015" ht="12" customHeight="1"/>
    <row r="56016" ht="12" customHeight="1"/>
    <row r="56017" ht="12" customHeight="1"/>
    <row r="56018" ht="12" customHeight="1"/>
    <row r="56019" ht="12" customHeight="1"/>
    <row r="56020" ht="12" customHeight="1"/>
    <row r="56021" ht="12" customHeight="1"/>
    <row r="56022" ht="12" customHeight="1"/>
    <row r="56023" ht="12" customHeight="1"/>
    <row r="56024" ht="12" customHeight="1"/>
    <row r="56025" ht="12" customHeight="1"/>
    <row r="56026" ht="12" customHeight="1"/>
    <row r="56027" ht="12" customHeight="1"/>
    <row r="56028" ht="12" customHeight="1"/>
    <row r="56029" ht="12" customHeight="1"/>
    <row r="56030" ht="12" customHeight="1"/>
    <row r="56031" ht="12" customHeight="1"/>
    <row r="56032" ht="12" customHeight="1"/>
    <row r="56033" ht="12" customHeight="1"/>
    <row r="56034" ht="12" customHeight="1"/>
    <row r="56035" ht="12" customHeight="1"/>
    <row r="56036" ht="12" customHeight="1"/>
    <row r="56037" ht="12" customHeight="1"/>
    <row r="56038" ht="12" customHeight="1"/>
    <row r="56039" ht="12" customHeight="1"/>
    <row r="56040" ht="12" customHeight="1"/>
    <row r="56041" ht="12" customHeight="1"/>
    <row r="56042" ht="12" customHeight="1"/>
    <row r="56043" ht="12" customHeight="1"/>
    <row r="56044" ht="12" customHeight="1"/>
    <row r="56045" ht="12" customHeight="1"/>
    <row r="56046" ht="12" customHeight="1"/>
    <row r="56047" ht="12" customHeight="1"/>
    <row r="56048" ht="12" customHeight="1"/>
    <row r="56049" ht="12" customHeight="1"/>
    <row r="56050" ht="12" customHeight="1"/>
    <row r="56051" ht="12" customHeight="1"/>
    <row r="56052" ht="12" customHeight="1"/>
    <row r="56053" ht="12" customHeight="1"/>
    <row r="56054" ht="12" customHeight="1"/>
    <row r="56055" ht="12" customHeight="1"/>
    <row r="56056" ht="12" customHeight="1"/>
    <row r="56057" ht="12" customHeight="1"/>
    <row r="56058" ht="12" customHeight="1"/>
    <row r="56059" ht="12" customHeight="1"/>
    <row r="56060" ht="12" customHeight="1"/>
    <row r="56061" ht="12" customHeight="1"/>
    <row r="56062" ht="12" customHeight="1"/>
    <row r="56063" ht="12" customHeight="1"/>
    <row r="56064" ht="12" customHeight="1"/>
    <row r="56065" ht="12" customHeight="1"/>
    <row r="56066" ht="12" customHeight="1"/>
    <row r="56067" ht="12" customHeight="1"/>
    <row r="56068" ht="12" customHeight="1"/>
    <row r="56069" ht="12" customHeight="1"/>
    <row r="56070" ht="12" customHeight="1"/>
    <row r="56071" ht="12" customHeight="1"/>
    <row r="56072" ht="12" customHeight="1"/>
    <row r="56073" ht="12" customHeight="1"/>
    <row r="56074" ht="12" customHeight="1"/>
    <row r="56075" ht="12" customHeight="1"/>
    <row r="56076" ht="12" customHeight="1"/>
    <row r="56077" ht="12" customHeight="1"/>
    <row r="56078" ht="12" customHeight="1"/>
    <row r="56079" ht="12" customHeight="1"/>
    <row r="56080" ht="12" customHeight="1"/>
    <row r="56081" ht="12" customHeight="1"/>
    <row r="56082" ht="12" customHeight="1"/>
    <row r="56083" ht="12" customHeight="1"/>
    <row r="56084" ht="12" customHeight="1"/>
    <row r="56085" ht="12" customHeight="1"/>
    <row r="56086" ht="12" customHeight="1"/>
    <row r="56087" ht="12" customHeight="1"/>
    <row r="56088" ht="12" customHeight="1"/>
    <row r="56089" ht="12" customHeight="1"/>
    <row r="56090" ht="12" customHeight="1"/>
    <row r="56091" ht="12" customHeight="1"/>
    <row r="56092" ht="12" customHeight="1"/>
    <row r="56093" ht="12" customHeight="1"/>
    <row r="56094" ht="12" customHeight="1"/>
    <row r="56095" ht="12" customHeight="1"/>
    <row r="56096" ht="12" customHeight="1"/>
    <row r="56097" ht="12" customHeight="1"/>
    <row r="56098" ht="12" customHeight="1"/>
    <row r="56099" ht="12" customHeight="1"/>
    <row r="56100" ht="12" customHeight="1"/>
    <row r="56101" ht="12" customHeight="1"/>
    <row r="56102" ht="12" customHeight="1"/>
    <row r="56103" ht="12" customHeight="1"/>
    <row r="56104" ht="12" customHeight="1"/>
    <row r="56105" ht="12" customHeight="1"/>
    <row r="56106" ht="12" customHeight="1"/>
    <row r="56107" ht="12" customHeight="1"/>
    <row r="56108" ht="12" customHeight="1"/>
    <row r="56109" ht="12" customHeight="1"/>
    <row r="56110" ht="12" customHeight="1"/>
    <row r="56111" ht="12" customHeight="1"/>
    <row r="56112" ht="12" customHeight="1"/>
    <row r="56113" ht="12" customHeight="1"/>
    <row r="56114" ht="12" customHeight="1"/>
    <row r="56115" ht="12" customHeight="1"/>
    <row r="56116" ht="12" customHeight="1"/>
    <row r="56117" ht="12" customHeight="1"/>
    <row r="56118" ht="12" customHeight="1"/>
    <row r="56119" ht="12" customHeight="1"/>
    <row r="56120" ht="12" customHeight="1"/>
    <row r="56121" ht="12" customHeight="1"/>
    <row r="56122" ht="12" customHeight="1"/>
    <row r="56123" ht="12" customHeight="1"/>
    <row r="56124" ht="12" customHeight="1"/>
    <row r="56125" ht="12" customHeight="1"/>
    <row r="56126" ht="12" customHeight="1"/>
    <row r="56127" ht="12" customHeight="1"/>
    <row r="56128" ht="12" customHeight="1"/>
    <row r="56129" ht="12" customHeight="1"/>
    <row r="56130" ht="12" customHeight="1"/>
    <row r="56131" ht="12" customHeight="1"/>
    <row r="56132" ht="12" customHeight="1"/>
    <row r="56133" ht="12" customHeight="1"/>
    <row r="56134" ht="12" customHeight="1"/>
    <row r="56135" ht="12" customHeight="1"/>
    <row r="56136" ht="12" customHeight="1"/>
    <row r="56137" ht="12" customHeight="1"/>
    <row r="56138" ht="12" customHeight="1"/>
    <row r="56139" ht="12" customHeight="1"/>
    <row r="56140" ht="12" customHeight="1"/>
    <row r="56141" ht="12" customHeight="1"/>
    <row r="56142" ht="12" customHeight="1"/>
    <row r="56143" ht="12" customHeight="1"/>
    <row r="56144" ht="12" customHeight="1"/>
    <row r="56145" ht="12" customHeight="1"/>
    <row r="56146" ht="12" customHeight="1"/>
    <row r="56147" ht="12" customHeight="1"/>
    <row r="56148" ht="12" customHeight="1"/>
    <row r="56149" ht="12" customHeight="1"/>
    <row r="56150" ht="12" customHeight="1"/>
    <row r="56151" ht="12" customHeight="1"/>
    <row r="56152" ht="12" customHeight="1"/>
    <row r="56153" ht="12" customHeight="1"/>
    <row r="56154" ht="12" customHeight="1"/>
    <row r="56155" ht="12" customHeight="1"/>
    <row r="56156" ht="12" customHeight="1"/>
    <row r="56157" ht="12" customHeight="1"/>
    <row r="56158" ht="12" customHeight="1"/>
    <row r="56159" ht="12" customHeight="1"/>
    <row r="56160" ht="12" customHeight="1"/>
    <row r="56161" ht="12" customHeight="1"/>
    <row r="56162" ht="12" customHeight="1"/>
    <row r="56163" ht="12" customHeight="1"/>
    <row r="56164" ht="12" customHeight="1"/>
    <row r="56165" ht="12" customHeight="1"/>
    <row r="56166" ht="12" customHeight="1"/>
    <row r="56167" ht="12" customHeight="1"/>
    <row r="56168" ht="12" customHeight="1"/>
    <row r="56169" ht="12" customHeight="1"/>
    <row r="56170" ht="12" customHeight="1"/>
    <row r="56171" ht="12" customHeight="1"/>
    <row r="56172" ht="12" customHeight="1"/>
    <row r="56173" ht="12" customHeight="1"/>
    <row r="56174" ht="12" customHeight="1"/>
    <row r="56175" ht="12" customHeight="1"/>
    <row r="56176" ht="12" customHeight="1"/>
    <row r="56177" ht="12" customHeight="1"/>
    <row r="56178" ht="12" customHeight="1"/>
    <row r="56179" ht="12" customHeight="1"/>
    <row r="56180" ht="12" customHeight="1"/>
    <row r="56181" ht="12" customHeight="1"/>
    <row r="56182" ht="12" customHeight="1"/>
    <row r="56183" ht="12" customHeight="1"/>
    <row r="56184" ht="12" customHeight="1"/>
    <row r="56185" ht="12" customHeight="1"/>
    <row r="56186" ht="12" customHeight="1"/>
    <row r="56187" ht="12" customHeight="1"/>
    <row r="56188" ht="12" customHeight="1"/>
    <row r="56189" ht="12" customHeight="1"/>
    <row r="56190" ht="12" customHeight="1"/>
    <row r="56191" ht="12" customHeight="1"/>
    <row r="56192" ht="12" customHeight="1"/>
    <row r="56193" ht="12" customHeight="1"/>
    <row r="56194" ht="12" customHeight="1"/>
    <row r="56195" ht="12" customHeight="1"/>
    <row r="56196" ht="12" customHeight="1"/>
    <row r="56197" ht="12" customHeight="1"/>
    <row r="56198" ht="12" customHeight="1"/>
    <row r="56199" ht="12" customHeight="1"/>
    <row r="56200" ht="12" customHeight="1"/>
    <row r="56201" ht="12" customHeight="1"/>
    <row r="56202" ht="12" customHeight="1"/>
    <row r="56203" ht="12" customHeight="1"/>
    <row r="56204" ht="12" customHeight="1"/>
    <row r="56205" ht="12" customHeight="1"/>
    <row r="56206" ht="12" customHeight="1"/>
    <row r="56207" ht="12" customHeight="1"/>
    <row r="56208" ht="12" customHeight="1"/>
    <row r="56209" ht="12" customHeight="1"/>
    <row r="56210" ht="12" customHeight="1"/>
    <row r="56211" ht="12" customHeight="1"/>
    <row r="56212" ht="12" customHeight="1"/>
    <row r="56213" ht="12" customHeight="1"/>
    <row r="56214" ht="12" customHeight="1"/>
    <row r="56215" ht="12" customHeight="1"/>
    <row r="56216" ht="12" customHeight="1"/>
    <row r="56217" ht="12" customHeight="1"/>
    <row r="56218" ht="12" customHeight="1"/>
    <row r="56219" ht="12" customHeight="1"/>
    <row r="56220" ht="12" customHeight="1"/>
    <row r="56221" ht="12" customHeight="1"/>
    <row r="56222" ht="12" customHeight="1"/>
    <row r="56223" ht="12" customHeight="1"/>
    <row r="56224" ht="12" customHeight="1"/>
    <row r="56225" ht="12" customHeight="1"/>
    <row r="56226" ht="12" customHeight="1"/>
    <row r="56227" ht="12" customHeight="1"/>
    <row r="56228" ht="12" customHeight="1"/>
    <row r="56229" ht="12" customHeight="1"/>
    <row r="56230" ht="12" customHeight="1"/>
    <row r="56231" ht="12" customHeight="1"/>
    <row r="56232" ht="12" customHeight="1"/>
    <row r="56233" ht="12" customHeight="1"/>
    <row r="56234" ht="12" customHeight="1"/>
    <row r="56235" ht="12" customHeight="1"/>
    <row r="56236" ht="12" customHeight="1"/>
    <row r="56237" ht="12" customHeight="1"/>
    <row r="56238" ht="12" customHeight="1"/>
    <row r="56239" ht="12" customHeight="1"/>
    <row r="56240" ht="12" customHeight="1"/>
    <row r="56241" ht="12" customHeight="1"/>
    <row r="56242" ht="12" customHeight="1"/>
    <row r="56243" ht="12" customHeight="1"/>
    <row r="56244" ht="12" customHeight="1"/>
    <row r="56245" ht="12" customHeight="1"/>
    <row r="56246" ht="12" customHeight="1"/>
    <row r="56247" ht="12" customHeight="1"/>
    <row r="56248" ht="12" customHeight="1"/>
    <row r="56249" ht="12" customHeight="1"/>
    <row r="56250" ht="12" customHeight="1"/>
    <row r="56251" ht="12" customHeight="1"/>
    <row r="56252" ht="12" customHeight="1"/>
    <row r="56253" ht="12" customHeight="1"/>
    <row r="56254" ht="12" customHeight="1"/>
    <row r="56255" ht="12" customHeight="1"/>
    <row r="56256" ht="12" customHeight="1"/>
    <row r="56257" ht="12" customHeight="1"/>
    <row r="56258" ht="12" customHeight="1"/>
    <row r="56259" ht="12" customHeight="1"/>
    <row r="56260" ht="12" customHeight="1"/>
    <row r="56261" ht="12" customHeight="1"/>
    <row r="56262" ht="12" customHeight="1"/>
    <row r="56263" ht="12" customHeight="1"/>
    <row r="56264" ht="12" customHeight="1"/>
    <row r="56265" ht="12" customHeight="1"/>
    <row r="56266" ht="12" customHeight="1"/>
    <row r="56267" ht="12" customHeight="1"/>
    <row r="56268" ht="12" customHeight="1"/>
    <row r="56269" ht="12" customHeight="1"/>
    <row r="56270" ht="12" customHeight="1"/>
    <row r="56271" ht="12" customHeight="1"/>
    <row r="56272" ht="12" customHeight="1"/>
    <row r="56273" ht="12" customHeight="1"/>
    <row r="56274" ht="12" customHeight="1"/>
    <row r="56275" ht="12" customHeight="1"/>
    <row r="56276" ht="12" customHeight="1"/>
    <row r="56277" ht="12" customHeight="1"/>
    <row r="56278" ht="12" customHeight="1"/>
    <row r="56279" ht="12" customHeight="1"/>
    <row r="56280" ht="12" customHeight="1"/>
    <row r="56281" ht="12" customHeight="1"/>
    <row r="56282" ht="12" customHeight="1"/>
    <row r="56283" ht="12" customHeight="1"/>
    <row r="56284" ht="12" customHeight="1"/>
    <row r="56285" ht="12" customHeight="1"/>
    <row r="56286" ht="12" customHeight="1"/>
    <row r="56287" ht="12" customHeight="1"/>
    <row r="56288" ht="12" customHeight="1"/>
    <row r="56289" ht="12" customHeight="1"/>
    <row r="56290" ht="12" customHeight="1"/>
    <row r="56291" ht="12" customHeight="1"/>
    <row r="56292" ht="12" customHeight="1"/>
    <row r="56293" ht="12" customHeight="1"/>
    <row r="56294" ht="12" customHeight="1"/>
    <row r="56295" ht="12" customHeight="1"/>
    <row r="56296" ht="12" customHeight="1"/>
    <row r="56297" ht="12" customHeight="1"/>
    <row r="56298" ht="12" customHeight="1"/>
    <row r="56299" ht="12" customHeight="1"/>
    <row r="56300" ht="12" customHeight="1"/>
    <row r="56301" ht="12" customHeight="1"/>
    <row r="56302" ht="12" customHeight="1"/>
    <row r="56303" ht="12" customHeight="1"/>
    <row r="56304" ht="12" customHeight="1"/>
    <row r="56305" ht="12" customHeight="1"/>
    <row r="56306" ht="12" customHeight="1"/>
    <row r="56307" ht="12" customHeight="1"/>
    <row r="56308" ht="12" customHeight="1"/>
    <row r="56309" ht="12" customHeight="1"/>
    <row r="56310" ht="12" customHeight="1"/>
    <row r="56311" ht="12" customHeight="1"/>
    <row r="56312" ht="12" customHeight="1"/>
    <row r="56313" ht="12" customHeight="1"/>
    <row r="56314" ht="12" customHeight="1"/>
    <row r="56315" ht="12" customHeight="1"/>
    <row r="56316" ht="12" customHeight="1"/>
    <row r="56317" ht="12" customHeight="1"/>
    <row r="56318" ht="12" customHeight="1"/>
    <row r="56319" ht="12" customHeight="1"/>
    <row r="56320" ht="12" customHeight="1"/>
    <row r="56321" ht="12" customHeight="1"/>
    <row r="56322" ht="12" customHeight="1"/>
    <row r="56323" ht="12" customHeight="1"/>
    <row r="56324" ht="12" customHeight="1"/>
    <row r="56325" ht="12" customHeight="1"/>
    <row r="56326" ht="12" customHeight="1"/>
    <row r="56327" ht="12" customHeight="1"/>
    <row r="56328" ht="12" customHeight="1"/>
    <row r="56329" ht="12" customHeight="1"/>
    <row r="56330" ht="12" customHeight="1"/>
    <row r="56331" ht="12" customHeight="1"/>
    <row r="56332" ht="12" customHeight="1"/>
    <row r="56333" ht="12" customHeight="1"/>
    <row r="56334" ht="12" customHeight="1"/>
    <row r="56335" ht="12" customHeight="1"/>
    <row r="56336" ht="12" customHeight="1"/>
    <row r="56337" ht="12" customHeight="1"/>
    <row r="56338" ht="12" customHeight="1"/>
    <row r="56339" ht="12" customHeight="1"/>
    <row r="56340" ht="12" customHeight="1"/>
    <row r="56341" ht="12" customHeight="1"/>
    <row r="56342" ht="12" customHeight="1"/>
    <row r="56343" ht="12" customHeight="1"/>
    <row r="56344" ht="12" customHeight="1"/>
    <row r="56345" ht="12" customHeight="1"/>
    <row r="56346" ht="12" customHeight="1"/>
    <row r="56347" ht="12" customHeight="1"/>
    <row r="56348" ht="12" customHeight="1"/>
    <row r="56349" ht="12" customHeight="1"/>
    <row r="56350" ht="12" customHeight="1"/>
    <row r="56351" ht="12" customHeight="1"/>
    <row r="56352" ht="12" customHeight="1"/>
    <row r="56353" ht="12" customHeight="1"/>
    <row r="56354" ht="12" customHeight="1"/>
    <row r="56355" ht="12" customHeight="1"/>
    <row r="56356" ht="12" customHeight="1"/>
    <row r="56357" ht="12" customHeight="1"/>
    <row r="56358" ht="12" customHeight="1"/>
    <row r="56359" ht="12" customHeight="1"/>
    <row r="56360" ht="12" customHeight="1"/>
    <row r="56361" ht="12" customHeight="1"/>
    <row r="56362" ht="12" customHeight="1"/>
    <row r="56363" ht="12" customHeight="1"/>
    <row r="56364" ht="12" customHeight="1"/>
    <row r="56365" ht="12" customHeight="1"/>
    <row r="56366" ht="12" customHeight="1"/>
    <row r="56367" ht="12" customHeight="1"/>
    <row r="56368" ht="12" customHeight="1"/>
    <row r="56369" ht="12" customHeight="1"/>
    <row r="56370" ht="12" customHeight="1"/>
    <row r="56371" ht="12" customHeight="1"/>
    <row r="56372" ht="12" customHeight="1"/>
    <row r="56373" ht="12" customHeight="1"/>
    <row r="56374" ht="12" customHeight="1"/>
    <row r="56375" ht="12" customHeight="1"/>
    <row r="56376" ht="12" customHeight="1"/>
    <row r="56377" ht="12" customHeight="1"/>
    <row r="56378" ht="12" customHeight="1"/>
    <row r="56379" ht="12" customHeight="1"/>
    <row r="56380" ht="12" customHeight="1"/>
    <row r="56381" ht="12" customHeight="1"/>
    <row r="56382" ht="12" customHeight="1"/>
    <row r="56383" ht="12" customHeight="1"/>
    <row r="56384" ht="12" customHeight="1"/>
    <row r="56385" ht="12" customHeight="1"/>
    <row r="56386" ht="12" customHeight="1"/>
    <row r="56387" ht="12" customHeight="1"/>
    <row r="56388" ht="12" customHeight="1"/>
    <row r="56389" ht="12" customHeight="1"/>
    <row r="56390" ht="12" customHeight="1"/>
    <row r="56391" ht="12" customHeight="1"/>
    <row r="56392" ht="12" customHeight="1"/>
    <row r="56393" ht="12" customHeight="1"/>
    <row r="56394" ht="12" customHeight="1"/>
    <row r="56395" ht="12" customHeight="1"/>
    <row r="56396" ht="12" customHeight="1"/>
    <row r="56397" ht="12" customHeight="1"/>
    <row r="56398" ht="12" customHeight="1"/>
    <row r="56399" ht="12" customHeight="1"/>
    <row r="56400" ht="12" customHeight="1"/>
    <row r="56401" ht="12" customHeight="1"/>
    <row r="56402" ht="12" customHeight="1"/>
    <row r="56403" ht="12" customHeight="1"/>
    <row r="56404" ht="12" customHeight="1"/>
    <row r="56405" ht="12" customHeight="1"/>
    <row r="56406" ht="12" customHeight="1"/>
    <row r="56407" ht="12" customHeight="1"/>
    <row r="56408" ht="12" customHeight="1"/>
    <row r="56409" ht="12" customHeight="1"/>
    <row r="56410" ht="12" customHeight="1"/>
    <row r="56411" ht="12" customHeight="1"/>
    <row r="56412" ht="12" customHeight="1"/>
    <row r="56413" ht="12" customHeight="1"/>
    <row r="56414" ht="12" customHeight="1"/>
    <row r="56415" ht="12" customHeight="1"/>
    <row r="56416" ht="12" customHeight="1"/>
    <row r="56417" ht="12" customHeight="1"/>
    <row r="56418" ht="12" customHeight="1"/>
    <row r="56419" ht="12" customHeight="1"/>
    <row r="56420" ht="12" customHeight="1"/>
    <row r="56421" ht="12" customHeight="1"/>
    <row r="56422" ht="12" customHeight="1"/>
    <row r="56423" ht="12" customHeight="1"/>
    <row r="56424" ht="12" customHeight="1"/>
    <row r="56425" ht="12" customHeight="1"/>
    <row r="56426" ht="12" customHeight="1"/>
    <row r="56427" ht="12" customHeight="1"/>
    <row r="56428" ht="12" customHeight="1"/>
    <row r="56429" ht="12" customHeight="1"/>
    <row r="56430" ht="12" customHeight="1"/>
    <row r="56431" ht="12" customHeight="1"/>
    <row r="56432" ht="12" customHeight="1"/>
    <row r="56433" ht="12" customHeight="1"/>
    <row r="56434" ht="12" customHeight="1"/>
    <row r="56435" ht="12" customHeight="1"/>
    <row r="56436" ht="12" customHeight="1"/>
    <row r="56437" ht="12" customHeight="1"/>
    <row r="56438" ht="12" customHeight="1"/>
    <row r="56439" ht="12" customHeight="1"/>
    <row r="56440" ht="12" customHeight="1"/>
    <row r="56441" ht="12" customHeight="1"/>
    <row r="56442" ht="12" customHeight="1"/>
    <row r="56443" ht="12" customHeight="1"/>
    <row r="56444" ht="12" customHeight="1"/>
    <row r="56445" ht="12" customHeight="1"/>
    <row r="56446" ht="12" customHeight="1"/>
    <row r="56447" ht="12" customHeight="1"/>
    <row r="56448" ht="12" customHeight="1"/>
    <row r="56449" ht="12" customHeight="1"/>
    <row r="56450" ht="12" customHeight="1"/>
    <row r="56451" ht="12" customHeight="1"/>
    <row r="56452" ht="12" customHeight="1"/>
    <row r="56453" ht="12" customHeight="1"/>
    <row r="56454" ht="12" customHeight="1"/>
    <row r="56455" ht="12" customHeight="1"/>
    <row r="56456" ht="12" customHeight="1"/>
    <row r="56457" ht="12" customHeight="1"/>
    <row r="56458" ht="12" customHeight="1"/>
    <row r="56459" ht="12" customHeight="1"/>
    <row r="56460" ht="12" customHeight="1"/>
    <row r="56461" ht="12" customHeight="1"/>
    <row r="56462" ht="12" customHeight="1"/>
    <row r="56463" ht="12" customHeight="1"/>
    <row r="56464" ht="12" customHeight="1"/>
    <row r="56465" ht="12" customHeight="1"/>
    <row r="56466" ht="12" customHeight="1"/>
    <row r="56467" ht="12" customHeight="1"/>
    <row r="56468" ht="12" customHeight="1"/>
    <row r="56469" ht="12" customHeight="1"/>
    <row r="56470" ht="12" customHeight="1"/>
    <row r="56471" ht="12" customHeight="1"/>
    <row r="56472" ht="12" customHeight="1"/>
    <row r="56473" ht="12" customHeight="1"/>
    <row r="56474" ht="12" customHeight="1"/>
    <row r="56475" ht="12" customHeight="1"/>
    <row r="56476" ht="12" customHeight="1"/>
    <row r="56477" ht="12" customHeight="1"/>
    <row r="56478" ht="12" customHeight="1"/>
    <row r="56479" ht="12" customHeight="1"/>
    <row r="56480" ht="12" customHeight="1"/>
    <row r="56481" ht="12" customHeight="1"/>
    <row r="56482" ht="12" customHeight="1"/>
    <row r="56483" ht="12" customHeight="1"/>
    <row r="56484" ht="12" customHeight="1"/>
    <row r="56485" ht="12" customHeight="1"/>
    <row r="56486" ht="12" customHeight="1"/>
    <row r="56487" ht="12" customHeight="1"/>
    <row r="56488" ht="12" customHeight="1"/>
    <row r="56489" ht="12" customHeight="1"/>
    <row r="56490" ht="12" customHeight="1"/>
    <row r="56491" ht="12" customHeight="1"/>
    <row r="56492" ht="12" customHeight="1"/>
    <row r="56493" ht="12" customHeight="1"/>
    <row r="56494" ht="12" customHeight="1"/>
    <row r="56495" ht="12" customHeight="1"/>
    <row r="56496" ht="12" customHeight="1"/>
    <row r="56497" ht="12" customHeight="1"/>
    <row r="56498" ht="12" customHeight="1"/>
    <row r="56499" ht="12" customHeight="1"/>
    <row r="56500" ht="12" customHeight="1"/>
    <row r="56501" ht="12" customHeight="1"/>
    <row r="56502" ht="12" customHeight="1"/>
    <row r="56503" ht="12" customHeight="1"/>
    <row r="56504" ht="12" customHeight="1"/>
    <row r="56505" ht="12" customHeight="1"/>
    <row r="56506" ht="12" customHeight="1"/>
    <row r="56507" ht="12" customHeight="1"/>
    <row r="56508" ht="12" customHeight="1"/>
    <row r="56509" ht="12" customHeight="1"/>
    <row r="56510" ht="12" customHeight="1"/>
    <row r="56511" ht="12" customHeight="1"/>
    <row r="56512" ht="12" customHeight="1"/>
    <row r="56513" ht="12" customHeight="1"/>
    <row r="56514" ht="12" customHeight="1"/>
    <row r="56515" ht="12" customHeight="1"/>
    <row r="56516" ht="12" customHeight="1"/>
    <row r="56517" ht="12" customHeight="1"/>
    <row r="56518" ht="12" customHeight="1"/>
    <row r="56519" ht="12" customHeight="1"/>
    <row r="56520" ht="12" customHeight="1"/>
    <row r="56521" ht="12" customHeight="1"/>
    <row r="56522" ht="12" customHeight="1"/>
    <row r="56523" ht="12" customHeight="1"/>
    <row r="56524" ht="12" customHeight="1"/>
    <row r="56525" ht="12" customHeight="1"/>
    <row r="56526" ht="12" customHeight="1"/>
    <row r="56527" ht="12" customHeight="1"/>
    <row r="56528" ht="12" customHeight="1"/>
    <row r="56529" ht="12" customHeight="1"/>
    <row r="56530" ht="12" customHeight="1"/>
    <row r="56531" ht="12" customHeight="1"/>
    <row r="56532" ht="12" customHeight="1"/>
    <row r="56533" ht="12" customHeight="1"/>
    <row r="56534" ht="12" customHeight="1"/>
    <row r="56535" ht="12" customHeight="1"/>
    <row r="56536" ht="12" customHeight="1"/>
    <row r="56537" ht="12" customHeight="1"/>
    <row r="56538" ht="12" customHeight="1"/>
    <row r="56539" ht="12" customHeight="1"/>
    <row r="56540" ht="12" customHeight="1"/>
    <row r="56541" ht="12" customHeight="1"/>
    <row r="56542" ht="12" customHeight="1"/>
    <row r="56543" ht="12" customHeight="1"/>
    <row r="56544" ht="12" customHeight="1"/>
    <row r="56545" ht="12" customHeight="1"/>
    <row r="56546" ht="12" customHeight="1"/>
    <row r="56547" ht="12" customHeight="1"/>
    <row r="56548" ht="12" customHeight="1"/>
    <row r="56549" ht="12" customHeight="1"/>
    <row r="56550" ht="12" customHeight="1"/>
    <row r="56551" ht="12" customHeight="1"/>
    <row r="56552" ht="12" customHeight="1"/>
    <row r="56553" ht="12" customHeight="1"/>
    <row r="56554" ht="12" customHeight="1"/>
    <row r="56555" ht="12" customHeight="1"/>
    <row r="56556" ht="12" customHeight="1"/>
    <row r="56557" ht="12" customHeight="1"/>
    <row r="56558" ht="12" customHeight="1"/>
    <row r="56559" ht="12" customHeight="1"/>
    <row r="56560" ht="12" customHeight="1"/>
    <row r="56561" ht="12" customHeight="1"/>
    <row r="56562" ht="12" customHeight="1"/>
    <row r="56563" ht="12" customHeight="1"/>
    <row r="56564" ht="12" customHeight="1"/>
    <row r="56565" ht="12" customHeight="1"/>
    <row r="56566" ht="12" customHeight="1"/>
    <row r="56567" ht="12" customHeight="1"/>
    <row r="56568" ht="12" customHeight="1"/>
    <row r="56569" ht="12" customHeight="1"/>
    <row r="56570" ht="12" customHeight="1"/>
    <row r="56571" ht="12" customHeight="1"/>
    <row r="56572" ht="12" customHeight="1"/>
    <row r="56573" ht="12" customHeight="1"/>
    <row r="56574" ht="12" customHeight="1"/>
    <row r="56575" ht="12" customHeight="1"/>
    <row r="56576" ht="12" customHeight="1"/>
    <row r="56577" ht="12" customHeight="1"/>
    <row r="56578" ht="12" customHeight="1"/>
    <row r="56579" ht="12" customHeight="1"/>
    <row r="56580" ht="12" customHeight="1"/>
    <row r="56581" ht="12" customHeight="1"/>
    <row r="56582" ht="12" customHeight="1"/>
    <row r="56583" ht="12" customHeight="1"/>
    <row r="56584" ht="12" customHeight="1"/>
    <row r="56585" ht="12" customHeight="1"/>
    <row r="56586" ht="12" customHeight="1"/>
    <row r="56587" ht="12" customHeight="1"/>
    <row r="56588" ht="12" customHeight="1"/>
    <row r="56589" ht="12" customHeight="1"/>
    <row r="56590" ht="12" customHeight="1"/>
    <row r="56591" ht="12" customHeight="1"/>
    <row r="56592" ht="12" customHeight="1"/>
    <row r="56593" ht="12" customHeight="1"/>
    <row r="56594" ht="12" customHeight="1"/>
    <row r="56595" ht="12" customHeight="1"/>
    <row r="56596" ht="12" customHeight="1"/>
    <row r="56597" ht="12" customHeight="1"/>
    <row r="56598" ht="12" customHeight="1"/>
    <row r="56599" ht="12" customHeight="1"/>
    <row r="56600" ht="12" customHeight="1"/>
    <row r="56601" ht="12" customHeight="1"/>
    <row r="56602" ht="12" customHeight="1"/>
    <row r="56603" ht="12" customHeight="1"/>
    <row r="56604" ht="12" customHeight="1"/>
    <row r="56605" ht="12" customHeight="1"/>
    <row r="56606" ht="12" customHeight="1"/>
    <row r="56607" ht="12" customHeight="1"/>
    <row r="56608" ht="12" customHeight="1"/>
    <row r="56609" ht="12" customHeight="1"/>
    <row r="56610" ht="12" customHeight="1"/>
    <row r="56611" ht="12" customHeight="1"/>
    <row r="56612" ht="12" customHeight="1"/>
    <row r="56613" ht="12" customHeight="1"/>
    <row r="56614" ht="12" customHeight="1"/>
    <row r="56615" ht="12" customHeight="1"/>
    <row r="56616" ht="12" customHeight="1"/>
    <row r="56617" ht="12" customHeight="1"/>
    <row r="56618" ht="12" customHeight="1"/>
    <row r="56619" ht="12" customHeight="1"/>
    <row r="56620" ht="12" customHeight="1"/>
    <row r="56621" ht="12" customHeight="1"/>
    <row r="56622" ht="12" customHeight="1"/>
    <row r="56623" ht="12" customHeight="1"/>
    <row r="56624" ht="12" customHeight="1"/>
    <row r="56625" ht="12" customHeight="1"/>
    <row r="56626" ht="12" customHeight="1"/>
    <row r="56627" ht="12" customHeight="1"/>
    <row r="56628" ht="12" customHeight="1"/>
    <row r="56629" ht="12" customHeight="1"/>
    <row r="56630" ht="12" customHeight="1"/>
    <row r="56631" ht="12" customHeight="1"/>
    <row r="56632" ht="12" customHeight="1"/>
    <row r="56633" ht="12" customHeight="1"/>
    <row r="56634" ht="12" customHeight="1"/>
    <row r="56635" ht="12" customHeight="1"/>
    <row r="56636" ht="12" customHeight="1"/>
    <row r="56637" ht="12" customHeight="1"/>
    <row r="56638" ht="12" customHeight="1"/>
    <row r="56639" ht="12" customHeight="1"/>
    <row r="56640" ht="12" customHeight="1"/>
    <row r="56641" ht="12" customHeight="1"/>
    <row r="56642" ht="12" customHeight="1"/>
    <row r="56643" ht="12" customHeight="1"/>
    <row r="56644" ht="12" customHeight="1"/>
    <row r="56645" ht="12" customHeight="1"/>
    <row r="56646" ht="12" customHeight="1"/>
    <row r="56647" ht="12" customHeight="1"/>
    <row r="56648" ht="12" customHeight="1"/>
    <row r="56649" ht="12" customHeight="1"/>
    <row r="56650" ht="12" customHeight="1"/>
    <row r="56651" ht="12" customHeight="1"/>
    <row r="56652" ht="12" customHeight="1"/>
    <row r="56653" ht="12" customHeight="1"/>
    <row r="56654" ht="12" customHeight="1"/>
    <row r="56655" ht="12" customHeight="1"/>
    <row r="56656" ht="12" customHeight="1"/>
    <row r="56657" ht="12" customHeight="1"/>
    <row r="56658" ht="12" customHeight="1"/>
    <row r="56659" ht="12" customHeight="1"/>
    <row r="56660" ht="12" customHeight="1"/>
    <row r="56661" ht="12" customHeight="1"/>
    <row r="56662" ht="12" customHeight="1"/>
    <row r="56663" ht="12" customHeight="1"/>
    <row r="56664" ht="12" customHeight="1"/>
    <row r="56665" ht="12" customHeight="1"/>
    <row r="56666" ht="12" customHeight="1"/>
    <row r="56667" ht="12" customHeight="1"/>
    <row r="56668" ht="12" customHeight="1"/>
    <row r="56669" ht="12" customHeight="1"/>
    <row r="56670" ht="12" customHeight="1"/>
    <row r="56671" ht="12" customHeight="1"/>
    <row r="56672" ht="12" customHeight="1"/>
    <row r="56673" ht="12" customHeight="1"/>
    <row r="56674" ht="12" customHeight="1"/>
    <row r="56675" ht="12" customHeight="1"/>
    <row r="56676" ht="12" customHeight="1"/>
    <row r="56677" ht="12" customHeight="1"/>
    <row r="56678" ht="12" customHeight="1"/>
    <row r="56679" ht="12" customHeight="1"/>
    <row r="56680" ht="12" customHeight="1"/>
    <row r="56681" ht="12" customHeight="1"/>
    <row r="56682" ht="12" customHeight="1"/>
    <row r="56683" ht="12" customHeight="1"/>
    <row r="56684" ht="12" customHeight="1"/>
    <row r="56685" ht="12" customHeight="1"/>
    <row r="56686" ht="12" customHeight="1"/>
    <row r="56687" ht="12" customHeight="1"/>
    <row r="56688" ht="12" customHeight="1"/>
    <row r="56689" ht="12" customHeight="1"/>
    <row r="56690" ht="12" customHeight="1"/>
    <row r="56691" ht="12" customHeight="1"/>
    <row r="56692" ht="12" customHeight="1"/>
    <row r="56693" ht="12" customHeight="1"/>
    <row r="56694" ht="12" customHeight="1"/>
    <row r="56695" ht="12" customHeight="1"/>
    <row r="56696" ht="12" customHeight="1"/>
    <row r="56697" ht="12" customHeight="1"/>
    <row r="56698" ht="12" customHeight="1"/>
    <row r="56699" ht="12" customHeight="1"/>
    <row r="56700" ht="12" customHeight="1"/>
    <row r="56701" ht="12" customHeight="1"/>
    <row r="56702" ht="12" customHeight="1"/>
    <row r="56703" ht="12" customHeight="1"/>
    <row r="56704" ht="12" customHeight="1"/>
    <row r="56705" ht="12" customHeight="1"/>
    <row r="56706" ht="12" customHeight="1"/>
    <row r="56707" ht="12" customHeight="1"/>
    <row r="56708" ht="12" customHeight="1"/>
    <row r="56709" ht="12" customHeight="1"/>
    <row r="56710" ht="12" customHeight="1"/>
    <row r="56711" ht="12" customHeight="1"/>
    <row r="56712" ht="12" customHeight="1"/>
    <row r="56713" ht="12" customHeight="1"/>
    <row r="56714" ht="12" customHeight="1"/>
    <row r="56715" ht="12" customHeight="1"/>
    <row r="56716" ht="12" customHeight="1"/>
    <row r="56717" ht="12" customHeight="1"/>
    <row r="56718" ht="12" customHeight="1"/>
    <row r="56719" ht="12" customHeight="1"/>
    <row r="56720" ht="12" customHeight="1"/>
    <row r="56721" ht="12" customHeight="1"/>
    <row r="56722" ht="12" customHeight="1"/>
    <row r="56723" ht="12" customHeight="1"/>
    <row r="56724" ht="12" customHeight="1"/>
    <row r="56725" ht="12" customHeight="1"/>
    <row r="56726" ht="12" customHeight="1"/>
    <row r="56727" ht="12" customHeight="1"/>
    <row r="56728" ht="12" customHeight="1"/>
    <row r="56729" ht="12" customHeight="1"/>
    <row r="56730" ht="12" customHeight="1"/>
    <row r="56731" ht="12" customHeight="1"/>
    <row r="56732" ht="12" customHeight="1"/>
    <row r="56733" ht="12" customHeight="1"/>
    <row r="56734" ht="12" customHeight="1"/>
    <row r="56735" ht="12" customHeight="1"/>
    <row r="56736" ht="12" customHeight="1"/>
    <row r="56737" ht="12" customHeight="1"/>
    <row r="56738" ht="12" customHeight="1"/>
    <row r="56739" ht="12" customHeight="1"/>
    <row r="56740" ht="12" customHeight="1"/>
    <row r="56741" ht="12" customHeight="1"/>
    <row r="56742" ht="12" customHeight="1"/>
    <row r="56743" ht="12" customHeight="1"/>
    <row r="56744" ht="12" customHeight="1"/>
    <row r="56745" ht="12" customHeight="1"/>
    <row r="56746" ht="12" customHeight="1"/>
    <row r="56747" ht="12" customHeight="1"/>
    <row r="56748" ht="12" customHeight="1"/>
    <row r="56749" ht="12" customHeight="1"/>
    <row r="56750" ht="12" customHeight="1"/>
    <row r="56751" ht="12" customHeight="1"/>
    <row r="56752" ht="12" customHeight="1"/>
    <row r="56753" ht="12" customHeight="1"/>
    <row r="56754" ht="12" customHeight="1"/>
    <row r="56755" ht="12" customHeight="1"/>
    <row r="56756" ht="12" customHeight="1"/>
    <row r="56757" ht="12" customHeight="1"/>
    <row r="56758" ht="12" customHeight="1"/>
    <row r="56759" ht="12" customHeight="1"/>
    <row r="56760" ht="12" customHeight="1"/>
    <row r="56761" ht="12" customHeight="1"/>
    <row r="56762" ht="12" customHeight="1"/>
    <row r="56763" ht="12" customHeight="1"/>
    <row r="56764" ht="12" customHeight="1"/>
    <row r="56765" ht="12" customHeight="1"/>
    <row r="56766" ht="12" customHeight="1"/>
    <row r="56767" ht="12" customHeight="1"/>
    <row r="56768" ht="12" customHeight="1"/>
    <row r="56769" ht="12" customHeight="1"/>
    <row r="56770" ht="12" customHeight="1"/>
    <row r="56771" ht="12" customHeight="1"/>
    <row r="56772" ht="12" customHeight="1"/>
    <row r="56773" ht="12" customHeight="1"/>
    <row r="56774" ht="12" customHeight="1"/>
    <row r="56775" ht="12" customHeight="1"/>
    <row r="56776" ht="12" customHeight="1"/>
    <row r="56777" ht="12" customHeight="1"/>
    <row r="56778" ht="12" customHeight="1"/>
    <row r="56779" ht="12" customHeight="1"/>
    <row r="56780" ht="12" customHeight="1"/>
    <row r="56781" ht="12" customHeight="1"/>
    <row r="56782" ht="12" customHeight="1"/>
    <row r="56783" ht="12" customHeight="1"/>
    <row r="56784" ht="12" customHeight="1"/>
    <row r="56785" ht="12" customHeight="1"/>
    <row r="56786" ht="12" customHeight="1"/>
    <row r="56787" ht="12" customHeight="1"/>
    <row r="56788" ht="12" customHeight="1"/>
    <row r="56789" ht="12" customHeight="1"/>
    <row r="56790" ht="12" customHeight="1"/>
    <row r="56791" ht="12" customHeight="1"/>
    <row r="56792" ht="12" customHeight="1"/>
    <row r="56793" ht="12" customHeight="1"/>
    <row r="56794" ht="12" customHeight="1"/>
    <row r="56795" ht="12" customHeight="1"/>
    <row r="56796" ht="12" customHeight="1"/>
    <row r="56797" ht="12" customHeight="1"/>
    <row r="56798" ht="12" customHeight="1"/>
    <row r="56799" ht="12" customHeight="1"/>
    <row r="56800" ht="12" customHeight="1"/>
    <row r="56801" ht="12" customHeight="1"/>
    <row r="56802" ht="12" customHeight="1"/>
    <row r="56803" ht="12" customHeight="1"/>
    <row r="56804" ht="12" customHeight="1"/>
    <row r="56805" ht="12" customHeight="1"/>
    <row r="56806" ht="12" customHeight="1"/>
    <row r="56807" ht="12" customHeight="1"/>
    <row r="56808" ht="12" customHeight="1"/>
    <row r="56809" ht="12" customHeight="1"/>
    <row r="56810" ht="12" customHeight="1"/>
    <row r="56811" ht="12" customHeight="1"/>
    <row r="56812" ht="12" customHeight="1"/>
    <row r="56813" ht="12" customHeight="1"/>
    <row r="56814" ht="12" customHeight="1"/>
    <row r="56815" ht="12" customHeight="1"/>
    <row r="56816" ht="12" customHeight="1"/>
    <row r="56817" ht="12" customHeight="1"/>
    <row r="56818" ht="12" customHeight="1"/>
    <row r="56819" ht="12" customHeight="1"/>
    <row r="56820" ht="12" customHeight="1"/>
    <row r="56821" ht="12" customHeight="1"/>
    <row r="56822" ht="12" customHeight="1"/>
    <row r="56823" ht="12" customHeight="1"/>
    <row r="56824" ht="12" customHeight="1"/>
    <row r="56825" ht="12" customHeight="1"/>
    <row r="56826" ht="12" customHeight="1"/>
    <row r="56827" ht="12" customHeight="1"/>
    <row r="56828" ht="12" customHeight="1"/>
    <row r="56829" ht="12" customHeight="1"/>
    <row r="56830" ht="12" customHeight="1"/>
    <row r="56831" ht="12" customHeight="1"/>
    <row r="56832" ht="12" customHeight="1"/>
    <row r="56833" ht="12" customHeight="1"/>
    <row r="56834" ht="12" customHeight="1"/>
    <row r="56835" ht="12" customHeight="1"/>
    <row r="56836" ht="12" customHeight="1"/>
    <row r="56837" ht="12" customHeight="1"/>
    <row r="56838" ht="12" customHeight="1"/>
    <row r="56839" ht="12" customHeight="1"/>
    <row r="56840" ht="12" customHeight="1"/>
    <row r="56841" ht="12" customHeight="1"/>
    <row r="56842" ht="12" customHeight="1"/>
    <row r="56843" ht="12" customHeight="1"/>
    <row r="56844" ht="12" customHeight="1"/>
    <row r="56845" ht="12" customHeight="1"/>
    <row r="56846" ht="12" customHeight="1"/>
    <row r="56847" ht="12" customHeight="1"/>
    <row r="56848" ht="12" customHeight="1"/>
    <row r="56849" ht="12" customHeight="1"/>
    <row r="56850" ht="12" customHeight="1"/>
    <row r="56851" ht="12" customHeight="1"/>
    <row r="56852" ht="12" customHeight="1"/>
    <row r="56853" ht="12" customHeight="1"/>
    <row r="56854" ht="12" customHeight="1"/>
    <row r="56855" ht="12" customHeight="1"/>
    <row r="56856" ht="12" customHeight="1"/>
    <row r="56857" ht="12" customHeight="1"/>
    <row r="56858" ht="12" customHeight="1"/>
    <row r="56859" ht="12" customHeight="1"/>
    <row r="56860" ht="12" customHeight="1"/>
    <row r="56861" ht="12" customHeight="1"/>
    <row r="56862" ht="12" customHeight="1"/>
    <row r="56863" ht="12" customHeight="1"/>
    <row r="56864" ht="12" customHeight="1"/>
    <row r="56865" ht="12" customHeight="1"/>
    <row r="56866" ht="12" customHeight="1"/>
    <row r="56867" ht="12" customHeight="1"/>
    <row r="56868" ht="12" customHeight="1"/>
    <row r="56869" ht="12" customHeight="1"/>
    <row r="56870" ht="12" customHeight="1"/>
    <row r="56871" ht="12" customHeight="1"/>
    <row r="56872" ht="12" customHeight="1"/>
    <row r="56873" ht="12" customHeight="1"/>
    <row r="56874" ht="12" customHeight="1"/>
    <row r="56875" ht="12" customHeight="1"/>
    <row r="56876" ht="12" customHeight="1"/>
    <row r="56877" ht="12" customHeight="1"/>
    <row r="56878" ht="12" customHeight="1"/>
    <row r="56879" ht="12" customHeight="1"/>
    <row r="56880" ht="12" customHeight="1"/>
    <row r="56881" ht="12" customHeight="1"/>
    <row r="56882" ht="12" customHeight="1"/>
    <row r="56883" ht="12" customHeight="1"/>
    <row r="56884" ht="12" customHeight="1"/>
    <row r="56885" ht="12" customHeight="1"/>
    <row r="56886" ht="12" customHeight="1"/>
    <row r="56887" ht="12" customHeight="1"/>
    <row r="56888" ht="12" customHeight="1"/>
    <row r="56889" ht="12" customHeight="1"/>
    <row r="56890" ht="12" customHeight="1"/>
    <row r="56891" ht="12" customHeight="1"/>
    <row r="56892" ht="12" customHeight="1"/>
    <row r="56893" ht="12" customHeight="1"/>
    <row r="56894" ht="12" customHeight="1"/>
    <row r="56895" ht="12" customHeight="1"/>
    <row r="56896" ht="12" customHeight="1"/>
    <row r="56897" ht="12" customHeight="1"/>
    <row r="56898" ht="12" customHeight="1"/>
    <row r="56899" ht="12" customHeight="1"/>
    <row r="56900" ht="12" customHeight="1"/>
    <row r="56901" ht="12" customHeight="1"/>
    <row r="56902" ht="12" customHeight="1"/>
    <row r="56903" ht="12" customHeight="1"/>
    <row r="56904" ht="12" customHeight="1"/>
    <row r="56905" ht="12" customHeight="1"/>
    <row r="56906" ht="12" customHeight="1"/>
    <row r="56907" ht="12" customHeight="1"/>
    <row r="56908" ht="12" customHeight="1"/>
    <row r="56909" ht="12" customHeight="1"/>
    <row r="56910" ht="12" customHeight="1"/>
    <row r="56911" ht="12" customHeight="1"/>
    <row r="56912" ht="12" customHeight="1"/>
    <row r="56913" ht="12" customHeight="1"/>
    <row r="56914" ht="12" customHeight="1"/>
    <row r="56915" ht="12" customHeight="1"/>
    <row r="56916" ht="12" customHeight="1"/>
    <row r="56917" ht="12" customHeight="1"/>
    <row r="56918" ht="12" customHeight="1"/>
    <row r="56919" ht="12" customHeight="1"/>
    <row r="56920" ht="12" customHeight="1"/>
    <row r="56921" ht="12" customHeight="1"/>
    <row r="56922" ht="12" customHeight="1"/>
    <row r="56923" ht="12" customHeight="1"/>
    <row r="56924" ht="12" customHeight="1"/>
    <row r="56925" ht="12" customHeight="1"/>
    <row r="56926" ht="12" customHeight="1"/>
    <row r="56927" ht="12" customHeight="1"/>
    <row r="56928" ht="12" customHeight="1"/>
    <row r="56929" ht="12" customHeight="1"/>
    <row r="56930" ht="12" customHeight="1"/>
    <row r="56931" ht="12" customHeight="1"/>
    <row r="56932" ht="12" customHeight="1"/>
    <row r="56933" ht="12" customHeight="1"/>
    <row r="56934" ht="12" customHeight="1"/>
    <row r="56935" ht="12" customHeight="1"/>
    <row r="56936" ht="12" customHeight="1"/>
    <row r="56937" ht="12" customHeight="1"/>
    <row r="56938" ht="12" customHeight="1"/>
    <row r="56939" ht="12" customHeight="1"/>
    <row r="56940" ht="12" customHeight="1"/>
    <row r="56941" ht="12" customHeight="1"/>
    <row r="56942" ht="12" customHeight="1"/>
    <row r="56943" ht="12" customHeight="1"/>
    <row r="56944" ht="12" customHeight="1"/>
    <row r="56945" ht="12" customHeight="1"/>
    <row r="56946" ht="12" customHeight="1"/>
    <row r="56947" ht="12" customHeight="1"/>
    <row r="56948" ht="12" customHeight="1"/>
    <row r="56949" ht="12" customHeight="1"/>
    <row r="56950" ht="12" customHeight="1"/>
    <row r="56951" ht="12" customHeight="1"/>
    <row r="56952" ht="12" customHeight="1"/>
    <row r="56953" ht="12" customHeight="1"/>
    <row r="56954" ht="12" customHeight="1"/>
    <row r="56955" ht="12" customHeight="1"/>
    <row r="56956" ht="12" customHeight="1"/>
    <row r="56957" ht="12" customHeight="1"/>
    <row r="56958" ht="12" customHeight="1"/>
    <row r="56959" ht="12" customHeight="1"/>
    <row r="56960" ht="12" customHeight="1"/>
    <row r="56961" ht="12" customHeight="1"/>
    <row r="56962" ht="12" customHeight="1"/>
    <row r="56963" ht="12" customHeight="1"/>
    <row r="56964" ht="12" customHeight="1"/>
    <row r="56965" ht="12" customHeight="1"/>
    <row r="56966" ht="12" customHeight="1"/>
    <row r="56967" ht="12" customHeight="1"/>
    <row r="56968" ht="12" customHeight="1"/>
    <row r="56969" ht="12" customHeight="1"/>
    <row r="56970" ht="12" customHeight="1"/>
    <row r="56971" ht="12" customHeight="1"/>
    <row r="56972" ht="12" customHeight="1"/>
    <row r="56973" ht="12" customHeight="1"/>
    <row r="56974" ht="12" customHeight="1"/>
    <row r="56975" ht="12" customHeight="1"/>
    <row r="56976" ht="12" customHeight="1"/>
    <row r="56977" ht="12" customHeight="1"/>
    <row r="56978" ht="12" customHeight="1"/>
    <row r="56979" ht="12" customHeight="1"/>
    <row r="56980" ht="12" customHeight="1"/>
    <row r="56981" ht="12" customHeight="1"/>
    <row r="56982" ht="12" customHeight="1"/>
    <row r="56983" ht="12" customHeight="1"/>
    <row r="56984" ht="12" customHeight="1"/>
    <row r="56985" ht="12" customHeight="1"/>
    <row r="56986" ht="12" customHeight="1"/>
    <row r="56987" ht="12" customHeight="1"/>
    <row r="56988" ht="12" customHeight="1"/>
    <row r="56989" ht="12" customHeight="1"/>
    <row r="56990" ht="12" customHeight="1"/>
    <row r="56991" ht="12" customHeight="1"/>
    <row r="56992" ht="12" customHeight="1"/>
    <row r="56993" ht="12" customHeight="1"/>
    <row r="56994" ht="12" customHeight="1"/>
    <row r="56995" ht="12" customHeight="1"/>
    <row r="56996" ht="12" customHeight="1"/>
    <row r="56997" ht="12" customHeight="1"/>
    <row r="56998" ht="12" customHeight="1"/>
    <row r="56999" ht="12" customHeight="1"/>
    <row r="57000" ht="12" customHeight="1"/>
    <row r="57001" ht="12" customHeight="1"/>
    <row r="57002" ht="12" customHeight="1"/>
    <row r="57003" ht="12" customHeight="1"/>
    <row r="57004" ht="12" customHeight="1"/>
    <row r="57005" ht="12" customHeight="1"/>
    <row r="57006" ht="12" customHeight="1"/>
    <row r="57007" ht="12" customHeight="1"/>
    <row r="57008" ht="12" customHeight="1"/>
    <row r="57009" ht="12" customHeight="1"/>
    <row r="57010" ht="12" customHeight="1"/>
    <row r="57011" ht="12" customHeight="1"/>
    <row r="57012" ht="12" customHeight="1"/>
    <row r="57013" ht="12" customHeight="1"/>
    <row r="57014" ht="12" customHeight="1"/>
    <row r="57015" ht="12" customHeight="1"/>
    <row r="57016" ht="12" customHeight="1"/>
    <row r="57017" ht="12" customHeight="1"/>
    <row r="57018" ht="12" customHeight="1"/>
    <row r="57019" ht="12" customHeight="1"/>
    <row r="57020" ht="12" customHeight="1"/>
    <row r="57021" ht="12" customHeight="1"/>
    <row r="57022" ht="12" customHeight="1"/>
    <row r="57023" ht="12" customHeight="1"/>
    <row r="57024" ht="12" customHeight="1"/>
    <row r="57025" ht="12" customHeight="1"/>
    <row r="57026" ht="12" customHeight="1"/>
    <row r="57027" ht="12" customHeight="1"/>
    <row r="57028" ht="12" customHeight="1"/>
    <row r="57029" ht="12" customHeight="1"/>
    <row r="57030" ht="12" customHeight="1"/>
    <row r="57031" ht="12" customHeight="1"/>
    <row r="57032" ht="12" customHeight="1"/>
    <row r="57033" ht="12" customHeight="1"/>
    <row r="57034" ht="12" customHeight="1"/>
    <row r="57035" ht="12" customHeight="1"/>
    <row r="57036" ht="12" customHeight="1"/>
    <row r="57037" ht="12" customHeight="1"/>
    <row r="57038" ht="12" customHeight="1"/>
    <row r="57039" ht="12" customHeight="1"/>
    <row r="57040" ht="12" customHeight="1"/>
    <row r="57041" ht="12" customHeight="1"/>
    <row r="57042" ht="12" customHeight="1"/>
    <row r="57043" ht="12" customHeight="1"/>
    <row r="57044" ht="12" customHeight="1"/>
    <row r="57045" ht="12" customHeight="1"/>
    <row r="57046" ht="12" customHeight="1"/>
    <row r="57047" ht="12" customHeight="1"/>
    <row r="57048" ht="12" customHeight="1"/>
    <row r="57049" ht="12" customHeight="1"/>
    <row r="57050" ht="12" customHeight="1"/>
    <row r="57051" ht="12" customHeight="1"/>
    <row r="57052" ht="12" customHeight="1"/>
    <row r="57053" ht="12" customHeight="1"/>
    <row r="57054" ht="12" customHeight="1"/>
    <row r="57055" ht="12" customHeight="1"/>
    <row r="57056" ht="12" customHeight="1"/>
    <row r="57057" ht="12" customHeight="1"/>
    <row r="57058" ht="12" customHeight="1"/>
    <row r="57059" ht="12" customHeight="1"/>
    <row r="57060" ht="12" customHeight="1"/>
    <row r="57061" ht="12" customHeight="1"/>
    <row r="57062" ht="12" customHeight="1"/>
    <row r="57063" ht="12" customHeight="1"/>
    <row r="57064" ht="12" customHeight="1"/>
    <row r="57065" ht="12" customHeight="1"/>
    <row r="57066" ht="12" customHeight="1"/>
    <row r="57067" ht="12" customHeight="1"/>
    <row r="57068" ht="12" customHeight="1"/>
    <row r="57069" ht="12" customHeight="1"/>
    <row r="57070" ht="12" customHeight="1"/>
    <row r="57071" ht="12" customHeight="1"/>
    <row r="57072" ht="12" customHeight="1"/>
    <row r="57073" ht="12" customHeight="1"/>
    <row r="57074" ht="12" customHeight="1"/>
    <row r="57075" ht="12" customHeight="1"/>
    <row r="57076" ht="12" customHeight="1"/>
    <row r="57077" ht="12" customHeight="1"/>
    <row r="57078" ht="12" customHeight="1"/>
    <row r="57079" ht="12" customHeight="1"/>
    <row r="57080" ht="12" customHeight="1"/>
    <row r="57081" ht="12" customHeight="1"/>
    <row r="57082" ht="12" customHeight="1"/>
    <row r="57083" ht="12" customHeight="1"/>
    <row r="57084" ht="12" customHeight="1"/>
    <row r="57085" ht="12" customHeight="1"/>
    <row r="57086" ht="12" customHeight="1"/>
    <row r="57087" ht="12" customHeight="1"/>
    <row r="57088" ht="12" customHeight="1"/>
    <row r="57089" ht="12" customHeight="1"/>
    <row r="57090" ht="12" customHeight="1"/>
    <row r="57091" ht="12" customHeight="1"/>
    <row r="57092" ht="12" customHeight="1"/>
    <row r="57093" ht="12" customHeight="1"/>
    <row r="57094" ht="12" customHeight="1"/>
    <row r="57095" ht="12" customHeight="1"/>
    <row r="57096" ht="12" customHeight="1"/>
    <row r="57097" ht="12" customHeight="1"/>
    <row r="57098" ht="12" customHeight="1"/>
    <row r="57099" ht="12" customHeight="1"/>
    <row r="57100" ht="12" customHeight="1"/>
    <row r="57101" ht="12" customHeight="1"/>
    <row r="57102" ht="12" customHeight="1"/>
    <row r="57103" ht="12" customHeight="1"/>
    <row r="57104" ht="12" customHeight="1"/>
    <row r="57105" ht="12" customHeight="1"/>
    <row r="57106" ht="12" customHeight="1"/>
    <row r="57107" ht="12" customHeight="1"/>
    <row r="57108" ht="12" customHeight="1"/>
    <row r="57109" ht="12" customHeight="1"/>
    <row r="57110" ht="12" customHeight="1"/>
    <row r="57111" ht="12" customHeight="1"/>
    <row r="57112" ht="12" customHeight="1"/>
    <row r="57113" ht="12" customHeight="1"/>
    <row r="57114" ht="12" customHeight="1"/>
    <row r="57115" ht="12" customHeight="1"/>
    <row r="57116" ht="12" customHeight="1"/>
    <row r="57117" ht="12" customHeight="1"/>
    <row r="57118" ht="12" customHeight="1"/>
    <row r="57119" ht="12" customHeight="1"/>
    <row r="57120" ht="12" customHeight="1"/>
    <row r="57121" ht="12" customHeight="1"/>
    <row r="57122" ht="12" customHeight="1"/>
    <row r="57123" ht="12" customHeight="1"/>
    <row r="57124" ht="12" customHeight="1"/>
    <row r="57125" ht="12" customHeight="1"/>
    <row r="57126" ht="12" customHeight="1"/>
    <row r="57127" ht="12" customHeight="1"/>
    <row r="57128" ht="12" customHeight="1"/>
    <row r="57129" ht="12" customHeight="1"/>
    <row r="57130" ht="12" customHeight="1"/>
    <row r="57131" ht="12" customHeight="1"/>
    <row r="57132" ht="12" customHeight="1"/>
    <row r="57133" ht="12" customHeight="1"/>
    <row r="57134" ht="12" customHeight="1"/>
    <row r="57135" ht="12" customHeight="1"/>
    <row r="57136" ht="12" customHeight="1"/>
    <row r="57137" ht="12" customHeight="1"/>
    <row r="57138" ht="12" customHeight="1"/>
    <row r="57139" ht="12" customHeight="1"/>
    <row r="57140" ht="12" customHeight="1"/>
    <row r="57141" ht="12" customHeight="1"/>
    <row r="57142" ht="12" customHeight="1"/>
    <row r="57143" ht="12" customHeight="1"/>
    <row r="57144" ht="12" customHeight="1"/>
    <row r="57145" ht="12" customHeight="1"/>
    <row r="57146" ht="12" customHeight="1"/>
    <row r="57147" ht="12" customHeight="1"/>
    <row r="57148" ht="12" customHeight="1"/>
    <row r="57149" ht="12" customHeight="1"/>
    <row r="57150" ht="12" customHeight="1"/>
    <row r="57151" ht="12" customHeight="1"/>
    <row r="57152" ht="12" customHeight="1"/>
    <row r="57153" ht="12" customHeight="1"/>
    <row r="57154" ht="12" customHeight="1"/>
    <row r="57155" ht="12" customHeight="1"/>
    <row r="57156" ht="12" customHeight="1"/>
    <row r="57157" ht="12" customHeight="1"/>
    <row r="57158" ht="12" customHeight="1"/>
    <row r="57159" ht="12" customHeight="1"/>
    <row r="57160" ht="12" customHeight="1"/>
    <row r="57161" ht="12" customHeight="1"/>
    <row r="57162" ht="12" customHeight="1"/>
    <row r="57163" ht="12" customHeight="1"/>
    <row r="57164" ht="12" customHeight="1"/>
    <row r="57165" ht="12" customHeight="1"/>
    <row r="57166" ht="12" customHeight="1"/>
    <row r="57167" ht="12" customHeight="1"/>
    <row r="57168" ht="12" customHeight="1"/>
    <row r="57169" ht="12" customHeight="1"/>
    <row r="57170" ht="12" customHeight="1"/>
    <row r="57171" ht="12" customHeight="1"/>
    <row r="57172" ht="12" customHeight="1"/>
    <row r="57173" ht="12" customHeight="1"/>
    <row r="57174" ht="12" customHeight="1"/>
    <row r="57175" ht="12" customHeight="1"/>
    <row r="57176" ht="12" customHeight="1"/>
    <row r="57177" ht="12" customHeight="1"/>
    <row r="57178" ht="12" customHeight="1"/>
    <row r="57179" ht="12" customHeight="1"/>
    <row r="57180" ht="12" customHeight="1"/>
    <row r="57181" ht="12" customHeight="1"/>
    <row r="57182" ht="12" customHeight="1"/>
    <row r="57183" ht="12" customHeight="1"/>
    <row r="57184" ht="12" customHeight="1"/>
    <row r="57185" ht="12" customHeight="1"/>
    <row r="57186" ht="12" customHeight="1"/>
    <row r="57187" ht="12" customHeight="1"/>
    <row r="57188" ht="12" customHeight="1"/>
    <row r="57189" ht="12" customHeight="1"/>
    <row r="57190" ht="12" customHeight="1"/>
    <row r="57191" ht="12" customHeight="1"/>
    <row r="57192" ht="12" customHeight="1"/>
    <row r="57193" ht="12" customHeight="1"/>
    <row r="57194" ht="12" customHeight="1"/>
    <row r="57195" ht="12" customHeight="1"/>
    <row r="57196" ht="12" customHeight="1"/>
    <row r="57197" ht="12" customHeight="1"/>
    <row r="57198" ht="12" customHeight="1"/>
    <row r="57199" ht="12" customHeight="1"/>
    <row r="57200" ht="12" customHeight="1"/>
    <row r="57201" ht="12" customHeight="1"/>
    <row r="57202" ht="12" customHeight="1"/>
    <row r="57203" ht="12" customHeight="1"/>
    <row r="57204" ht="12" customHeight="1"/>
    <row r="57205" ht="12" customHeight="1"/>
    <row r="57206" ht="12" customHeight="1"/>
    <row r="57207" ht="12" customHeight="1"/>
    <row r="57208" ht="12" customHeight="1"/>
    <row r="57209" ht="12" customHeight="1"/>
    <row r="57210" ht="12" customHeight="1"/>
    <row r="57211" ht="12" customHeight="1"/>
    <row r="57212" ht="12" customHeight="1"/>
    <row r="57213" ht="12" customHeight="1"/>
    <row r="57214" ht="12" customHeight="1"/>
    <row r="57215" ht="12" customHeight="1"/>
    <row r="57216" ht="12" customHeight="1"/>
    <row r="57217" ht="12" customHeight="1"/>
    <row r="57218" ht="12" customHeight="1"/>
    <row r="57219" ht="12" customHeight="1"/>
    <row r="57220" ht="12" customHeight="1"/>
    <row r="57221" ht="12" customHeight="1"/>
    <row r="57222" ht="12" customHeight="1"/>
    <row r="57223" ht="12" customHeight="1"/>
    <row r="57224" ht="12" customHeight="1"/>
    <row r="57225" ht="12" customHeight="1"/>
    <row r="57226" ht="12" customHeight="1"/>
    <row r="57227" ht="12" customHeight="1"/>
    <row r="57228" ht="12" customHeight="1"/>
    <row r="57229" ht="12" customHeight="1"/>
    <row r="57230" ht="12" customHeight="1"/>
    <row r="57231" ht="12" customHeight="1"/>
    <row r="57232" ht="12" customHeight="1"/>
    <row r="57233" ht="12" customHeight="1"/>
    <row r="57234" ht="12" customHeight="1"/>
    <row r="57235" ht="12" customHeight="1"/>
    <row r="57236" ht="12" customHeight="1"/>
    <row r="57237" ht="12" customHeight="1"/>
    <row r="57238" ht="12" customHeight="1"/>
    <row r="57239" ht="12" customHeight="1"/>
    <row r="57240" ht="12" customHeight="1"/>
    <row r="57241" ht="12" customHeight="1"/>
    <row r="57242" ht="12" customHeight="1"/>
    <row r="57243" ht="12" customHeight="1"/>
    <row r="57244" ht="12" customHeight="1"/>
    <row r="57245" ht="12" customHeight="1"/>
    <row r="57246" ht="12" customHeight="1"/>
    <row r="57247" ht="12" customHeight="1"/>
    <row r="57248" ht="12" customHeight="1"/>
    <row r="57249" ht="12" customHeight="1"/>
    <row r="57250" ht="12" customHeight="1"/>
    <row r="57251" ht="12" customHeight="1"/>
    <row r="57252" ht="12" customHeight="1"/>
    <row r="57253" ht="12" customHeight="1"/>
    <row r="57254" ht="12" customHeight="1"/>
    <row r="57255" ht="12" customHeight="1"/>
    <row r="57256" ht="12" customHeight="1"/>
    <row r="57257" ht="12" customHeight="1"/>
    <row r="57258" ht="12" customHeight="1"/>
    <row r="57259" ht="12" customHeight="1"/>
    <row r="57260" ht="12" customHeight="1"/>
    <row r="57261" ht="12" customHeight="1"/>
    <row r="57262" ht="12" customHeight="1"/>
    <row r="57263" ht="12" customHeight="1"/>
    <row r="57264" ht="12" customHeight="1"/>
    <row r="57265" ht="12" customHeight="1"/>
    <row r="57266" ht="12" customHeight="1"/>
    <row r="57267" ht="12" customHeight="1"/>
    <row r="57268" ht="12" customHeight="1"/>
    <row r="57269" ht="12" customHeight="1"/>
    <row r="57270" ht="12" customHeight="1"/>
    <row r="57271" ht="12" customHeight="1"/>
    <row r="57272" ht="12" customHeight="1"/>
    <row r="57273" ht="12" customHeight="1"/>
    <row r="57274" ht="12" customHeight="1"/>
    <row r="57275" ht="12" customHeight="1"/>
    <row r="57276" ht="12" customHeight="1"/>
    <row r="57277" ht="12" customHeight="1"/>
    <row r="57278" ht="12" customHeight="1"/>
    <row r="57279" ht="12" customHeight="1"/>
    <row r="57280" ht="12" customHeight="1"/>
    <row r="57281" ht="12" customHeight="1"/>
    <row r="57282" ht="12" customHeight="1"/>
    <row r="57283" ht="12" customHeight="1"/>
    <row r="57284" ht="12" customHeight="1"/>
    <row r="57285" ht="12" customHeight="1"/>
    <row r="57286" ht="12" customHeight="1"/>
    <row r="57287" ht="12" customHeight="1"/>
    <row r="57288" ht="12" customHeight="1"/>
    <row r="57289" ht="12" customHeight="1"/>
    <row r="57290" ht="12" customHeight="1"/>
    <row r="57291" ht="12" customHeight="1"/>
    <row r="57292" ht="12" customHeight="1"/>
    <row r="57293" ht="12" customHeight="1"/>
    <row r="57294" ht="12" customHeight="1"/>
    <row r="57295" ht="12" customHeight="1"/>
    <row r="57296" ht="12" customHeight="1"/>
    <row r="57297" ht="12" customHeight="1"/>
    <row r="57298" ht="12" customHeight="1"/>
    <row r="57299" ht="12" customHeight="1"/>
    <row r="57300" ht="12" customHeight="1"/>
    <row r="57301" ht="12" customHeight="1"/>
    <row r="57302" ht="12" customHeight="1"/>
    <row r="57303" ht="12" customHeight="1"/>
    <row r="57304" ht="12" customHeight="1"/>
    <row r="57305" ht="12" customHeight="1"/>
    <row r="57306" ht="12" customHeight="1"/>
    <row r="57307" ht="12" customHeight="1"/>
    <row r="57308" ht="12" customHeight="1"/>
    <row r="57309" ht="12" customHeight="1"/>
    <row r="57310" ht="12" customHeight="1"/>
    <row r="57311" ht="12" customHeight="1"/>
    <row r="57312" ht="12" customHeight="1"/>
    <row r="57313" ht="12" customHeight="1"/>
    <row r="57314" ht="12" customHeight="1"/>
    <row r="57315" ht="12" customHeight="1"/>
    <row r="57316" ht="12" customHeight="1"/>
    <row r="57317" ht="12" customHeight="1"/>
    <row r="57318" ht="12" customHeight="1"/>
    <row r="57319" ht="12" customHeight="1"/>
    <row r="57320" ht="12" customHeight="1"/>
    <row r="57321" ht="12" customHeight="1"/>
    <row r="57322" ht="12" customHeight="1"/>
    <row r="57323" ht="12" customHeight="1"/>
    <row r="57324" ht="12" customHeight="1"/>
    <row r="57325" ht="12" customHeight="1"/>
    <row r="57326" ht="12" customHeight="1"/>
    <row r="57327" ht="12" customHeight="1"/>
    <row r="57328" ht="12" customHeight="1"/>
    <row r="57329" ht="12" customHeight="1"/>
    <row r="57330" ht="12" customHeight="1"/>
    <row r="57331" ht="12" customHeight="1"/>
    <row r="57332" ht="12" customHeight="1"/>
    <row r="57333" ht="12" customHeight="1"/>
    <row r="57334" ht="12" customHeight="1"/>
    <row r="57335" ht="12" customHeight="1"/>
    <row r="57336" ht="12" customHeight="1"/>
    <row r="57337" ht="12" customHeight="1"/>
    <row r="57338" ht="12" customHeight="1"/>
    <row r="57339" ht="12" customHeight="1"/>
    <row r="57340" ht="12" customHeight="1"/>
    <row r="57341" ht="12" customHeight="1"/>
    <row r="57342" ht="12" customHeight="1"/>
    <row r="57343" ht="12" customHeight="1"/>
    <row r="57344" ht="12" customHeight="1"/>
    <row r="57345" ht="12" customHeight="1"/>
    <row r="57346" ht="12" customHeight="1"/>
    <row r="57347" ht="12" customHeight="1"/>
    <row r="57348" ht="12" customHeight="1"/>
    <row r="57349" ht="12" customHeight="1"/>
    <row r="57350" ht="12" customHeight="1"/>
    <row r="57351" ht="12" customHeight="1"/>
    <row r="57352" ht="12" customHeight="1"/>
    <row r="57353" ht="12" customHeight="1"/>
    <row r="57354" ht="12" customHeight="1"/>
    <row r="57355" ht="12" customHeight="1"/>
    <row r="57356" ht="12" customHeight="1"/>
    <row r="57357" ht="12" customHeight="1"/>
    <row r="57358" ht="12" customHeight="1"/>
    <row r="57359" ht="12" customHeight="1"/>
    <row r="57360" ht="12" customHeight="1"/>
    <row r="57361" ht="12" customHeight="1"/>
    <row r="57362" ht="12" customHeight="1"/>
    <row r="57363" ht="12" customHeight="1"/>
    <row r="57364" ht="12" customHeight="1"/>
    <row r="57365" ht="12" customHeight="1"/>
    <row r="57366" ht="12" customHeight="1"/>
    <row r="57367" ht="12" customHeight="1"/>
    <row r="57368" ht="12" customHeight="1"/>
    <row r="57369" ht="12" customHeight="1"/>
    <row r="57370" ht="12" customHeight="1"/>
    <row r="57371" ht="12" customHeight="1"/>
    <row r="57372" ht="12" customHeight="1"/>
    <row r="57373" ht="12" customHeight="1"/>
    <row r="57374" ht="12" customHeight="1"/>
    <row r="57375" ht="12" customHeight="1"/>
    <row r="57376" ht="12" customHeight="1"/>
    <row r="57377" ht="12" customHeight="1"/>
    <row r="57378" ht="12" customHeight="1"/>
    <row r="57379" ht="12" customHeight="1"/>
    <row r="57380" ht="12" customHeight="1"/>
    <row r="57381" ht="12" customHeight="1"/>
    <row r="57382" ht="12" customHeight="1"/>
    <row r="57383" ht="12" customHeight="1"/>
    <row r="57384" ht="12" customHeight="1"/>
    <row r="57385" ht="12" customHeight="1"/>
    <row r="57386" ht="12" customHeight="1"/>
    <row r="57387" ht="12" customHeight="1"/>
    <row r="57388" ht="12" customHeight="1"/>
    <row r="57389" ht="12" customHeight="1"/>
    <row r="57390" ht="12" customHeight="1"/>
    <row r="57391" ht="12" customHeight="1"/>
    <row r="57392" ht="12" customHeight="1"/>
    <row r="57393" ht="12" customHeight="1"/>
    <row r="57394" ht="12" customHeight="1"/>
    <row r="57395" ht="12" customHeight="1"/>
    <row r="57396" ht="12" customHeight="1"/>
    <row r="57397" ht="12" customHeight="1"/>
    <row r="57398" ht="12" customHeight="1"/>
    <row r="57399" ht="12" customHeight="1"/>
    <row r="57400" ht="12" customHeight="1"/>
    <row r="57401" ht="12" customHeight="1"/>
    <row r="57402" ht="12" customHeight="1"/>
    <row r="57403" ht="12" customHeight="1"/>
    <row r="57404" ht="12" customHeight="1"/>
    <row r="57405" ht="12" customHeight="1"/>
    <row r="57406" ht="12" customHeight="1"/>
    <row r="57407" ht="12" customHeight="1"/>
    <row r="57408" ht="12" customHeight="1"/>
    <row r="57409" ht="12" customHeight="1"/>
    <row r="57410" ht="12" customHeight="1"/>
    <row r="57411" ht="12" customHeight="1"/>
    <row r="57412" ht="12" customHeight="1"/>
    <row r="57413" ht="12" customHeight="1"/>
    <row r="57414" ht="12" customHeight="1"/>
    <row r="57415" ht="12" customHeight="1"/>
    <row r="57416" ht="12" customHeight="1"/>
    <row r="57417" ht="12" customHeight="1"/>
    <row r="57418" ht="12" customHeight="1"/>
    <row r="57419" ht="12" customHeight="1"/>
    <row r="57420" ht="12" customHeight="1"/>
    <row r="57421" ht="12" customHeight="1"/>
    <row r="57422" ht="12" customHeight="1"/>
    <row r="57423" ht="12" customHeight="1"/>
    <row r="57424" ht="12" customHeight="1"/>
    <row r="57425" ht="12" customHeight="1"/>
    <row r="57426" ht="12" customHeight="1"/>
    <row r="57427" ht="12" customHeight="1"/>
    <row r="57428" ht="12" customHeight="1"/>
    <row r="57429" ht="12" customHeight="1"/>
    <row r="57430" ht="12" customHeight="1"/>
    <row r="57431" ht="12" customHeight="1"/>
    <row r="57432" ht="12" customHeight="1"/>
    <row r="57433" ht="12" customHeight="1"/>
    <row r="57434" ht="12" customHeight="1"/>
    <row r="57435" ht="12" customHeight="1"/>
    <row r="57436" ht="12" customHeight="1"/>
    <row r="57437" ht="12" customHeight="1"/>
    <row r="57438" ht="12" customHeight="1"/>
    <row r="57439" ht="12" customHeight="1"/>
    <row r="57440" ht="12" customHeight="1"/>
    <row r="57441" ht="12" customHeight="1"/>
    <row r="57442" ht="12" customHeight="1"/>
    <row r="57443" ht="12" customHeight="1"/>
    <row r="57444" ht="12" customHeight="1"/>
    <row r="57445" ht="12" customHeight="1"/>
    <row r="57446" ht="12" customHeight="1"/>
    <row r="57447" ht="12" customHeight="1"/>
    <row r="57448" ht="12" customHeight="1"/>
    <row r="57449" ht="12" customHeight="1"/>
    <row r="57450" ht="12" customHeight="1"/>
    <row r="57451" ht="12" customHeight="1"/>
    <row r="57452" ht="12" customHeight="1"/>
    <row r="57453" ht="12" customHeight="1"/>
    <row r="57454" ht="12" customHeight="1"/>
    <row r="57455" ht="12" customHeight="1"/>
    <row r="57456" ht="12" customHeight="1"/>
    <row r="57457" ht="12" customHeight="1"/>
    <row r="57458" ht="12" customHeight="1"/>
    <row r="57459" ht="12" customHeight="1"/>
    <row r="57460" ht="12" customHeight="1"/>
    <row r="57461" ht="12" customHeight="1"/>
    <row r="57462" ht="12" customHeight="1"/>
    <row r="57463" ht="12" customHeight="1"/>
    <row r="57464" ht="12" customHeight="1"/>
    <row r="57465" ht="12" customHeight="1"/>
    <row r="57466" ht="12" customHeight="1"/>
    <row r="57467" ht="12" customHeight="1"/>
    <row r="57468" ht="12" customHeight="1"/>
    <row r="57469" ht="12" customHeight="1"/>
    <row r="57470" ht="12" customHeight="1"/>
    <row r="57471" ht="12" customHeight="1"/>
    <row r="57472" ht="12" customHeight="1"/>
    <row r="57473" ht="12" customHeight="1"/>
    <row r="57474" ht="12" customHeight="1"/>
    <row r="57475" ht="12" customHeight="1"/>
    <row r="57476" ht="12" customHeight="1"/>
    <row r="57477" ht="12" customHeight="1"/>
    <row r="57478" ht="12" customHeight="1"/>
    <row r="57479" ht="12" customHeight="1"/>
    <row r="57480" ht="12" customHeight="1"/>
    <row r="57481" ht="12" customHeight="1"/>
    <row r="57482" ht="12" customHeight="1"/>
    <row r="57483" ht="12" customHeight="1"/>
    <row r="57484" ht="12" customHeight="1"/>
    <row r="57485" ht="12" customHeight="1"/>
    <row r="57486" ht="12" customHeight="1"/>
    <row r="57487" ht="12" customHeight="1"/>
    <row r="57488" ht="12" customHeight="1"/>
    <row r="57489" ht="12" customHeight="1"/>
    <row r="57490" ht="12" customHeight="1"/>
    <row r="57491" ht="12" customHeight="1"/>
    <row r="57492" ht="12" customHeight="1"/>
    <row r="57493" ht="12" customHeight="1"/>
    <row r="57494" ht="12" customHeight="1"/>
    <row r="57495" ht="12" customHeight="1"/>
    <row r="57496" ht="12" customHeight="1"/>
    <row r="57497" ht="12" customHeight="1"/>
    <row r="57498" ht="12" customHeight="1"/>
    <row r="57499" ht="12" customHeight="1"/>
    <row r="57500" ht="12" customHeight="1"/>
    <row r="57501" ht="12" customHeight="1"/>
    <row r="57502" ht="12" customHeight="1"/>
    <row r="57503" ht="12" customHeight="1"/>
    <row r="57504" ht="12" customHeight="1"/>
    <row r="57505" ht="12" customHeight="1"/>
    <row r="57506" ht="12" customHeight="1"/>
    <row r="57507" ht="12" customHeight="1"/>
    <row r="57508" ht="12" customHeight="1"/>
    <row r="57509" ht="12" customHeight="1"/>
    <row r="57510" ht="12" customHeight="1"/>
    <row r="57511" ht="12" customHeight="1"/>
    <row r="57512" ht="12" customHeight="1"/>
    <row r="57513" ht="12" customHeight="1"/>
    <row r="57514" ht="12" customHeight="1"/>
    <row r="57515" ht="12" customHeight="1"/>
    <row r="57516" ht="12" customHeight="1"/>
    <row r="57517" ht="12" customHeight="1"/>
    <row r="57518" ht="12" customHeight="1"/>
    <row r="57519" ht="12" customHeight="1"/>
    <row r="57520" ht="12" customHeight="1"/>
    <row r="57521" ht="12" customHeight="1"/>
    <row r="57522" ht="12" customHeight="1"/>
    <row r="57523" ht="12" customHeight="1"/>
    <row r="57524" ht="12" customHeight="1"/>
    <row r="57525" ht="12" customHeight="1"/>
    <row r="57526" ht="12" customHeight="1"/>
    <row r="57527" ht="12" customHeight="1"/>
    <row r="57528" ht="12" customHeight="1"/>
    <row r="57529" ht="12" customHeight="1"/>
    <row r="57530" ht="12" customHeight="1"/>
    <row r="57531" ht="12" customHeight="1"/>
    <row r="57532" ht="12" customHeight="1"/>
    <row r="57533" ht="12" customHeight="1"/>
    <row r="57534" ht="12" customHeight="1"/>
    <row r="57535" ht="12" customHeight="1"/>
    <row r="57536" ht="12" customHeight="1"/>
    <row r="57537" ht="12" customHeight="1"/>
    <row r="57538" ht="12" customHeight="1"/>
    <row r="57539" ht="12" customHeight="1"/>
    <row r="57540" ht="12" customHeight="1"/>
    <row r="57541" ht="12" customHeight="1"/>
    <row r="57542" ht="12" customHeight="1"/>
    <row r="57543" ht="12" customHeight="1"/>
    <row r="57544" ht="12" customHeight="1"/>
    <row r="57545" ht="12" customHeight="1"/>
    <row r="57546" ht="12" customHeight="1"/>
    <row r="57547" ht="12" customHeight="1"/>
    <row r="57548" ht="12" customHeight="1"/>
    <row r="57549" ht="12" customHeight="1"/>
    <row r="57550" ht="12" customHeight="1"/>
    <row r="57551" ht="12" customHeight="1"/>
    <row r="57552" ht="12" customHeight="1"/>
    <row r="57553" ht="12" customHeight="1"/>
    <row r="57554" ht="12" customHeight="1"/>
    <row r="57555" ht="12" customHeight="1"/>
    <row r="57556" ht="12" customHeight="1"/>
    <row r="57557" ht="12" customHeight="1"/>
    <row r="57558" ht="12" customHeight="1"/>
    <row r="57559" ht="12" customHeight="1"/>
    <row r="57560" ht="12" customHeight="1"/>
    <row r="57561" ht="12" customHeight="1"/>
    <row r="57562" ht="12" customHeight="1"/>
    <row r="57563" ht="12" customHeight="1"/>
    <row r="57564" ht="12" customHeight="1"/>
    <row r="57565" ht="12" customHeight="1"/>
    <row r="57566" ht="12" customHeight="1"/>
    <row r="57567" ht="12" customHeight="1"/>
    <row r="57568" ht="12" customHeight="1"/>
    <row r="57569" ht="12" customHeight="1"/>
    <row r="57570" ht="12" customHeight="1"/>
    <row r="57571" ht="12" customHeight="1"/>
    <row r="57572" ht="12" customHeight="1"/>
    <row r="57573" ht="12" customHeight="1"/>
    <row r="57574" ht="12" customHeight="1"/>
    <row r="57575" ht="12" customHeight="1"/>
    <row r="57576" ht="12" customHeight="1"/>
    <row r="57577" ht="12" customHeight="1"/>
    <row r="57578" ht="12" customHeight="1"/>
    <row r="57579" ht="12" customHeight="1"/>
    <row r="57580" ht="12" customHeight="1"/>
    <row r="57581" ht="12" customHeight="1"/>
    <row r="57582" ht="12" customHeight="1"/>
    <row r="57583" ht="12" customHeight="1"/>
    <row r="57584" ht="12" customHeight="1"/>
    <row r="57585" ht="12" customHeight="1"/>
    <row r="57586" ht="12" customHeight="1"/>
    <row r="57587" ht="12" customHeight="1"/>
    <row r="57588" ht="12" customHeight="1"/>
    <row r="57589" ht="12" customHeight="1"/>
    <row r="57590" ht="12" customHeight="1"/>
    <row r="57591" ht="12" customHeight="1"/>
    <row r="57592" ht="12" customHeight="1"/>
    <row r="57593" ht="12" customHeight="1"/>
    <row r="57594" ht="12" customHeight="1"/>
    <row r="57595" ht="12" customHeight="1"/>
    <row r="57596" ht="12" customHeight="1"/>
    <row r="57597" ht="12" customHeight="1"/>
    <row r="57598" ht="12" customHeight="1"/>
    <row r="57599" ht="12" customHeight="1"/>
    <row r="57600" ht="12" customHeight="1"/>
    <row r="57601" ht="12" customHeight="1"/>
    <row r="57602" ht="12" customHeight="1"/>
    <row r="57603" ht="12" customHeight="1"/>
    <row r="57604" ht="12" customHeight="1"/>
    <row r="57605" ht="12" customHeight="1"/>
    <row r="57606" ht="12" customHeight="1"/>
    <row r="57607" ht="12" customHeight="1"/>
    <row r="57608" ht="12" customHeight="1"/>
    <row r="57609" ht="12" customHeight="1"/>
    <row r="57610" ht="12" customHeight="1"/>
    <row r="57611" ht="12" customHeight="1"/>
    <row r="57612" ht="12" customHeight="1"/>
    <row r="57613" ht="12" customHeight="1"/>
    <row r="57614" ht="12" customHeight="1"/>
    <row r="57615" ht="12" customHeight="1"/>
    <row r="57616" ht="12" customHeight="1"/>
    <row r="57617" ht="12" customHeight="1"/>
    <row r="57618" ht="12" customHeight="1"/>
    <row r="57619" ht="12" customHeight="1"/>
    <row r="57620" ht="12" customHeight="1"/>
    <row r="57621" ht="12" customHeight="1"/>
    <row r="57622" ht="12" customHeight="1"/>
    <row r="57623" ht="12" customHeight="1"/>
    <row r="57624" ht="12" customHeight="1"/>
    <row r="57625" ht="12" customHeight="1"/>
    <row r="57626" ht="12" customHeight="1"/>
    <row r="57627" ht="12" customHeight="1"/>
    <row r="57628" ht="12" customHeight="1"/>
    <row r="57629" ht="12" customHeight="1"/>
    <row r="57630" ht="12" customHeight="1"/>
    <row r="57631" ht="12" customHeight="1"/>
    <row r="57632" ht="12" customHeight="1"/>
    <row r="57633" ht="12" customHeight="1"/>
    <row r="57634" ht="12" customHeight="1"/>
    <row r="57635" ht="12" customHeight="1"/>
    <row r="57636" ht="12" customHeight="1"/>
    <row r="57637" ht="12" customHeight="1"/>
    <row r="57638" ht="12" customHeight="1"/>
    <row r="57639" ht="12" customHeight="1"/>
    <row r="57640" ht="12" customHeight="1"/>
    <row r="57641" ht="12" customHeight="1"/>
    <row r="57642" ht="12" customHeight="1"/>
    <row r="57643" ht="12" customHeight="1"/>
    <row r="57644" ht="12" customHeight="1"/>
    <row r="57645" ht="12" customHeight="1"/>
    <row r="57646" ht="12" customHeight="1"/>
    <row r="57647" ht="12" customHeight="1"/>
    <row r="57648" ht="12" customHeight="1"/>
    <row r="57649" ht="12" customHeight="1"/>
    <row r="57650" ht="12" customHeight="1"/>
    <row r="57651" ht="12" customHeight="1"/>
    <row r="57652" ht="12" customHeight="1"/>
    <row r="57653" ht="12" customHeight="1"/>
    <row r="57654" ht="12" customHeight="1"/>
    <row r="57655" ht="12" customHeight="1"/>
    <row r="57656" ht="12" customHeight="1"/>
    <row r="57657" ht="12" customHeight="1"/>
    <row r="57658" ht="12" customHeight="1"/>
    <row r="57659" ht="12" customHeight="1"/>
    <row r="57660" ht="12" customHeight="1"/>
    <row r="57661" ht="12" customHeight="1"/>
    <row r="57662" ht="12" customHeight="1"/>
    <row r="57663" ht="12" customHeight="1"/>
    <row r="57664" ht="12" customHeight="1"/>
    <row r="57665" ht="12" customHeight="1"/>
    <row r="57666" ht="12" customHeight="1"/>
    <row r="57667" ht="12" customHeight="1"/>
    <row r="57668" ht="12" customHeight="1"/>
    <row r="57669" ht="12" customHeight="1"/>
    <row r="57670" ht="12" customHeight="1"/>
    <row r="57671" ht="12" customHeight="1"/>
    <row r="57672" ht="12" customHeight="1"/>
    <row r="57673" ht="12" customHeight="1"/>
    <row r="57674" ht="12" customHeight="1"/>
    <row r="57675" ht="12" customHeight="1"/>
    <row r="57676" ht="12" customHeight="1"/>
    <row r="57677" ht="12" customHeight="1"/>
    <row r="57678" ht="12" customHeight="1"/>
    <row r="57679" ht="12" customHeight="1"/>
    <row r="57680" ht="12" customHeight="1"/>
    <row r="57681" ht="12" customHeight="1"/>
    <row r="57682" ht="12" customHeight="1"/>
    <row r="57683" ht="12" customHeight="1"/>
    <row r="57684" ht="12" customHeight="1"/>
    <row r="57685" ht="12" customHeight="1"/>
    <row r="57686" ht="12" customHeight="1"/>
    <row r="57687" ht="12" customHeight="1"/>
    <row r="57688" ht="12" customHeight="1"/>
    <row r="57689" ht="12" customHeight="1"/>
    <row r="57690" ht="12" customHeight="1"/>
    <row r="57691" ht="12" customHeight="1"/>
    <row r="57692" ht="12" customHeight="1"/>
    <row r="57693" ht="12" customHeight="1"/>
    <row r="57694" ht="12" customHeight="1"/>
    <row r="57695" ht="12" customHeight="1"/>
    <row r="57696" ht="12" customHeight="1"/>
    <row r="57697" ht="12" customHeight="1"/>
    <row r="57698" ht="12" customHeight="1"/>
    <row r="57699" ht="12" customHeight="1"/>
    <row r="57700" ht="12" customHeight="1"/>
    <row r="57701" ht="12" customHeight="1"/>
    <row r="57702" ht="12" customHeight="1"/>
    <row r="57703" ht="12" customHeight="1"/>
    <row r="57704" ht="12" customHeight="1"/>
    <row r="57705" ht="12" customHeight="1"/>
    <row r="57706" ht="12" customHeight="1"/>
    <row r="57707" ht="12" customHeight="1"/>
    <row r="57708" ht="12" customHeight="1"/>
    <row r="57709" ht="12" customHeight="1"/>
    <row r="57710" ht="12" customHeight="1"/>
    <row r="57711" ht="12" customHeight="1"/>
    <row r="57712" ht="12" customHeight="1"/>
    <row r="57713" ht="12" customHeight="1"/>
    <row r="57714" ht="12" customHeight="1"/>
    <row r="57715" ht="12" customHeight="1"/>
    <row r="57716" ht="12" customHeight="1"/>
    <row r="57717" ht="12" customHeight="1"/>
    <row r="57718" ht="12" customHeight="1"/>
    <row r="57719" ht="12" customHeight="1"/>
    <row r="57720" ht="12" customHeight="1"/>
    <row r="57721" ht="12" customHeight="1"/>
    <row r="57722" ht="12" customHeight="1"/>
    <row r="57723" ht="12" customHeight="1"/>
    <row r="57724" ht="12" customHeight="1"/>
    <row r="57725" ht="12" customHeight="1"/>
    <row r="57726" ht="12" customHeight="1"/>
    <row r="57727" ht="12" customHeight="1"/>
    <row r="57728" ht="12" customHeight="1"/>
    <row r="57729" ht="12" customHeight="1"/>
    <row r="57730" ht="12" customHeight="1"/>
    <row r="57731" ht="12" customHeight="1"/>
    <row r="57732" ht="12" customHeight="1"/>
    <row r="57733" ht="12" customHeight="1"/>
    <row r="57734" ht="12" customHeight="1"/>
    <row r="57735" ht="12" customHeight="1"/>
    <row r="57736" ht="12" customHeight="1"/>
    <row r="57737" ht="12" customHeight="1"/>
    <row r="57738" ht="12" customHeight="1"/>
    <row r="57739" ht="12" customHeight="1"/>
    <row r="57740" ht="12" customHeight="1"/>
    <row r="57741" ht="12" customHeight="1"/>
    <row r="57742" ht="12" customHeight="1"/>
    <row r="57743" ht="12" customHeight="1"/>
    <row r="57744" ht="12" customHeight="1"/>
    <row r="57745" ht="12" customHeight="1"/>
    <row r="57746" ht="12" customHeight="1"/>
    <row r="57747" ht="12" customHeight="1"/>
    <row r="57748" ht="12" customHeight="1"/>
    <row r="57749" ht="12" customHeight="1"/>
    <row r="57750" ht="12" customHeight="1"/>
    <row r="57751" ht="12" customHeight="1"/>
    <row r="57752" ht="12" customHeight="1"/>
    <row r="57753" ht="12" customHeight="1"/>
    <row r="57754" ht="12" customHeight="1"/>
    <row r="57755" ht="12" customHeight="1"/>
    <row r="57756" ht="12" customHeight="1"/>
    <row r="57757" ht="12" customHeight="1"/>
    <row r="57758" ht="12" customHeight="1"/>
    <row r="57759" ht="12" customHeight="1"/>
    <row r="57760" ht="12" customHeight="1"/>
    <row r="57761" ht="12" customHeight="1"/>
    <row r="57762" ht="12" customHeight="1"/>
    <row r="57763" ht="12" customHeight="1"/>
    <row r="57764" ht="12" customHeight="1"/>
    <row r="57765" ht="12" customHeight="1"/>
    <row r="57766" ht="12" customHeight="1"/>
    <row r="57767" ht="12" customHeight="1"/>
    <row r="57768" ht="12" customHeight="1"/>
    <row r="57769" ht="12" customHeight="1"/>
    <row r="57770" ht="12" customHeight="1"/>
    <row r="57771" ht="12" customHeight="1"/>
    <row r="57772" ht="12" customHeight="1"/>
    <row r="57773" ht="12" customHeight="1"/>
    <row r="57774" ht="12" customHeight="1"/>
    <row r="57775" ht="12" customHeight="1"/>
    <row r="57776" ht="12" customHeight="1"/>
    <row r="57777" ht="12" customHeight="1"/>
    <row r="57778" ht="12" customHeight="1"/>
    <row r="57779" ht="12" customHeight="1"/>
    <row r="57780" ht="12" customHeight="1"/>
    <row r="57781" ht="12" customHeight="1"/>
    <row r="57782" ht="12" customHeight="1"/>
    <row r="57783" ht="12" customHeight="1"/>
    <row r="57784" ht="12" customHeight="1"/>
    <row r="57785" ht="12" customHeight="1"/>
    <row r="57786" ht="12" customHeight="1"/>
    <row r="57787" ht="12" customHeight="1"/>
    <row r="57788" ht="12" customHeight="1"/>
    <row r="57789" ht="12" customHeight="1"/>
    <row r="57790" ht="12" customHeight="1"/>
    <row r="57791" ht="12" customHeight="1"/>
    <row r="57792" ht="12" customHeight="1"/>
    <row r="57793" ht="12" customHeight="1"/>
    <row r="57794" ht="12" customHeight="1"/>
    <row r="57795" ht="12" customHeight="1"/>
    <row r="57796" ht="12" customHeight="1"/>
    <row r="57797" ht="12" customHeight="1"/>
    <row r="57798" ht="12" customHeight="1"/>
    <row r="57799" ht="12" customHeight="1"/>
    <row r="57800" ht="12" customHeight="1"/>
    <row r="57801" ht="12" customHeight="1"/>
    <row r="57802" ht="12" customHeight="1"/>
    <row r="57803" ht="12" customHeight="1"/>
    <row r="57804" ht="12" customHeight="1"/>
    <row r="57805" ht="12" customHeight="1"/>
    <row r="57806" ht="12" customHeight="1"/>
    <row r="57807" ht="12" customHeight="1"/>
    <row r="57808" ht="12" customHeight="1"/>
    <row r="57809" ht="12" customHeight="1"/>
    <row r="57810" ht="12" customHeight="1"/>
    <row r="57811" ht="12" customHeight="1"/>
    <row r="57812" ht="12" customHeight="1"/>
    <row r="57813" ht="12" customHeight="1"/>
    <row r="57814" ht="12" customHeight="1"/>
    <row r="57815" ht="12" customHeight="1"/>
    <row r="57816" ht="12" customHeight="1"/>
    <row r="57817" ht="12" customHeight="1"/>
    <row r="57818" ht="12" customHeight="1"/>
    <row r="57819" ht="12" customHeight="1"/>
    <row r="57820" ht="12" customHeight="1"/>
    <row r="57821" ht="12" customHeight="1"/>
    <row r="57822" ht="12" customHeight="1"/>
    <row r="57823" ht="12" customHeight="1"/>
    <row r="57824" ht="12" customHeight="1"/>
    <row r="57825" ht="12" customHeight="1"/>
    <row r="57826" ht="12" customHeight="1"/>
    <row r="57827" ht="12" customHeight="1"/>
    <row r="57828" ht="12" customHeight="1"/>
    <row r="57829" ht="12" customHeight="1"/>
    <row r="57830" ht="12" customHeight="1"/>
    <row r="57831" ht="12" customHeight="1"/>
    <row r="57832" ht="12" customHeight="1"/>
    <row r="57833" ht="12" customHeight="1"/>
    <row r="57834" ht="12" customHeight="1"/>
    <row r="57835" ht="12" customHeight="1"/>
    <row r="57836" ht="12" customHeight="1"/>
    <row r="57837" ht="12" customHeight="1"/>
    <row r="57838" ht="12" customHeight="1"/>
    <row r="57839" ht="12" customHeight="1"/>
    <row r="57840" ht="12" customHeight="1"/>
    <row r="57841" ht="12" customHeight="1"/>
    <row r="57842" ht="12" customHeight="1"/>
    <row r="57843" ht="12" customHeight="1"/>
    <row r="57844" ht="12" customHeight="1"/>
    <row r="57845" ht="12" customHeight="1"/>
    <row r="57846" ht="12" customHeight="1"/>
    <row r="57847" ht="12" customHeight="1"/>
    <row r="57848" ht="12" customHeight="1"/>
    <row r="57849" ht="12" customHeight="1"/>
    <row r="57850" ht="12" customHeight="1"/>
    <row r="57851" ht="12" customHeight="1"/>
    <row r="57852" ht="12" customHeight="1"/>
    <row r="57853" ht="12" customHeight="1"/>
    <row r="57854" ht="12" customHeight="1"/>
    <row r="57855" ht="12" customHeight="1"/>
    <row r="57856" ht="12" customHeight="1"/>
    <row r="57857" ht="12" customHeight="1"/>
    <row r="57858" ht="12" customHeight="1"/>
    <row r="57859" ht="12" customHeight="1"/>
    <row r="57860" ht="12" customHeight="1"/>
    <row r="57861" ht="12" customHeight="1"/>
    <row r="57862" ht="12" customHeight="1"/>
    <row r="57863" ht="12" customHeight="1"/>
    <row r="57864" ht="12" customHeight="1"/>
    <row r="57865" ht="12" customHeight="1"/>
    <row r="57866" ht="12" customHeight="1"/>
    <row r="57867" ht="12" customHeight="1"/>
    <row r="57868" ht="12" customHeight="1"/>
    <row r="57869" ht="12" customHeight="1"/>
    <row r="57870" ht="12" customHeight="1"/>
    <row r="57871" ht="12" customHeight="1"/>
    <row r="57872" ht="12" customHeight="1"/>
    <row r="57873" ht="12" customHeight="1"/>
    <row r="57874" ht="12" customHeight="1"/>
    <row r="57875" ht="12" customHeight="1"/>
    <row r="57876" ht="12" customHeight="1"/>
    <row r="57877" ht="12" customHeight="1"/>
    <row r="57878" ht="12" customHeight="1"/>
    <row r="57879" ht="12" customHeight="1"/>
    <row r="57880" ht="12" customHeight="1"/>
    <row r="57881" ht="12" customHeight="1"/>
    <row r="57882" ht="12" customHeight="1"/>
    <row r="57883" ht="12" customHeight="1"/>
    <row r="57884" ht="12" customHeight="1"/>
    <row r="57885" ht="12" customHeight="1"/>
    <row r="57886" ht="12" customHeight="1"/>
    <row r="57887" ht="12" customHeight="1"/>
    <row r="57888" ht="12" customHeight="1"/>
    <row r="57889" ht="12" customHeight="1"/>
    <row r="57890" ht="12" customHeight="1"/>
    <row r="57891" ht="12" customHeight="1"/>
    <row r="57892" ht="12" customHeight="1"/>
    <row r="57893" ht="12" customHeight="1"/>
    <row r="57894" ht="12" customHeight="1"/>
    <row r="57895" ht="12" customHeight="1"/>
    <row r="57896" ht="12" customHeight="1"/>
    <row r="57897" ht="12" customHeight="1"/>
    <row r="57898" ht="12" customHeight="1"/>
    <row r="57899" ht="12" customHeight="1"/>
    <row r="57900" ht="12" customHeight="1"/>
    <row r="57901" ht="12" customHeight="1"/>
    <row r="57902" ht="12" customHeight="1"/>
    <row r="57903" ht="12" customHeight="1"/>
    <row r="57904" ht="12" customHeight="1"/>
    <row r="57905" ht="12" customHeight="1"/>
    <row r="57906" ht="12" customHeight="1"/>
    <row r="57907" ht="12" customHeight="1"/>
    <row r="57908" ht="12" customHeight="1"/>
    <row r="57909" ht="12" customHeight="1"/>
    <row r="57910" ht="12" customHeight="1"/>
    <row r="57911" ht="12" customHeight="1"/>
    <row r="57912" ht="12" customHeight="1"/>
    <row r="57913" ht="12" customHeight="1"/>
    <row r="57914" ht="12" customHeight="1"/>
    <row r="57915" ht="12" customHeight="1"/>
    <row r="57916" ht="12" customHeight="1"/>
    <row r="57917" ht="12" customHeight="1"/>
    <row r="57918" ht="12" customHeight="1"/>
    <row r="57919" ht="12" customHeight="1"/>
    <row r="57920" ht="12" customHeight="1"/>
    <row r="57921" ht="12" customHeight="1"/>
    <row r="57922" ht="12" customHeight="1"/>
    <row r="57923" ht="12" customHeight="1"/>
    <row r="57924" ht="12" customHeight="1"/>
    <row r="57925" ht="12" customHeight="1"/>
    <row r="57926" ht="12" customHeight="1"/>
    <row r="57927" ht="12" customHeight="1"/>
    <row r="57928" ht="12" customHeight="1"/>
    <row r="57929" ht="12" customHeight="1"/>
    <row r="57930" ht="12" customHeight="1"/>
    <row r="57931" ht="12" customHeight="1"/>
    <row r="57932" ht="12" customHeight="1"/>
    <row r="57933" ht="12" customHeight="1"/>
    <row r="57934" ht="12" customHeight="1"/>
    <row r="57935" ht="12" customHeight="1"/>
    <row r="57936" ht="12" customHeight="1"/>
    <row r="57937" ht="12" customHeight="1"/>
    <row r="57938" ht="12" customHeight="1"/>
    <row r="57939" ht="12" customHeight="1"/>
    <row r="57940" ht="12" customHeight="1"/>
    <row r="57941" ht="12" customHeight="1"/>
    <row r="57942" ht="12" customHeight="1"/>
    <row r="57943" ht="12" customHeight="1"/>
    <row r="57944" ht="12" customHeight="1"/>
    <row r="57945" ht="12" customHeight="1"/>
    <row r="57946" ht="12" customHeight="1"/>
    <row r="57947" ht="12" customHeight="1"/>
    <row r="57948" ht="12" customHeight="1"/>
    <row r="57949" ht="12" customHeight="1"/>
    <row r="57950" ht="12" customHeight="1"/>
    <row r="57951" ht="12" customHeight="1"/>
    <row r="57952" ht="12" customHeight="1"/>
    <row r="57953" ht="12" customHeight="1"/>
    <row r="57954" ht="12" customHeight="1"/>
    <row r="57955" ht="12" customHeight="1"/>
    <row r="57956" ht="12" customHeight="1"/>
    <row r="57957" ht="12" customHeight="1"/>
    <row r="57958" ht="12" customHeight="1"/>
    <row r="57959" ht="12" customHeight="1"/>
    <row r="57960" ht="12" customHeight="1"/>
    <row r="57961" ht="12" customHeight="1"/>
    <row r="57962" ht="12" customHeight="1"/>
    <row r="57963" ht="12" customHeight="1"/>
    <row r="57964" ht="12" customHeight="1"/>
    <row r="57965" ht="12" customHeight="1"/>
    <row r="57966" ht="12" customHeight="1"/>
    <row r="57967" ht="12" customHeight="1"/>
    <row r="57968" ht="12" customHeight="1"/>
    <row r="57969" ht="12" customHeight="1"/>
    <row r="57970" ht="12" customHeight="1"/>
    <row r="57971" ht="12" customHeight="1"/>
    <row r="57972" ht="12" customHeight="1"/>
    <row r="57973" ht="12" customHeight="1"/>
    <row r="57974" ht="12" customHeight="1"/>
    <row r="57975" ht="12" customHeight="1"/>
    <row r="57976" ht="12" customHeight="1"/>
    <row r="57977" ht="12" customHeight="1"/>
    <row r="57978" ht="12" customHeight="1"/>
    <row r="57979" ht="12" customHeight="1"/>
    <row r="57980" ht="12" customHeight="1"/>
    <row r="57981" ht="12" customHeight="1"/>
    <row r="57982" ht="12" customHeight="1"/>
    <row r="57983" ht="12" customHeight="1"/>
    <row r="57984" ht="12" customHeight="1"/>
    <row r="57985" ht="12" customHeight="1"/>
    <row r="57986" ht="12" customHeight="1"/>
    <row r="57987" ht="12" customHeight="1"/>
    <row r="57988" ht="12" customHeight="1"/>
    <row r="57989" ht="12" customHeight="1"/>
    <row r="57990" ht="12" customHeight="1"/>
    <row r="57991" ht="12" customHeight="1"/>
    <row r="57992" ht="12" customHeight="1"/>
    <row r="57993" ht="12" customHeight="1"/>
    <row r="57994" ht="12" customHeight="1"/>
    <row r="57995" ht="12" customHeight="1"/>
    <row r="57996" ht="12" customHeight="1"/>
    <row r="57997" ht="12" customHeight="1"/>
    <row r="57998" ht="12" customHeight="1"/>
    <row r="57999" ht="12" customHeight="1"/>
    <row r="58000" ht="12" customHeight="1"/>
    <row r="58001" ht="12" customHeight="1"/>
    <row r="58002" ht="12" customHeight="1"/>
    <row r="58003" ht="12" customHeight="1"/>
    <row r="58004" ht="12" customHeight="1"/>
    <row r="58005" ht="12" customHeight="1"/>
    <row r="58006" ht="12" customHeight="1"/>
    <row r="58007" ht="12" customHeight="1"/>
    <row r="58008" ht="12" customHeight="1"/>
    <row r="58009" ht="12" customHeight="1"/>
    <row r="58010" ht="12" customHeight="1"/>
    <row r="58011" ht="12" customHeight="1"/>
    <row r="58012" ht="12" customHeight="1"/>
    <row r="58013" ht="12" customHeight="1"/>
    <row r="58014" ht="12" customHeight="1"/>
    <row r="58015" ht="12" customHeight="1"/>
    <row r="58016" ht="12" customHeight="1"/>
    <row r="58017" ht="12" customHeight="1"/>
    <row r="58018" ht="12" customHeight="1"/>
    <row r="58019" ht="12" customHeight="1"/>
    <row r="58020" ht="12" customHeight="1"/>
    <row r="58021" ht="12" customHeight="1"/>
    <row r="58022" ht="12" customHeight="1"/>
    <row r="58023" ht="12" customHeight="1"/>
    <row r="58024" ht="12" customHeight="1"/>
    <row r="58025" ht="12" customHeight="1"/>
    <row r="58026" ht="12" customHeight="1"/>
    <row r="58027" ht="12" customHeight="1"/>
    <row r="58028" ht="12" customHeight="1"/>
    <row r="58029" ht="12" customHeight="1"/>
    <row r="58030" ht="12" customHeight="1"/>
    <row r="58031" ht="12" customHeight="1"/>
    <row r="58032" ht="12" customHeight="1"/>
    <row r="58033" ht="12" customHeight="1"/>
    <row r="58034" ht="12" customHeight="1"/>
    <row r="58035" ht="12" customHeight="1"/>
    <row r="58036" ht="12" customHeight="1"/>
    <row r="58037" ht="12" customHeight="1"/>
    <row r="58038" ht="12" customHeight="1"/>
    <row r="58039" ht="12" customHeight="1"/>
    <row r="58040" ht="12" customHeight="1"/>
    <row r="58041" ht="12" customHeight="1"/>
    <row r="58042" ht="12" customHeight="1"/>
    <row r="58043" ht="12" customHeight="1"/>
    <row r="58044" ht="12" customHeight="1"/>
    <row r="58045" ht="12" customHeight="1"/>
    <row r="58046" ht="12" customHeight="1"/>
    <row r="58047" ht="12" customHeight="1"/>
    <row r="58048" ht="12" customHeight="1"/>
    <row r="58049" ht="12" customHeight="1"/>
    <row r="58050" ht="12" customHeight="1"/>
    <row r="58051" ht="12" customHeight="1"/>
    <row r="58052" ht="12" customHeight="1"/>
    <row r="58053" ht="12" customHeight="1"/>
    <row r="58054" ht="12" customHeight="1"/>
    <row r="58055" ht="12" customHeight="1"/>
    <row r="58056" ht="12" customHeight="1"/>
    <row r="58057" ht="12" customHeight="1"/>
    <row r="58058" ht="12" customHeight="1"/>
    <row r="58059" ht="12" customHeight="1"/>
    <row r="58060" ht="12" customHeight="1"/>
    <row r="58061" ht="12" customHeight="1"/>
    <row r="58062" ht="12" customHeight="1"/>
    <row r="58063" ht="12" customHeight="1"/>
    <row r="58064" ht="12" customHeight="1"/>
    <row r="58065" ht="12" customHeight="1"/>
    <row r="58066" ht="12" customHeight="1"/>
    <row r="58067" ht="12" customHeight="1"/>
    <row r="58068" ht="12" customHeight="1"/>
    <row r="58069" ht="12" customHeight="1"/>
    <row r="58070" ht="12" customHeight="1"/>
    <row r="58071" ht="12" customHeight="1"/>
    <row r="58072" ht="12" customHeight="1"/>
    <row r="58073" ht="12" customHeight="1"/>
    <row r="58074" ht="12" customHeight="1"/>
    <row r="58075" ht="12" customHeight="1"/>
    <row r="58076" ht="12" customHeight="1"/>
    <row r="58077" ht="12" customHeight="1"/>
    <row r="58078" ht="12" customHeight="1"/>
    <row r="58079" ht="12" customHeight="1"/>
    <row r="58080" ht="12" customHeight="1"/>
    <row r="58081" ht="12" customHeight="1"/>
    <row r="58082" ht="12" customHeight="1"/>
    <row r="58083" ht="12" customHeight="1"/>
    <row r="58084" ht="12" customHeight="1"/>
    <row r="58085" ht="12" customHeight="1"/>
    <row r="58086" ht="12" customHeight="1"/>
    <row r="58087" ht="12" customHeight="1"/>
    <row r="58088" ht="12" customHeight="1"/>
    <row r="58089" ht="12" customHeight="1"/>
    <row r="58090" ht="12" customHeight="1"/>
    <row r="58091" ht="12" customHeight="1"/>
    <row r="58092" ht="12" customHeight="1"/>
    <row r="58093" ht="12" customHeight="1"/>
    <row r="58094" ht="12" customHeight="1"/>
    <row r="58095" ht="12" customHeight="1"/>
    <row r="58096" ht="12" customHeight="1"/>
    <row r="58097" ht="12" customHeight="1"/>
    <row r="58098" ht="12" customHeight="1"/>
    <row r="58099" ht="12" customHeight="1"/>
    <row r="58100" ht="12" customHeight="1"/>
    <row r="58101" ht="12" customHeight="1"/>
    <row r="58102" ht="12" customHeight="1"/>
    <row r="58103" ht="12" customHeight="1"/>
    <row r="58104" ht="12" customHeight="1"/>
    <row r="58105" ht="12" customHeight="1"/>
    <row r="58106" ht="12" customHeight="1"/>
    <row r="58107" ht="12" customHeight="1"/>
    <row r="58108" ht="12" customHeight="1"/>
    <row r="58109" ht="12" customHeight="1"/>
    <row r="58110" ht="12" customHeight="1"/>
    <row r="58111" ht="12" customHeight="1"/>
    <row r="58112" ht="12" customHeight="1"/>
    <row r="58113" ht="12" customHeight="1"/>
    <row r="58114" ht="12" customHeight="1"/>
    <row r="58115" ht="12" customHeight="1"/>
    <row r="58116" ht="12" customHeight="1"/>
    <row r="58117" ht="12" customHeight="1"/>
    <row r="58118" ht="12" customHeight="1"/>
    <row r="58119" ht="12" customHeight="1"/>
    <row r="58120" ht="12" customHeight="1"/>
    <row r="58121" ht="12" customHeight="1"/>
    <row r="58122" ht="12" customHeight="1"/>
    <row r="58123" ht="12" customHeight="1"/>
    <row r="58124" ht="12" customHeight="1"/>
    <row r="58125" ht="12" customHeight="1"/>
    <row r="58126" ht="12" customHeight="1"/>
    <row r="58127" ht="12" customHeight="1"/>
    <row r="58128" ht="12" customHeight="1"/>
    <row r="58129" ht="12" customHeight="1"/>
    <row r="58130" ht="12" customHeight="1"/>
    <row r="58131" ht="12" customHeight="1"/>
    <row r="58132" ht="12" customHeight="1"/>
    <row r="58133" ht="12" customHeight="1"/>
    <row r="58134" ht="12" customHeight="1"/>
    <row r="58135" ht="12" customHeight="1"/>
    <row r="58136" ht="12" customHeight="1"/>
    <row r="58137" ht="12" customHeight="1"/>
    <row r="58138" ht="12" customHeight="1"/>
    <row r="58139" ht="12" customHeight="1"/>
    <row r="58140" ht="12" customHeight="1"/>
    <row r="58141" ht="12" customHeight="1"/>
    <row r="58142" ht="12" customHeight="1"/>
    <row r="58143" ht="12" customHeight="1"/>
    <row r="58144" ht="12" customHeight="1"/>
    <row r="58145" ht="12" customHeight="1"/>
    <row r="58146" ht="12" customHeight="1"/>
    <row r="58147" ht="12" customHeight="1"/>
    <row r="58148" ht="12" customHeight="1"/>
    <row r="58149" ht="12" customHeight="1"/>
    <row r="58150" ht="12" customHeight="1"/>
    <row r="58151" ht="12" customHeight="1"/>
    <row r="58152" ht="12" customHeight="1"/>
    <row r="58153" ht="12" customHeight="1"/>
    <row r="58154" ht="12" customHeight="1"/>
    <row r="58155" ht="12" customHeight="1"/>
    <row r="58156" ht="12" customHeight="1"/>
    <row r="58157" ht="12" customHeight="1"/>
    <row r="58158" ht="12" customHeight="1"/>
    <row r="58159" ht="12" customHeight="1"/>
    <row r="58160" ht="12" customHeight="1"/>
    <row r="58161" ht="12" customHeight="1"/>
    <row r="58162" ht="12" customHeight="1"/>
    <row r="58163" ht="12" customHeight="1"/>
    <row r="58164" ht="12" customHeight="1"/>
    <row r="58165" ht="12" customHeight="1"/>
    <row r="58166" ht="12" customHeight="1"/>
    <row r="58167" ht="12" customHeight="1"/>
    <row r="58168" ht="12" customHeight="1"/>
    <row r="58169" ht="12" customHeight="1"/>
    <row r="58170" ht="12" customHeight="1"/>
    <row r="58171" ht="12" customHeight="1"/>
    <row r="58172" ht="12" customHeight="1"/>
    <row r="58173" ht="12" customHeight="1"/>
    <row r="58174" ht="12" customHeight="1"/>
    <row r="58175" ht="12" customHeight="1"/>
    <row r="58176" ht="12" customHeight="1"/>
    <row r="58177" ht="12" customHeight="1"/>
    <row r="58178" ht="12" customHeight="1"/>
    <row r="58179" ht="12" customHeight="1"/>
    <row r="58180" ht="12" customHeight="1"/>
    <row r="58181" ht="12" customHeight="1"/>
    <row r="58182" ht="12" customHeight="1"/>
    <row r="58183" ht="12" customHeight="1"/>
    <row r="58184" ht="12" customHeight="1"/>
    <row r="58185" ht="12" customHeight="1"/>
    <row r="58186" ht="12" customHeight="1"/>
    <row r="58187" ht="12" customHeight="1"/>
    <row r="58188" ht="12" customHeight="1"/>
    <row r="58189" ht="12" customHeight="1"/>
    <row r="58190" ht="12" customHeight="1"/>
    <row r="58191" ht="12" customHeight="1"/>
    <row r="58192" ht="12" customHeight="1"/>
    <row r="58193" ht="12" customHeight="1"/>
    <row r="58194" ht="12" customHeight="1"/>
    <row r="58195" ht="12" customHeight="1"/>
    <row r="58196" ht="12" customHeight="1"/>
    <row r="58197" ht="12" customHeight="1"/>
    <row r="58198" ht="12" customHeight="1"/>
    <row r="58199" ht="12" customHeight="1"/>
    <row r="58200" ht="12" customHeight="1"/>
    <row r="58201" ht="12" customHeight="1"/>
    <row r="58202" ht="12" customHeight="1"/>
    <row r="58203" ht="12" customHeight="1"/>
    <row r="58204" ht="12" customHeight="1"/>
    <row r="58205" ht="12" customHeight="1"/>
    <row r="58206" ht="12" customHeight="1"/>
    <row r="58207" ht="12" customHeight="1"/>
    <row r="58208" ht="12" customHeight="1"/>
    <row r="58209" ht="12" customHeight="1"/>
    <row r="58210" ht="12" customHeight="1"/>
    <row r="58211" ht="12" customHeight="1"/>
    <row r="58212" ht="12" customHeight="1"/>
    <row r="58213" ht="12" customHeight="1"/>
    <row r="58214" ht="12" customHeight="1"/>
    <row r="58215" ht="12" customHeight="1"/>
    <row r="58216" ht="12" customHeight="1"/>
    <row r="58217" ht="12" customHeight="1"/>
    <row r="58218" ht="12" customHeight="1"/>
    <row r="58219" ht="12" customHeight="1"/>
    <row r="58220" ht="12" customHeight="1"/>
    <row r="58221" ht="12" customHeight="1"/>
    <row r="58222" ht="12" customHeight="1"/>
    <row r="58223" ht="12" customHeight="1"/>
    <row r="58224" ht="12" customHeight="1"/>
    <row r="58225" ht="12" customHeight="1"/>
    <row r="58226" ht="12" customHeight="1"/>
    <row r="58227" ht="12" customHeight="1"/>
    <row r="58228" ht="12" customHeight="1"/>
    <row r="58229" ht="12" customHeight="1"/>
    <row r="58230" ht="12" customHeight="1"/>
    <row r="58231" ht="12" customHeight="1"/>
    <row r="58232" ht="12" customHeight="1"/>
    <row r="58233" ht="12" customHeight="1"/>
    <row r="58234" ht="12" customHeight="1"/>
    <row r="58235" ht="12" customHeight="1"/>
    <row r="58236" ht="12" customHeight="1"/>
    <row r="58237" ht="12" customHeight="1"/>
    <row r="58238" ht="12" customHeight="1"/>
    <row r="58239" ht="12" customHeight="1"/>
    <row r="58240" ht="12" customHeight="1"/>
    <row r="58241" ht="12" customHeight="1"/>
    <row r="58242" ht="12" customHeight="1"/>
    <row r="58243" ht="12" customHeight="1"/>
    <row r="58244" ht="12" customHeight="1"/>
    <row r="58245" ht="12" customHeight="1"/>
    <row r="58246" ht="12" customHeight="1"/>
    <row r="58247" ht="12" customHeight="1"/>
    <row r="58248" ht="12" customHeight="1"/>
    <row r="58249" ht="12" customHeight="1"/>
    <row r="58250" ht="12" customHeight="1"/>
    <row r="58251" ht="12" customHeight="1"/>
    <row r="58252" ht="12" customHeight="1"/>
    <row r="58253" ht="12" customHeight="1"/>
    <row r="58254" ht="12" customHeight="1"/>
    <row r="58255" ht="12" customHeight="1"/>
    <row r="58256" ht="12" customHeight="1"/>
    <row r="58257" ht="12" customHeight="1"/>
    <row r="58258" ht="12" customHeight="1"/>
    <row r="58259" ht="12" customHeight="1"/>
    <row r="58260" ht="12" customHeight="1"/>
    <row r="58261" ht="12" customHeight="1"/>
    <row r="58262" ht="12" customHeight="1"/>
    <row r="58263" ht="12" customHeight="1"/>
    <row r="58264" ht="12" customHeight="1"/>
    <row r="58265" ht="12" customHeight="1"/>
    <row r="58266" ht="12" customHeight="1"/>
    <row r="58267" ht="12" customHeight="1"/>
    <row r="58268" ht="12" customHeight="1"/>
    <row r="58269" ht="12" customHeight="1"/>
    <row r="58270" ht="12" customHeight="1"/>
    <row r="58271" ht="12" customHeight="1"/>
    <row r="58272" ht="12" customHeight="1"/>
    <row r="58273" ht="12" customHeight="1"/>
    <row r="58274" ht="12" customHeight="1"/>
    <row r="58275" ht="12" customHeight="1"/>
    <row r="58276" ht="12" customHeight="1"/>
    <row r="58277" ht="12" customHeight="1"/>
    <row r="58278" ht="12" customHeight="1"/>
    <row r="58279" ht="12" customHeight="1"/>
    <row r="58280" ht="12" customHeight="1"/>
    <row r="58281" ht="12" customHeight="1"/>
    <row r="58282" ht="12" customHeight="1"/>
    <row r="58283" ht="12" customHeight="1"/>
    <row r="58284" ht="12" customHeight="1"/>
    <row r="58285" ht="12" customHeight="1"/>
    <row r="58286" ht="12" customHeight="1"/>
    <row r="58287" ht="12" customHeight="1"/>
    <row r="58288" ht="12" customHeight="1"/>
    <row r="58289" ht="12" customHeight="1"/>
    <row r="58290" ht="12" customHeight="1"/>
    <row r="58291" ht="12" customHeight="1"/>
    <row r="58292" ht="12" customHeight="1"/>
    <row r="58293" ht="12" customHeight="1"/>
    <row r="58294" ht="12" customHeight="1"/>
    <row r="58295" ht="12" customHeight="1"/>
    <row r="58296" ht="12" customHeight="1"/>
    <row r="58297" ht="12" customHeight="1"/>
    <row r="58298" ht="12" customHeight="1"/>
    <row r="58299" ht="12" customHeight="1"/>
    <row r="58300" ht="12" customHeight="1"/>
    <row r="58301" ht="12" customHeight="1"/>
    <row r="58302" ht="12" customHeight="1"/>
    <row r="58303" ht="12" customHeight="1"/>
    <row r="58304" ht="12" customHeight="1"/>
    <row r="58305" ht="12" customHeight="1"/>
    <row r="58306" ht="12" customHeight="1"/>
    <row r="58307" ht="12" customHeight="1"/>
    <row r="58308" ht="12" customHeight="1"/>
    <row r="58309" ht="12" customHeight="1"/>
    <row r="58310" ht="12" customHeight="1"/>
    <row r="58311" ht="12" customHeight="1"/>
    <row r="58312" ht="12" customHeight="1"/>
    <row r="58313" ht="12" customHeight="1"/>
    <row r="58314" ht="12" customHeight="1"/>
    <row r="58315" ht="12" customHeight="1"/>
    <row r="58316" ht="12" customHeight="1"/>
    <row r="58317" ht="12" customHeight="1"/>
    <row r="58318" ht="12" customHeight="1"/>
    <row r="58319" ht="12" customHeight="1"/>
    <row r="58320" ht="12" customHeight="1"/>
    <row r="58321" ht="12" customHeight="1"/>
    <row r="58322" ht="12" customHeight="1"/>
    <row r="58323" ht="12" customHeight="1"/>
    <row r="58324" ht="12" customHeight="1"/>
    <row r="58325" ht="12" customHeight="1"/>
    <row r="58326" ht="12" customHeight="1"/>
    <row r="58327" ht="12" customHeight="1"/>
    <row r="58328" ht="12" customHeight="1"/>
    <row r="58329" ht="12" customHeight="1"/>
    <row r="58330" ht="12" customHeight="1"/>
    <row r="58331" ht="12" customHeight="1"/>
    <row r="58332" ht="12" customHeight="1"/>
    <row r="58333" ht="12" customHeight="1"/>
    <row r="58334" ht="12" customHeight="1"/>
    <row r="58335" ht="12" customHeight="1"/>
    <row r="58336" ht="12" customHeight="1"/>
    <row r="58337" ht="12" customHeight="1"/>
    <row r="58338" ht="12" customHeight="1"/>
    <row r="58339" ht="12" customHeight="1"/>
    <row r="58340" ht="12" customHeight="1"/>
    <row r="58341" ht="12" customHeight="1"/>
    <row r="58342" ht="12" customHeight="1"/>
    <row r="58343" ht="12" customHeight="1"/>
    <row r="58344" ht="12" customHeight="1"/>
    <row r="58345" ht="12" customHeight="1"/>
    <row r="58346" ht="12" customHeight="1"/>
    <row r="58347" ht="12" customHeight="1"/>
    <row r="58348" ht="12" customHeight="1"/>
    <row r="58349" ht="12" customHeight="1"/>
    <row r="58350" ht="12" customHeight="1"/>
    <row r="58351" ht="12" customHeight="1"/>
    <row r="58352" ht="12" customHeight="1"/>
    <row r="58353" ht="12" customHeight="1"/>
    <row r="58354" ht="12" customHeight="1"/>
    <row r="58355" ht="12" customHeight="1"/>
    <row r="58356" ht="12" customHeight="1"/>
    <row r="58357" ht="12" customHeight="1"/>
    <row r="58358" ht="12" customHeight="1"/>
    <row r="58359" ht="12" customHeight="1"/>
    <row r="58360" ht="12" customHeight="1"/>
    <row r="58361" ht="12" customHeight="1"/>
    <row r="58362" ht="12" customHeight="1"/>
    <row r="58363" ht="12" customHeight="1"/>
    <row r="58364" ht="12" customHeight="1"/>
    <row r="58365" ht="12" customHeight="1"/>
    <row r="58366" ht="12" customHeight="1"/>
    <row r="58367" ht="12" customHeight="1"/>
    <row r="58368" ht="12" customHeight="1"/>
    <row r="58369" ht="12" customHeight="1"/>
    <row r="58370" ht="12" customHeight="1"/>
    <row r="58371" ht="12" customHeight="1"/>
    <row r="58372" ht="12" customHeight="1"/>
    <row r="58373" ht="12" customHeight="1"/>
    <row r="58374" ht="12" customHeight="1"/>
    <row r="58375" ht="12" customHeight="1"/>
    <row r="58376" ht="12" customHeight="1"/>
    <row r="58377" ht="12" customHeight="1"/>
    <row r="58378" ht="12" customHeight="1"/>
    <row r="58379" ht="12" customHeight="1"/>
    <row r="58380" ht="12" customHeight="1"/>
    <row r="58381" ht="12" customHeight="1"/>
    <row r="58382" ht="12" customHeight="1"/>
    <row r="58383" ht="12" customHeight="1"/>
    <row r="58384" ht="12" customHeight="1"/>
    <row r="58385" ht="12" customHeight="1"/>
    <row r="58386" ht="12" customHeight="1"/>
    <row r="58387" ht="12" customHeight="1"/>
    <row r="58388" ht="12" customHeight="1"/>
    <row r="58389" ht="12" customHeight="1"/>
    <row r="58390" ht="12" customHeight="1"/>
    <row r="58391" ht="12" customHeight="1"/>
    <row r="58392" ht="12" customHeight="1"/>
    <row r="58393" ht="12" customHeight="1"/>
    <row r="58394" ht="12" customHeight="1"/>
    <row r="58395" ht="12" customHeight="1"/>
    <row r="58396" ht="12" customHeight="1"/>
    <row r="58397" ht="12" customHeight="1"/>
    <row r="58398" ht="12" customHeight="1"/>
    <row r="58399" ht="12" customHeight="1"/>
    <row r="58400" ht="12" customHeight="1"/>
    <row r="58401" ht="12" customHeight="1"/>
    <row r="58402" ht="12" customHeight="1"/>
    <row r="58403" ht="12" customHeight="1"/>
    <row r="58404" ht="12" customHeight="1"/>
    <row r="58405" ht="12" customHeight="1"/>
    <row r="58406" ht="12" customHeight="1"/>
    <row r="58407" ht="12" customHeight="1"/>
    <row r="58408" ht="12" customHeight="1"/>
    <row r="58409" ht="12" customHeight="1"/>
    <row r="58410" ht="12" customHeight="1"/>
    <row r="58411" ht="12" customHeight="1"/>
    <row r="58412" ht="12" customHeight="1"/>
    <row r="58413" ht="12" customHeight="1"/>
    <row r="58414" ht="12" customHeight="1"/>
    <row r="58415" ht="12" customHeight="1"/>
    <row r="58416" ht="12" customHeight="1"/>
    <row r="58417" ht="12" customHeight="1"/>
    <row r="58418" ht="12" customHeight="1"/>
    <row r="58419" ht="12" customHeight="1"/>
    <row r="58420" ht="12" customHeight="1"/>
    <row r="58421" ht="12" customHeight="1"/>
    <row r="58422" ht="12" customHeight="1"/>
    <row r="58423" ht="12" customHeight="1"/>
    <row r="58424" ht="12" customHeight="1"/>
    <row r="58425" ht="12" customHeight="1"/>
    <row r="58426" ht="12" customHeight="1"/>
    <row r="58427" ht="12" customHeight="1"/>
    <row r="58428" ht="12" customHeight="1"/>
    <row r="58429" ht="12" customHeight="1"/>
    <row r="58430" ht="12" customHeight="1"/>
    <row r="58431" ht="12" customHeight="1"/>
    <row r="58432" ht="12" customHeight="1"/>
    <row r="58433" ht="12" customHeight="1"/>
    <row r="58434" ht="12" customHeight="1"/>
    <row r="58435" ht="12" customHeight="1"/>
    <row r="58436" ht="12" customHeight="1"/>
    <row r="58437" ht="12" customHeight="1"/>
    <row r="58438" ht="12" customHeight="1"/>
    <row r="58439" ht="12" customHeight="1"/>
    <row r="58440" ht="12" customHeight="1"/>
    <row r="58441" ht="12" customHeight="1"/>
    <row r="58442" ht="12" customHeight="1"/>
    <row r="58443" ht="12" customHeight="1"/>
    <row r="58444" ht="12" customHeight="1"/>
    <row r="58445" ht="12" customHeight="1"/>
    <row r="58446" ht="12" customHeight="1"/>
    <row r="58447" ht="12" customHeight="1"/>
    <row r="58448" ht="12" customHeight="1"/>
    <row r="58449" ht="12" customHeight="1"/>
    <row r="58450" ht="12" customHeight="1"/>
    <row r="58451" ht="12" customHeight="1"/>
    <row r="58452" ht="12" customHeight="1"/>
    <row r="58453" ht="12" customHeight="1"/>
    <row r="58454" ht="12" customHeight="1"/>
    <row r="58455" ht="12" customHeight="1"/>
    <row r="58456" ht="12" customHeight="1"/>
    <row r="58457" ht="12" customHeight="1"/>
    <row r="58458" ht="12" customHeight="1"/>
    <row r="58459" ht="12" customHeight="1"/>
    <row r="58460" ht="12" customHeight="1"/>
    <row r="58461" ht="12" customHeight="1"/>
    <row r="58462" ht="12" customHeight="1"/>
    <row r="58463" ht="12" customHeight="1"/>
    <row r="58464" ht="12" customHeight="1"/>
    <row r="58465" ht="12" customHeight="1"/>
    <row r="58466" ht="12" customHeight="1"/>
    <row r="58467" ht="12" customHeight="1"/>
    <row r="58468" ht="12" customHeight="1"/>
    <row r="58469" ht="12" customHeight="1"/>
    <row r="58470" ht="12" customHeight="1"/>
    <row r="58471" ht="12" customHeight="1"/>
    <row r="58472" ht="12" customHeight="1"/>
    <row r="58473" ht="12" customHeight="1"/>
    <row r="58474" ht="12" customHeight="1"/>
    <row r="58475" ht="12" customHeight="1"/>
    <row r="58476" ht="12" customHeight="1"/>
    <row r="58477" ht="12" customHeight="1"/>
    <row r="58478" ht="12" customHeight="1"/>
    <row r="58479" ht="12" customHeight="1"/>
    <row r="58480" ht="12" customHeight="1"/>
    <row r="58481" ht="12" customHeight="1"/>
    <row r="58482" ht="12" customHeight="1"/>
    <row r="58483" ht="12" customHeight="1"/>
    <row r="58484" ht="12" customHeight="1"/>
    <row r="58485" ht="12" customHeight="1"/>
    <row r="58486" ht="12" customHeight="1"/>
    <row r="58487" ht="12" customHeight="1"/>
    <row r="58488" ht="12" customHeight="1"/>
    <row r="58489" ht="12" customHeight="1"/>
    <row r="58490" ht="12" customHeight="1"/>
    <row r="58491" ht="12" customHeight="1"/>
    <row r="58492" ht="12" customHeight="1"/>
    <row r="58493" ht="12" customHeight="1"/>
    <row r="58494" ht="12" customHeight="1"/>
    <row r="58495" ht="12" customHeight="1"/>
    <row r="58496" ht="12" customHeight="1"/>
    <row r="58497" ht="12" customHeight="1"/>
    <row r="58498" ht="12" customHeight="1"/>
    <row r="58499" ht="12" customHeight="1"/>
    <row r="58500" ht="12" customHeight="1"/>
    <row r="58501" ht="12" customHeight="1"/>
    <row r="58502" ht="12" customHeight="1"/>
    <row r="58503" ht="12" customHeight="1"/>
    <row r="58504" ht="12" customHeight="1"/>
    <row r="58505" ht="12" customHeight="1"/>
    <row r="58506" ht="12" customHeight="1"/>
    <row r="58507" ht="12" customHeight="1"/>
    <row r="58508" ht="12" customHeight="1"/>
    <row r="58509" ht="12" customHeight="1"/>
    <row r="58510" ht="12" customHeight="1"/>
    <row r="58511" ht="12" customHeight="1"/>
    <row r="58512" ht="12" customHeight="1"/>
    <row r="58513" ht="12" customHeight="1"/>
    <row r="58514" ht="12" customHeight="1"/>
    <row r="58515" ht="12" customHeight="1"/>
    <row r="58516" ht="12" customHeight="1"/>
    <row r="58517" ht="12" customHeight="1"/>
    <row r="58518" ht="12" customHeight="1"/>
    <row r="58519" ht="12" customHeight="1"/>
    <row r="58520" ht="12" customHeight="1"/>
    <row r="58521" ht="12" customHeight="1"/>
    <row r="58522" ht="12" customHeight="1"/>
    <row r="58523" ht="12" customHeight="1"/>
    <row r="58524" ht="12" customHeight="1"/>
    <row r="58525" ht="12" customHeight="1"/>
    <row r="58526" ht="12" customHeight="1"/>
    <row r="58527" ht="12" customHeight="1"/>
    <row r="58528" ht="12" customHeight="1"/>
    <row r="58529" ht="12" customHeight="1"/>
    <row r="58530" ht="12" customHeight="1"/>
    <row r="58531" ht="12" customHeight="1"/>
    <row r="58532" ht="12" customHeight="1"/>
    <row r="58533" ht="12" customHeight="1"/>
    <row r="58534" ht="12" customHeight="1"/>
    <row r="58535" ht="12" customHeight="1"/>
    <row r="58536" ht="12" customHeight="1"/>
    <row r="58537" ht="12" customHeight="1"/>
    <row r="58538" ht="12" customHeight="1"/>
    <row r="58539" ht="12" customHeight="1"/>
    <row r="58540" ht="12" customHeight="1"/>
    <row r="58541" ht="12" customHeight="1"/>
    <row r="58542" ht="12" customHeight="1"/>
    <row r="58543" ht="12" customHeight="1"/>
    <row r="58544" ht="12" customHeight="1"/>
    <row r="58545" ht="12" customHeight="1"/>
    <row r="58546" ht="12" customHeight="1"/>
    <row r="58547" ht="12" customHeight="1"/>
    <row r="58548" ht="12" customHeight="1"/>
    <row r="58549" ht="12" customHeight="1"/>
    <row r="58550" ht="12" customHeight="1"/>
    <row r="58551" ht="12" customHeight="1"/>
    <row r="58552" ht="12" customHeight="1"/>
    <row r="58553" ht="12" customHeight="1"/>
    <row r="58554" ht="12" customHeight="1"/>
    <row r="58555" ht="12" customHeight="1"/>
    <row r="58556" ht="12" customHeight="1"/>
    <row r="58557" ht="12" customHeight="1"/>
    <row r="58558" ht="12" customHeight="1"/>
    <row r="58559" ht="12" customHeight="1"/>
    <row r="58560" ht="12" customHeight="1"/>
    <row r="58561" ht="12" customHeight="1"/>
    <row r="58562" ht="12" customHeight="1"/>
    <row r="58563" ht="12" customHeight="1"/>
    <row r="58564" ht="12" customHeight="1"/>
    <row r="58565" ht="12" customHeight="1"/>
    <row r="58566" ht="12" customHeight="1"/>
    <row r="58567" ht="12" customHeight="1"/>
    <row r="58568" ht="12" customHeight="1"/>
    <row r="58569" ht="12" customHeight="1"/>
    <row r="58570" ht="12" customHeight="1"/>
    <row r="58571" ht="12" customHeight="1"/>
    <row r="58572" ht="12" customHeight="1"/>
    <row r="58573" ht="12" customHeight="1"/>
    <row r="58574" ht="12" customHeight="1"/>
    <row r="58575" ht="12" customHeight="1"/>
    <row r="58576" ht="12" customHeight="1"/>
    <row r="58577" ht="12" customHeight="1"/>
    <row r="58578" ht="12" customHeight="1"/>
    <row r="58579" ht="12" customHeight="1"/>
    <row r="58580" ht="12" customHeight="1"/>
    <row r="58581" ht="12" customHeight="1"/>
    <row r="58582" ht="12" customHeight="1"/>
    <row r="58583" ht="12" customHeight="1"/>
    <row r="58584" ht="12" customHeight="1"/>
    <row r="58585" ht="12" customHeight="1"/>
    <row r="58586" ht="12" customHeight="1"/>
    <row r="58587" ht="12" customHeight="1"/>
    <row r="58588" ht="12" customHeight="1"/>
    <row r="58589" ht="12" customHeight="1"/>
    <row r="58590" ht="12" customHeight="1"/>
    <row r="58591" ht="12" customHeight="1"/>
    <row r="58592" ht="12" customHeight="1"/>
    <row r="58593" ht="12" customHeight="1"/>
    <row r="58594" ht="12" customHeight="1"/>
    <row r="58595" ht="12" customHeight="1"/>
    <row r="58596" ht="12" customHeight="1"/>
    <row r="58597" ht="12" customHeight="1"/>
    <row r="58598" ht="12" customHeight="1"/>
    <row r="58599" ht="12" customHeight="1"/>
    <row r="58600" ht="12" customHeight="1"/>
    <row r="58601" ht="12" customHeight="1"/>
    <row r="58602" ht="12" customHeight="1"/>
    <row r="58603" ht="12" customHeight="1"/>
    <row r="58604" ht="12" customHeight="1"/>
    <row r="58605" ht="12" customHeight="1"/>
    <row r="58606" ht="12" customHeight="1"/>
    <row r="58607" ht="12" customHeight="1"/>
    <row r="58608" ht="12" customHeight="1"/>
    <row r="58609" ht="12" customHeight="1"/>
    <row r="58610" ht="12" customHeight="1"/>
    <row r="58611" ht="12" customHeight="1"/>
    <row r="58612" ht="12" customHeight="1"/>
    <row r="58613" ht="12" customHeight="1"/>
    <row r="58614" ht="12" customHeight="1"/>
    <row r="58615" ht="12" customHeight="1"/>
    <row r="58616" ht="12" customHeight="1"/>
    <row r="58617" ht="12" customHeight="1"/>
    <row r="58618" ht="12" customHeight="1"/>
    <row r="58619" ht="12" customHeight="1"/>
    <row r="58620" ht="12" customHeight="1"/>
    <row r="58621" ht="12" customHeight="1"/>
    <row r="58622" ht="12" customHeight="1"/>
    <row r="58623" ht="12" customHeight="1"/>
    <row r="58624" ht="12" customHeight="1"/>
    <row r="58625" ht="12" customHeight="1"/>
    <row r="58626" ht="12" customHeight="1"/>
    <row r="58627" ht="12" customHeight="1"/>
    <row r="58628" ht="12" customHeight="1"/>
    <row r="58629" ht="12" customHeight="1"/>
    <row r="58630" ht="12" customHeight="1"/>
    <row r="58631" ht="12" customHeight="1"/>
    <row r="58632" ht="12" customHeight="1"/>
    <row r="58633" ht="12" customHeight="1"/>
    <row r="58634" ht="12" customHeight="1"/>
    <row r="58635" ht="12" customHeight="1"/>
    <row r="58636" ht="12" customHeight="1"/>
    <row r="58637" ht="12" customHeight="1"/>
    <row r="58638" ht="12" customHeight="1"/>
    <row r="58639" ht="12" customHeight="1"/>
    <row r="58640" ht="12" customHeight="1"/>
    <row r="58641" ht="12" customHeight="1"/>
    <row r="58642" ht="12" customHeight="1"/>
    <row r="58643" ht="12" customHeight="1"/>
    <row r="58644" ht="12" customHeight="1"/>
    <row r="58645" ht="12" customHeight="1"/>
    <row r="58646" ht="12" customHeight="1"/>
    <row r="58647" ht="12" customHeight="1"/>
    <row r="58648" ht="12" customHeight="1"/>
    <row r="58649" ht="12" customHeight="1"/>
    <row r="58650" ht="12" customHeight="1"/>
    <row r="58651" ht="12" customHeight="1"/>
    <row r="58652" ht="12" customHeight="1"/>
    <row r="58653" ht="12" customHeight="1"/>
    <row r="58654" ht="12" customHeight="1"/>
    <row r="58655" ht="12" customHeight="1"/>
    <row r="58656" ht="12" customHeight="1"/>
    <row r="58657" ht="12" customHeight="1"/>
    <row r="58658" ht="12" customHeight="1"/>
    <row r="58659" ht="12" customHeight="1"/>
    <row r="58660" ht="12" customHeight="1"/>
    <row r="58661" ht="12" customHeight="1"/>
    <row r="58662" ht="12" customHeight="1"/>
    <row r="58663" ht="12" customHeight="1"/>
    <row r="58664" ht="12" customHeight="1"/>
    <row r="58665" ht="12" customHeight="1"/>
    <row r="58666" ht="12" customHeight="1"/>
    <row r="58667" ht="12" customHeight="1"/>
    <row r="58668" ht="12" customHeight="1"/>
    <row r="58669" ht="12" customHeight="1"/>
    <row r="58670" ht="12" customHeight="1"/>
    <row r="58671" ht="12" customHeight="1"/>
    <row r="58672" ht="12" customHeight="1"/>
    <row r="58673" ht="12" customHeight="1"/>
    <row r="58674" ht="12" customHeight="1"/>
    <row r="58675" ht="12" customHeight="1"/>
    <row r="58676" ht="12" customHeight="1"/>
    <row r="58677" ht="12" customHeight="1"/>
    <row r="58678" ht="12" customHeight="1"/>
    <row r="58679" ht="12" customHeight="1"/>
    <row r="58680" ht="12" customHeight="1"/>
    <row r="58681" ht="12" customHeight="1"/>
    <row r="58682" ht="12" customHeight="1"/>
    <row r="58683" ht="12" customHeight="1"/>
    <row r="58684" ht="12" customHeight="1"/>
    <row r="58685" ht="12" customHeight="1"/>
    <row r="58686" ht="12" customHeight="1"/>
    <row r="58687" ht="12" customHeight="1"/>
    <row r="58688" ht="12" customHeight="1"/>
    <row r="58689" ht="12" customHeight="1"/>
    <row r="58690" ht="12" customHeight="1"/>
    <row r="58691" ht="12" customHeight="1"/>
    <row r="58692" ht="12" customHeight="1"/>
    <row r="58693" ht="12" customHeight="1"/>
    <row r="58694" ht="12" customHeight="1"/>
    <row r="58695" ht="12" customHeight="1"/>
    <row r="58696" ht="12" customHeight="1"/>
    <row r="58697" ht="12" customHeight="1"/>
    <row r="58698" ht="12" customHeight="1"/>
    <row r="58699" ht="12" customHeight="1"/>
    <row r="58700" ht="12" customHeight="1"/>
    <row r="58701" ht="12" customHeight="1"/>
    <row r="58702" ht="12" customHeight="1"/>
    <row r="58703" ht="12" customHeight="1"/>
    <row r="58704" ht="12" customHeight="1"/>
    <row r="58705" ht="12" customHeight="1"/>
    <row r="58706" ht="12" customHeight="1"/>
    <row r="58707" ht="12" customHeight="1"/>
    <row r="58708" ht="12" customHeight="1"/>
    <row r="58709" ht="12" customHeight="1"/>
    <row r="58710" ht="12" customHeight="1"/>
    <row r="58711" ht="12" customHeight="1"/>
    <row r="58712" ht="12" customHeight="1"/>
    <row r="58713" ht="12" customHeight="1"/>
    <row r="58714" ht="12" customHeight="1"/>
    <row r="58715" ht="12" customHeight="1"/>
    <row r="58716" ht="12" customHeight="1"/>
    <row r="58717" ht="12" customHeight="1"/>
    <row r="58718" ht="12" customHeight="1"/>
    <row r="58719" ht="12" customHeight="1"/>
    <row r="58720" ht="12" customHeight="1"/>
    <row r="58721" ht="12" customHeight="1"/>
    <row r="58722" ht="12" customHeight="1"/>
    <row r="58723" ht="12" customHeight="1"/>
    <row r="58724" ht="12" customHeight="1"/>
    <row r="58725" ht="12" customHeight="1"/>
    <row r="58726" ht="12" customHeight="1"/>
    <row r="58727" ht="12" customHeight="1"/>
    <row r="58728" ht="12" customHeight="1"/>
    <row r="58729" ht="12" customHeight="1"/>
    <row r="58730" ht="12" customHeight="1"/>
    <row r="58731" ht="12" customHeight="1"/>
    <row r="58732" ht="12" customHeight="1"/>
    <row r="58733" ht="12" customHeight="1"/>
    <row r="58734" ht="12" customHeight="1"/>
    <row r="58735" ht="12" customHeight="1"/>
    <row r="58736" ht="12" customHeight="1"/>
    <row r="58737" ht="12" customHeight="1"/>
    <row r="58738" ht="12" customHeight="1"/>
    <row r="58739" ht="12" customHeight="1"/>
    <row r="58740" ht="12" customHeight="1"/>
    <row r="58741" ht="12" customHeight="1"/>
    <row r="58742" ht="12" customHeight="1"/>
    <row r="58743" ht="12" customHeight="1"/>
    <row r="58744" ht="12" customHeight="1"/>
    <row r="58745" ht="12" customHeight="1"/>
    <row r="58746" ht="12" customHeight="1"/>
    <row r="58747" ht="12" customHeight="1"/>
    <row r="58748" ht="12" customHeight="1"/>
    <row r="58749" ht="12" customHeight="1"/>
    <row r="58750" ht="12" customHeight="1"/>
    <row r="58751" ht="12" customHeight="1"/>
    <row r="58752" ht="12" customHeight="1"/>
    <row r="58753" ht="12" customHeight="1"/>
    <row r="58754" ht="12" customHeight="1"/>
    <row r="58755" ht="12" customHeight="1"/>
    <row r="58756" ht="12" customHeight="1"/>
    <row r="58757" ht="12" customHeight="1"/>
    <row r="58758" ht="12" customHeight="1"/>
    <row r="58759" ht="12" customHeight="1"/>
    <row r="58760" ht="12" customHeight="1"/>
    <row r="58761" ht="12" customHeight="1"/>
    <row r="58762" ht="12" customHeight="1"/>
    <row r="58763" ht="12" customHeight="1"/>
    <row r="58764" ht="12" customHeight="1"/>
    <row r="58765" ht="12" customHeight="1"/>
    <row r="58766" ht="12" customHeight="1"/>
    <row r="58767" ht="12" customHeight="1"/>
    <row r="58768" ht="12" customHeight="1"/>
    <row r="58769" ht="12" customHeight="1"/>
    <row r="58770" ht="12" customHeight="1"/>
    <row r="58771" ht="12" customHeight="1"/>
    <row r="58772" ht="12" customHeight="1"/>
    <row r="58773" ht="12" customHeight="1"/>
    <row r="58774" ht="12" customHeight="1"/>
    <row r="58775" ht="12" customHeight="1"/>
    <row r="58776" ht="12" customHeight="1"/>
    <row r="58777" ht="12" customHeight="1"/>
    <row r="58778" ht="12" customHeight="1"/>
    <row r="58779" ht="12" customHeight="1"/>
    <row r="58780" ht="12" customHeight="1"/>
    <row r="58781" ht="12" customHeight="1"/>
    <row r="58782" ht="12" customHeight="1"/>
    <row r="58783" ht="12" customHeight="1"/>
    <row r="58784" ht="12" customHeight="1"/>
    <row r="58785" ht="12" customHeight="1"/>
    <row r="58786" ht="12" customHeight="1"/>
    <row r="58787" ht="12" customHeight="1"/>
    <row r="58788" ht="12" customHeight="1"/>
    <row r="58789" ht="12" customHeight="1"/>
    <row r="58790" ht="12" customHeight="1"/>
    <row r="58791" ht="12" customHeight="1"/>
    <row r="58792" ht="12" customHeight="1"/>
    <row r="58793" ht="12" customHeight="1"/>
    <row r="58794" ht="12" customHeight="1"/>
    <row r="58795" ht="12" customHeight="1"/>
    <row r="58796" ht="12" customHeight="1"/>
    <row r="58797" ht="12" customHeight="1"/>
    <row r="58798" ht="12" customHeight="1"/>
    <row r="58799" ht="12" customHeight="1"/>
    <row r="58800" ht="12" customHeight="1"/>
    <row r="58801" ht="12" customHeight="1"/>
    <row r="58802" ht="12" customHeight="1"/>
    <row r="58803" ht="12" customHeight="1"/>
    <row r="58804" ht="12" customHeight="1"/>
    <row r="58805" ht="12" customHeight="1"/>
    <row r="58806" ht="12" customHeight="1"/>
    <row r="58807" ht="12" customHeight="1"/>
    <row r="58808" ht="12" customHeight="1"/>
    <row r="58809" ht="12" customHeight="1"/>
    <row r="58810" ht="12" customHeight="1"/>
    <row r="58811" ht="12" customHeight="1"/>
    <row r="58812" ht="12" customHeight="1"/>
    <row r="58813" ht="12" customHeight="1"/>
    <row r="58814" ht="12" customHeight="1"/>
    <row r="58815" ht="12" customHeight="1"/>
    <row r="58816" ht="12" customHeight="1"/>
    <row r="58817" ht="12" customHeight="1"/>
    <row r="58818" ht="12" customHeight="1"/>
    <row r="58819" ht="12" customHeight="1"/>
    <row r="58820" ht="12" customHeight="1"/>
    <row r="58821" ht="12" customHeight="1"/>
    <row r="58822" ht="12" customHeight="1"/>
    <row r="58823" ht="12" customHeight="1"/>
    <row r="58824" ht="12" customHeight="1"/>
    <row r="58825" ht="12" customHeight="1"/>
    <row r="58826" ht="12" customHeight="1"/>
    <row r="58827" ht="12" customHeight="1"/>
    <row r="58828" ht="12" customHeight="1"/>
    <row r="58829" ht="12" customHeight="1"/>
    <row r="58830" ht="12" customHeight="1"/>
    <row r="58831" ht="12" customHeight="1"/>
    <row r="58832" ht="12" customHeight="1"/>
    <row r="58833" ht="12" customHeight="1"/>
    <row r="58834" ht="12" customHeight="1"/>
    <row r="58835" ht="12" customHeight="1"/>
    <row r="58836" ht="12" customHeight="1"/>
    <row r="58837" ht="12" customHeight="1"/>
    <row r="58838" ht="12" customHeight="1"/>
    <row r="58839" ht="12" customHeight="1"/>
    <row r="58840" ht="12" customHeight="1"/>
    <row r="58841" ht="12" customHeight="1"/>
    <row r="58842" ht="12" customHeight="1"/>
    <row r="58843" ht="12" customHeight="1"/>
    <row r="58844" ht="12" customHeight="1"/>
    <row r="58845" ht="12" customHeight="1"/>
    <row r="58846" ht="12" customHeight="1"/>
    <row r="58847" ht="12" customHeight="1"/>
    <row r="58848" ht="12" customHeight="1"/>
    <row r="58849" ht="12" customHeight="1"/>
    <row r="58850" ht="12" customHeight="1"/>
    <row r="58851" ht="12" customHeight="1"/>
    <row r="58852" ht="12" customHeight="1"/>
    <row r="58853" ht="12" customHeight="1"/>
    <row r="58854" ht="12" customHeight="1"/>
    <row r="58855" ht="12" customHeight="1"/>
    <row r="58856" ht="12" customHeight="1"/>
    <row r="58857" ht="12" customHeight="1"/>
    <row r="58858" ht="12" customHeight="1"/>
    <row r="58859" ht="12" customHeight="1"/>
    <row r="58860" ht="12" customHeight="1"/>
    <row r="58861" ht="12" customHeight="1"/>
    <row r="58862" ht="12" customHeight="1"/>
    <row r="58863" ht="12" customHeight="1"/>
    <row r="58864" ht="12" customHeight="1"/>
    <row r="58865" ht="12" customHeight="1"/>
    <row r="58866" ht="12" customHeight="1"/>
    <row r="58867" ht="12" customHeight="1"/>
    <row r="58868" ht="12" customHeight="1"/>
    <row r="58869" ht="12" customHeight="1"/>
    <row r="58870" ht="12" customHeight="1"/>
    <row r="58871" ht="12" customHeight="1"/>
    <row r="58872" ht="12" customHeight="1"/>
    <row r="58873" ht="12" customHeight="1"/>
    <row r="58874" ht="12" customHeight="1"/>
    <row r="58875" ht="12" customHeight="1"/>
    <row r="58876" ht="12" customHeight="1"/>
    <row r="58877" ht="12" customHeight="1"/>
    <row r="58878" ht="12" customHeight="1"/>
    <row r="58879" ht="12" customHeight="1"/>
    <row r="58880" ht="12" customHeight="1"/>
    <row r="58881" ht="12" customHeight="1"/>
    <row r="58882" ht="12" customHeight="1"/>
    <row r="58883" ht="12" customHeight="1"/>
    <row r="58884" ht="12" customHeight="1"/>
    <row r="58885" ht="12" customHeight="1"/>
    <row r="58886" ht="12" customHeight="1"/>
    <row r="58887" ht="12" customHeight="1"/>
    <row r="58888" ht="12" customHeight="1"/>
    <row r="58889" ht="12" customHeight="1"/>
    <row r="58890" ht="12" customHeight="1"/>
    <row r="58891" ht="12" customHeight="1"/>
    <row r="58892" ht="12" customHeight="1"/>
    <row r="58893" ht="12" customHeight="1"/>
    <row r="58894" ht="12" customHeight="1"/>
    <row r="58895" ht="12" customHeight="1"/>
    <row r="58896" ht="12" customHeight="1"/>
    <row r="58897" ht="12" customHeight="1"/>
    <row r="58898" ht="12" customHeight="1"/>
    <row r="58899" ht="12" customHeight="1"/>
    <row r="58900" ht="12" customHeight="1"/>
    <row r="58901" ht="12" customHeight="1"/>
    <row r="58902" ht="12" customHeight="1"/>
    <row r="58903" ht="12" customHeight="1"/>
    <row r="58904" ht="12" customHeight="1"/>
    <row r="58905" ht="12" customHeight="1"/>
    <row r="58906" ht="12" customHeight="1"/>
    <row r="58907" ht="12" customHeight="1"/>
    <row r="58908" ht="12" customHeight="1"/>
    <row r="58909" ht="12" customHeight="1"/>
    <row r="58910" ht="12" customHeight="1"/>
    <row r="58911" ht="12" customHeight="1"/>
    <row r="58912" ht="12" customHeight="1"/>
    <row r="58913" ht="12" customHeight="1"/>
    <row r="58914" ht="12" customHeight="1"/>
    <row r="58915" ht="12" customHeight="1"/>
    <row r="58916" ht="12" customHeight="1"/>
    <row r="58917" ht="12" customHeight="1"/>
    <row r="58918" ht="12" customHeight="1"/>
    <row r="58919" ht="12" customHeight="1"/>
    <row r="58920" ht="12" customHeight="1"/>
    <row r="58921" ht="12" customHeight="1"/>
    <row r="58922" ht="12" customHeight="1"/>
    <row r="58923" ht="12" customHeight="1"/>
    <row r="58924" ht="12" customHeight="1"/>
    <row r="58925" ht="12" customHeight="1"/>
    <row r="58926" ht="12" customHeight="1"/>
    <row r="58927" ht="12" customHeight="1"/>
    <row r="58928" ht="12" customHeight="1"/>
    <row r="58929" ht="12" customHeight="1"/>
    <row r="58930" ht="12" customHeight="1"/>
    <row r="58931" ht="12" customHeight="1"/>
    <row r="58932" ht="12" customHeight="1"/>
    <row r="58933" ht="12" customHeight="1"/>
    <row r="58934" ht="12" customHeight="1"/>
    <row r="58935" ht="12" customHeight="1"/>
    <row r="58936" ht="12" customHeight="1"/>
    <row r="58937" ht="12" customHeight="1"/>
    <row r="58938" ht="12" customHeight="1"/>
    <row r="58939" ht="12" customHeight="1"/>
    <row r="58940" ht="12" customHeight="1"/>
    <row r="58941" ht="12" customHeight="1"/>
    <row r="58942" ht="12" customHeight="1"/>
    <row r="58943" ht="12" customHeight="1"/>
    <row r="58944" ht="12" customHeight="1"/>
    <row r="58945" ht="12" customHeight="1"/>
    <row r="58946" ht="12" customHeight="1"/>
    <row r="58947" ht="12" customHeight="1"/>
    <row r="58948" ht="12" customHeight="1"/>
    <row r="58949" ht="12" customHeight="1"/>
    <row r="58950" ht="12" customHeight="1"/>
    <row r="58951" ht="12" customHeight="1"/>
    <row r="58952" ht="12" customHeight="1"/>
    <row r="58953" ht="12" customHeight="1"/>
    <row r="58954" ht="12" customHeight="1"/>
    <row r="58955" ht="12" customHeight="1"/>
    <row r="58956" ht="12" customHeight="1"/>
    <row r="58957" ht="12" customHeight="1"/>
    <row r="58958" ht="12" customHeight="1"/>
    <row r="58959" ht="12" customHeight="1"/>
    <row r="58960" ht="12" customHeight="1"/>
    <row r="58961" ht="12" customHeight="1"/>
    <row r="58962" ht="12" customHeight="1"/>
    <row r="58963" ht="12" customHeight="1"/>
    <row r="58964" ht="12" customHeight="1"/>
    <row r="58965" ht="12" customHeight="1"/>
    <row r="58966" ht="12" customHeight="1"/>
    <row r="58967" ht="12" customHeight="1"/>
    <row r="58968" ht="12" customHeight="1"/>
    <row r="58969" ht="12" customHeight="1"/>
    <row r="58970" ht="12" customHeight="1"/>
    <row r="58971" ht="12" customHeight="1"/>
    <row r="58972" ht="12" customHeight="1"/>
    <row r="58973" ht="12" customHeight="1"/>
    <row r="58974" ht="12" customHeight="1"/>
    <row r="58975" ht="12" customHeight="1"/>
    <row r="58976" ht="12" customHeight="1"/>
    <row r="58977" ht="12" customHeight="1"/>
    <row r="58978" ht="12" customHeight="1"/>
    <row r="58979" ht="12" customHeight="1"/>
    <row r="58980" ht="12" customHeight="1"/>
    <row r="58981" ht="12" customHeight="1"/>
    <row r="58982" ht="12" customHeight="1"/>
    <row r="58983" ht="12" customHeight="1"/>
    <row r="58984" ht="12" customHeight="1"/>
    <row r="58985" ht="12" customHeight="1"/>
    <row r="58986" ht="12" customHeight="1"/>
    <row r="58987" ht="12" customHeight="1"/>
    <row r="58988" ht="12" customHeight="1"/>
    <row r="58989" ht="12" customHeight="1"/>
    <row r="58990" ht="12" customHeight="1"/>
    <row r="58991" ht="12" customHeight="1"/>
    <row r="58992" ht="12" customHeight="1"/>
    <row r="58993" ht="12" customHeight="1"/>
    <row r="58994" ht="12" customHeight="1"/>
    <row r="58995" ht="12" customHeight="1"/>
    <row r="58996" ht="12" customHeight="1"/>
    <row r="58997" ht="12" customHeight="1"/>
    <row r="58998" ht="12" customHeight="1"/>
    <row r="58999" ht="12" customHeight="1"/>
    <row r="59000" ht="12" customHeight="1"/>
    <row r="59001" ht="12" customHeight="1"/>
    <row r="59002" ht="12" customHeight="1"/>
    <row r="59003" ht="12" customHeight="1"/>
    <row r="59004" ht="12" customHeight="1"/>
    <row r="59005" ht="12" customHeight="1"/>
    <row r="59006" ht="12" customHeight="1"/>
    <row r="59007" ht="12" customHeight="1"/>
    <row r="59008" ht="12" customHeight="1"/>
    <row r="59009" ht="12" customHeight="1"/>
    <row r="59010" ht="12" customHeight="1"/>
    <row r="59011" ht="12" customHeight="1"/>
    <row r="59012" ht="12" customHeight="1"/>
    <row r="59013" ht="12" customHeight="1"/>
    <row r="59014" ht="12" customHeight="1"/>
    <row r="59015" ht="12" customHeight="1"/>
    <row r="59016" ht="12" customHeight="1"/>
    <row r="59017" ht="12" customHeight="1"/>
    <row r="59018" ht="12" customHeight="1"/>
    <row r="59019" ht="12" customHeight="1"/>
    <row r="59020" ht="12" customHeight="1"/>
    <row r="59021" ht="12" customHeight="1"/>
    <row r="59022" ht="12" customHeight="1"/>
    <row r="59023" ht="12" customHeight="1"/>
    <row r="59024" ht="12" customHeight="1"/>
    <row r="59025" ht="12" customHeight="1"/>
    <row r="59026" ht="12" customHeight="1"/>
    <row r="59027" ht="12" customHeight="1"/>
    <row r="59028" ht="12" customHeight="1"/>
    <row r="59029" ht="12" customHeight="1"/>
    <row r="59030" ht="12" customHeight="1"/>
    <row r="59031" ht="12" customHeight="1"/>
    <row r="59032" ht="12" customHeight="1"/>
    <row r="59033" ht="12" customHeight="1"/>
    <row r="59034" ht="12" customHeight="1"/>
    <row r="59035" ht="12" customHeight="1"/>
    <row r="59036" ht="12" customHeight="1"/>
    <row r="59037" ht="12" customHeight="1"/>
    <row r="59038" ht="12" customHeight="1"/>
    <row r="59039" ht="12" customHeight="1"/>
    <row r="59040" ht="12" customHeight="1"/>
    <row r="59041" ht="12" customHeight="1"/>
    <row r="59042" ht="12" customHeight="1"/>
    <row r="59043" ht="12" customHeight="1"/>
    <row r="59044" ht="12" customHeight="1"/>
    <row r="59045" ht="12" customHeight="1"/>
    <row r="59046" ht="12" customHeight="1"/>
    <row r="59047" ht="12" customHeight="1"/>
    <row r="59048" ht="12" customHeight="1"/>
    <row r="59049" ht="12" customHeight="1"/>
    <row r="59050" ht="12" customHeight="1"/>
    <row r="59051" ht="12" customHeight="1"/>
    <row r="59052" ht="12" customHeight="1"/>
    <row r="59053" ht="12" customHeight="1"/>
    <row r="59054" ht="12" customHeight="1"/>
    <row r="59055" ht="12" customHeight="1"/>
    <row r="59056" ht="12" customHeight="1"/>
    <row r="59057" ht="12" customHeight="1"/>
    <row r="59058" ht="12" customHeight="1"/>
    <row r="59059" ht="12" customHeight="1"/>
    <row r="59060" ht="12" customHeight="1"/>
    <row r="59061" ht="12" customHeight="1"/>
    <row r="59062" ht="12" customHeight="1"/>
    <row r="59063" ht="12" customHeight="1"/>
    <row r="59064" ht="12" customHeight="1"/>
    <row r="59065" ht="12" customHeight="1"/>
    <row r="59066" ht="12" customHeight="1"/>
    <row r="59067" ht="12" customHeight="1"/>
    <row r="59068" ht="12" customHeight="1"/>
    <row r="59069" ht="12" customHeight="1"/>
    <row r="59070" ht="12" customHeight="1"/>
    <row r="59071" ht="12" customHeight="1"/>
    <row r="59072" ht="12" customHeight="1"/>
    <row r="59073" ht="12" customHeight="1"/>
    <row r="59074" ht="12" customHeight="1"/>
    <row r="59075" ht="12" customHeight="1"/>
    <row r="59076" ht="12" customHeight="1"/>
    <row r="59077" ht="12" customHeight="1"/>
    <row r="59078" ht="12" customHeight="1"/>
    <row r="59079" ht="12" customHeight="1"/>
    <row r="59080" ht="12" customHeight="1"/>
    <row r="59081" ht="12" customHeight="1"/>
    <row r="59082" ht="12" customHeight="1"/>
    <row r="59083" ht="12" customHeight="1"/>
    <row r="59084" ht="12" customHeight="1"/>
    <row r="59085" ht="12" customHeight="1"/>
    <row r="59086" ht="12" customHeight="1"/>
    <row r="59087" ht="12" customHeight="1"/>
    <row r="59088" ht="12" customHeight="1"/>
    <row r="59089" ht="12" customHeight="1"/>
    <row r="59090" ht="12" customHeight="1"/>
    <row r="59091" ht="12" customHeight="1"/>
    <row r="59092" ht="12" customHeight="1"/>
    <row r="59093" ht="12" customHeight="1"/>
    <row r="59094" ht="12" customHeight="1"/>
    <row r="59095" ht="12" customHeight="1"/>
    <row r="59096" ht="12" customHeight="1"/>
    <row r="59097" ht="12" customHeight="1"/>
    <row r="59098" ht="12" customHeight="1"/>
    <row r="59099" ht="12" customHeight="1"/>
    <row r="59100" ht="12" customHeight="1"/>
    <row r="59101" ht="12" customHeight="1"/>
    <row r="59102" ht="12" customHeight="1"/>
    <row r="59103" ht="12" customHeight="1"/>
    <row r="59104" ht="12" customHeight="1"/>
    <row r="59105" ht="12" customHeight="1"/>
    <row r="59106" ht="12" customHeight="1"/>
    <row r="59107" ht="12" customHeight="1"/>
    <row r="59108" ht="12" customHeight="1"/>
    <row r="59109" ht="12" customHeight="1"/>
    <row r="59110" ht="12" customHeight="1"/>
    <row r="59111" ht="12" customHeight="1"/>
    <row r="59112" ht="12" customHeight="1"/>
    <row r="59113" ht="12" customHeight="1"/>
    <row r="59114" ht="12" customHeight="1"/>
    <row r="59115" ht="12" customHeight="1"/>
    <row r="59116" ht="12" customHeight="1"/>
    <row r="59117" ht="12" customHeight="1"/>
    <row r="59118" ht="12" customHeight="1"/>
    <row r="59119" ht="12" customHeight="1"/>
    <row r="59120" ht="12" customHeight="1"/>
    <row r="59121" ht="12" customHeight="1"/>
    <row r="59122" ht="12" customHeight="1"/>
    <row r="59123" ht="12" customHeight="1"/>
    <row r="59124" ht="12" customHeight="1"/>
    <row r="59125" ht="12" customHeight="1"/>
    <row r="59126" ht="12" customHeight="1"/>
    <row r="59127" ht="12" customHeight="1"/>
    <row r="59128" ht="12" customHeight="1"/>
    <row r="59129" ht="12" customHeight="1"/>
    <row r="59130" ht="12" customHeight="1"/>
    <row r="59131" ht="12" customHeight="1"/>
    <row r="59132" ht="12" customHeight="1"/>
    <row r="59133" ht="12" customHeight="1"/>
    <row r="59134" ht="12" customHeight="1"/>
    <row r="59135" ht="12" customHeight="1"/>
    <row r="59136" ht="12" customHeight="1"/>
    <row r="59137" ht="12" customHeight="1"/>
    <row r="59138" ht="12" customHeight="1"/>
    <row r="59139" ht="12" customHeight="1"/>
    <row r="59140" ht="12" customHeight="1"/>
    <row r="59141" ht="12" customHeight="1"/>
    <row r="59142" ht="12" customHeight="1"/>
    <row r="59143" ht="12" customHeight="1"/>
    <row r="59144" ht="12" customHeight="1"/>
    <row r="59145" ht="12" customHeight="1"/>
    <row r="59146" ht="12" customHeight="1"/>
    <row r="59147" ht="12" customHeight="1"/>
    <row r="59148" ht="12" customHeight="1"/>
    <row r="59149" ht="12" customHeight="1"/>
    <row r="59150" ht="12" customHeight="1"/>
    <row r="59151" ht="12" customHeight="1"/>
    <row r="59152" ht="12" customHeight="1"/>
    <row r="59153" ht="12" customHeight="1"/>
    <row r="59154" ht="12" customHeight="1"/>
    <row r="59155" ht="12" customHeight="1"/>
    <row r="59156" ht="12" customHeight="1"/>
    <row r="59157" ht="12" customHeight="1"/>
    <row r="59158" ht="12" customHeight="1"/>
    <row r="59159" ht="12" customHeight="1"/>
    <row r="59160" ht="12" customHeight="1"/>
    <row r="59161" ht="12" customHeight="1"/>
    <row r="59162" ht="12" customHeight="1"/>
    <row r="59163" ht="12" customHeight="1"/>
    <row r="59164" ht="12" customHeight="1"/>
    <row r="59165" ht="12" customHeight="1"/>
    <row r="59166" ht="12" customHeight="1"/>
    <row r="59167" ht="12" customHeight="1"/>
    <row r="59168" ht="12" customHeight="1"/>
    <row r="59169" ht="12" customHeight="1"/>
    <row r="59170" ht="12" customHeight="1"/>
    <row r="59171" ht="12" customHeight="1"/>
    <row r="59172" ht="12" customHeight="1"/>
    <row r="59173" ht="12" customHeight="1"/>
    <row r="59174" ht="12" customHeight="1"/>
    <row r="59175" ht="12" customHeight="1"/>
    <row r="59176" ht="12" customHeight="1"/>
    <row r="59177" ht="12" customHeight="1"/>
    <row r="59178" ht="12" customHeight="1"/>
    <row r="59179" ht="12" customHeight="1"/>
    <row r="59180" ht="12" customHeight="1"/>
    <row r="59181" ht="12" customHeight="1"/>
    <row r="59182" ht="12" customHeight="1"/>
    <row r="59183" ht="12" customHeight="1"/>
    <row r="59184" ht="12" customHeight="1"/>
    <row r="59185" ht="12" customHeight="1"/>
    <row r="59186" ht="12" customHeight="1"/>
    <row r="59187" ht="12" customHeight="1"/>
    <row r="59188" ht="12" customHeight="1"/>
    <row r="59189" ht="12" customHeight="1"/>
    <row r="59190" ht="12" customHeight="1"/>
    <row r="59191" ht="12" customHeight="1"/>
    <row r="59192" ht="12" customHeight="1"/>
    <row r="59193" ht="12" customHeight="1"/>
    <row r="59194" ht="12" customHeight="1"/>
    <row r="59195" ht="12" customHeight="1"/>
    <row r="59196" ht="12" customHeight="1"/>
    <row r="59197" ht="12" customHeight="1"/>
    <row r="59198" ht="12" customHeight="1"/>
    <row r="59199" ht="12" customHeight="1"/>
    <row r="59200" ht="12" customHeight="1"/>
    <row r="59201" ht="12" customHeight="1"/>
    <row r="59202" ht="12" customHeight="1"/>
    <row r="59203" ht="12" customHeight="1"/>
    <row r="59204" ht="12" customHeight="1"/>
    <row r="59205" ht="12" customHeight="1"/>
    <row r="59206" ht="12" customHeight="1"/>
    <row r="59207" ht="12" customHeight="1"/>
    <row r="59208" ht="12" customHeight="1"/>
    <row r="59209" ht="12" customHeight="1"/>
    <row r="59210" ht="12" customHeight="1"/>
    <row r="59211" ht="12" customHeight="1"/>
    <row r="59212" ht="12" customHeight="1"/>
    <row r="59213" ht="12" customHeight="1"/>
    <row r="59214" ht="12" customHeight="1"/>
    <row r="59215" ht="12" customHeight="1"/>
    <row r="59216" ht="12" customHeight="1"/>
    <row r="59217" ht="12" customHeight="1"/>
    <row r="59218" ht="12" customHeight="1"/>
    <row r="59219" ht="12" customHeight="1"/>
    <row r="59220" ht="12" customHeight="1"/>
    <row r="59221" ht="12" customHeight="1"/>
    <row r="59222" ht="12" customHeight="1"/>
    <row r="59223" ht="12" customHeight="1"/>
    <row r="59224" ht="12" customHeight="1"/>
    <row r="59225" ht="12" customHeight="1"/>
    <row r="59226" ht="12" customHeight="1"/>
    <row r="59227" ht="12" customHeight="1"/>
    <row r="59228" ht="12" customHeight="1"/>
    <row r="59229" ht="12" customHeight="1"/>
    <row r="59230" ht="12" customHeight="1"/>
    <row r="59231" ht="12" customHeight="1"/>
    <row r="59232" ht="12" customHeight="1"/>
    <row r="59233" ht="12" customHeight="1"/>
    <row r="59234" ht="12" customHeight="1"/>
    <row r="59235" ht="12" customHeight="1"/>
    <row r="59236" ht="12" customHeight="1"/>
    <row r="59237" ht="12" customHeight="1"/>
    <row r="59238" ht="12" customHeight="1"/>
    <row r="59239" ht="12" customHeight="1"/>
    <row r="59240" ht="12" customHeight="1"/>
    <row r="59241" ht="12" customHeight="1"/>
    <row r="59242" ht="12" customHeight="1"/>
    <row r="59243" ht="12" customHeight="1"/>
    <row r="59244" ht="12" customHeight="1"/>
    <row r="59245" ht="12" customHeight="1"/>
    <row r="59246" ht="12" customHeight="1"/>
    <row r="59247" ht="12" customHeight="1"/>
    <row r="59248" ht="12" customHeight="1"/>
    <row r="59249" ht="12" customHeight="1"/>
    <row r="59250" ht="12" customHeight="1"/>
    <row r="59251" ht="12" customHeight="1"/>
    <row r="59252" ht="12" customHeight="1"/>
    <row r="59253" ht="12" customHeight="1"/>
    <row r="59254" ht="12" customHeight="1"/>
    <row r="59255" ht="12" customHeight="1"/>
    <row r="59256" ht="12" customHeight="1"/>
    <row r="59257" ht="12" customHeight="1"/>
    <row r="59258" ht="12" customHeight="1"/>
    <row r="59259" ht="12" customHeight="1"/>
    <row r="59260" ht="12" customHeight="1"/>
    <row r="59261" ht="12" customHeight="1"/>
    <row r="59262" ht="12" customHeight="1"/>
    <row r="59263" ht="12" customHeight="1"/>
    <row r="59264" ht="12" customHeight="1"/>
    <row r="59265" ht="12" customHeight="1"/>
    <row r="59266" ht="12" customHeight="1"/>
    <row r="59267" ht="12" customHeight="1"/>
    <row r="59268" ht="12" customHeight="1"/>
    <row r="59269" ht="12" customHeight="1"/>
    <row r="59270" ht="12" customHeight="1"/>
    <row r="59271" ht="12" customHeight="1"/>
    <row r="59272" ht="12" customHeight="1"/>
    <row r="59273" ht="12" customHeight="1"/>
    <row r="59274" ht="12" customHeight="1"/>
    <row r="59275" ht="12" customHeight="1"/>
    <row r="59276" ht="12" customHeight="1"/>
    <row r="59277" ht="12" customHeight="1"/>
    <row r="59278" ht="12" customHeight="1"/>
    <row r="59279" ht="12" customHeight="1"/>
    <row r="59280" ht="12" customHeight="1"/>
    <row r="59281" ht="12" customHeight="1"/>
    <row r="59282" ht="12" customHeight="1"/>
    <row r="59283" ht="12" customHeight="1"/>
    <row r="59284" ht="12" customHeight="1"/>
    <row r="59285" ht="12" customHeight="1"/>
    <row r="59286" ht="12" customHeight="1"/>
    <row r="59287" ht="12" customHeight="1"/>
    <row r="59288" ht="12" customHeight="1"/>
    <row r="59289" ht="12" customHeight="1"/>
    <row r="59290" ht="12" customHeight="1"/>
    <row r="59291" ht="12" customHeight="1"/>
    <row r="59292" ht="12" customHeight="1"/>
    <row r="59293" ht="12" customHeight="1"/>
    <row r="59294" ht="12" customHeight="1"/>
    <row r="59295" ht="12" customHeight="1"/>
    <row r="59296" ht="12" customHeight="1"/>
    <row r="59297" ht="12" customHeight="1"/>
    <row r="59298" ht="12" customHeight="1"/>
    <row r="59299" ht="12" customHeight="1"/>
    <row r="59300" ht="12" customHeight="1"/>
    <row r="59301" ht="12" customHeight="1"/>
    <row r="59302" ht="12" customHeight="1"/>
    <row r="59303" ht="12" customHeight="1"/>
    <row r="59304" ht="12" customHeight="1"/>
    <row r="59305" ht="12" customHeight="1"/>
    <row r="59306" ht="12" customHeight="1"/>
    <row r="59307" ht="12" customHeight="1"/>
    <row r="59308" ht="12" customHeight="1"/>
    <row r="59309" ht="12" customHeight="1"/>
    <row r="59310" ht="12" customHeight="1"/>
    <row r="59311" ht="12" customHeight="1"/>
    <row r="59312" ht="12" customHeight="1"/>
    <row r="59313" ht="12" customHeight="1"/>
    <row r="59314" ht="12" customHeight="1"/>
    <row r="59315" ht="12" customHeight="1"/>
    <row r="59316" ht="12" customHeight="1"/>
    <row r="59317" ht="12" customHeight="1"/>
    <row r="59318" ht="12" customHeight="1"/>
    <row r="59319" ht="12" customHeight="1"/>
    <row r="59320" ht="12" customHeight="1"/>
    <row r="59321" ht="12" customHeight="1"/>
    <row r="59322" ht="12" customHeight="1"/>
    <row r="59323" ht="12" customHeight="1"/>
    <row r="59324" ht="12" customHeight="1"/>
    <row r="59325" ht="12" customHeight="1"/>
    <row r="59326" ht="12" customHeight="1"/>
    <row r="59327" ht="12" customHeight="1"/>
    <row r="59328" ht="12" customHeight="1"/>
    <row r="59329" ht="12" customHeight="1"/>
    <row r="59330" ht="12" customHeight="1"/>
    <row r="59331" ht="12" customHeight="1"/>
    <row r="59332" ht="12" customHeight="1"/>
    <row r="59333" ht="12" customHeight="1"/>
    <row r="59334" ht="12" customHeight="1"/>
    <row r="59335" ht="12" customHeight="1"/>
    <row r="59336" ht="12" customHeight="1"/>
    <row r="59337" ht="12" customHeight="1"/>
    <row r="59338" ht="12" customHeight="1"/>
    <row r="59339" ht="12" customHeight="1"/>
    <row r="59340" ht="12" customHeight="1"/>
    <row r="59341" ht="12" customHeight="1"/>
    <row r="59342" ht="12" customHeight="1"/>
    <row r="59343" ht="12" customHeight="1"/>
    <row r="59344" ht="12" customHeight="1"/>
    <row r="59345" ht="12" customHeight="1"/>
    <row r="59346" ht="12" customHeight="1"/>
    <row r="59347" ht="12" customHeight="1"/>
    <row r="59348" ht="12" customHeight="1"/>
    <row r="59349" ht="12" customHeight="1"/>
    <row r="59350" ht="12" customHeight="1"/>
    <row r="59351" ht="12" customHeight="1"/>
    <row r="59352" ht="12" customHeight="1"/>
    <row r="59353" ht="12" customHeight="1"/>
    <row r="59354" ht="12" customHeight="1"/>
    <row r="59355" ht="12" customHeight="1"/>
    <row r="59356" ht="12" customHeight="1"/>
    <row r="59357" ht="12" customHeight="1"/>
    <row r="59358" ht="12" customHeight="1"/>
    <row r="59359" ht="12" customHeight="1"/>
    <row r="59360" ht="12" customHeight="1"/>
    <row r="59361" ht="12" customHeight="1"/>
    <row r="59362" ht="12" customHeight="1"/>
    <row r="59363" ht="12" customHeight="1"/>
    <row r="59364" ht="12" customHeight="1"/>
    <row r="59365" ht="12" customHeight="1"/>
    <row r="59366" ht="12" customHeight="1"/>
    <row r="59367" ht="12" customHeight="1"/>
    <row r="59368" ht="12" customHeight="1"/>
    <row r="59369" ht="12" customHeight="1"/>
    <row r="59370" ht="12" customHeight="1"/>
    <row r="59371" ht="12" customHeight="1"/>
    <row r="59372" ht="12" customHeight="1"/>
    <row r="59373" ht="12" customHeight="1"/>
    <row r="59374" ht="12" customHeight="1"/>
    <row r="59375" ht="12" customHeight="1"/>
    <row r="59376" ht="12" customHeight="1"/>
    <row r="59377" ht="12" customHeight="1"/>
    <row r="59378" ht="12" customHeight="1"/>
    <row r="59379" ht="12" customHeight="1"/>
    <row r="59380" ht="12" customHeight="1"/>
    <row r="59381" ht="12" customHeight="1"/>
    <row r="59382" ht="12" customHeight="1"/>
    <row r="59383" ht="12" customHeight="1"/>
    <row r="59384" ht="12" customHeight="1"/>
    <row r="59385" ht="12" customHeight="1"/>
    <row r="59386" ht="12" customHeight="1"/>
    <row r="59387" ht="12" customHeight="1"/>
    <row r="59388" ht="12" customHeight="1"/>
    <row r="59389" ht="12" customHeight="1"/>
    <row r="59390" ht="12" customHeight="1"/>
    <row r="59391" ht="12" customHeight="1"/>
    <row r="59392" ht="12" customHeight="1"/>
    <row r="59393" ht="12" customHeight="1"/>
    <row r="59394" ht="12" customHeight="1"/>
    <row r="59395" ht="12" customHeight="1"/>
    <row r="59396" ht="12" customHeight="1"/>
    <row r="59397" ht="12" customHeight="1"/>
    <row r="59398" ht="12" customHeight="1"/>
    <row r="59399" ht="12" customHeight="1"/>
    <row r="59400" ht="12" customHeight="1"/>
    <row r="59401" ht="12" customHeight="1"/>
    <row r="59402" ht="12" customHeight="1"/>
    <row r="59403" ht="12" customHeight="1"/>
    <row r="59404" ht="12" customHeight="1"/>
    <row r="59405" ht="12" customHeight="1"/>
    <row r="59406" ht="12" customHeight="1"/>
    <row r="59407" ht="12" customHeight="1"/>
    <row r="59408" ht="12" customHeight="1"/>
    <row r="59409" ht="12" customHeight="1"/>
    <row r="59410" ht="12" customHeight="1"/>
    <row r="59411" ht="12" customHeight="1"/>
    <row r="59412" ht="12" customHeight="1"/>
    <row r="59413" ht="12" customHeight="1"/>
    <row r="59414" ht="12" customHeight="1"/>
    <row r="59415" ht="12" customHeight="1"/>
    <row r="59416" ht="12" customHeight="1"/>
    <row r="59417" ht="12" customHeight="1"/>
    <row r="59418" ht="12" customHeight="1"/>
    <row r="59419" ht="12" customHeight="1"/>
    <row r="59420" ht="12" customHeight="1"/>
    <row r="59421" ht="12" customHeight="1"/>
    <row r="59422" ht="12" customHeight="1"/>
    <row r="59423" ht="12" customHeight="1"/>
    <row r="59424" ht="12" customHeight="1"/>
    <row r="59425" ht="12" customHeight="1"/>
    <row r="59426" ht="12" customHeight="1"/>
    <row r="59427" ht="12" customHeight="1"/>
    <row r="59428" ht="12" customHeight="1"/>
    <row r="59429" ht="12" customHeight="1"/>
    <row r="59430" ht="12" customHeight="1"/>
    <row r="59431" ht="12" customHeight="1"/>
    <row r="59432" ht="12" customHeight="1"/>
    <row r="59433" ht="12" customHeight="1"/>
    <row r="59434" ht="12" customHeight="1"/>
    <row r="59435" ht="12" customHeight="1"/>
    <row r="59436" ht="12" customHeight="1"/>
    <row r="59437" ht="12" customHeight="1"/>
    <row r="59438" ht="12" customHeight="1"/>
    <row r="59439" ht="12" customHeight="1"/>
    <row r="59440" ht="12" customHeight="1"/>
    <row r="59441" ht="12" customHeight="1"/>
    <row r="59442" ht="12" customHeight="1"/>
    <row r="59443" ht="12" customHeight="1"/>
    <row r="59444" ht="12" customHeight="1"/>
    <row r="59445" ht="12" customHeight="1"/>
    <row r="59446" ht="12" customHeight="1"/>
    <row r="59447" ht="12" customHeight="1"/>
    <row r="59448" ht="12" customHeight="1"/>
    <row r="59449" ht="12" customHeight="1"/>
    <row r="59450" ht="12" customHeight="1"/>
    <row r="59451" ht="12" customHeight="1"/>
    <row r="59452" ht="12" customHeight="1"/>
    <row r="59453" ht="12" customHeight="1"/>
    <row r="59454" ht="12" customHeight="1"/>
    <row r="59455" ht="12" customHeight="1"/>
    <row r="59456" ht="12" customHeight="1"/>
    <row r="59457" ht="12" customHeight="1"/>
    <row r="59458" ht="12" customHeight="1"/>
    <row r="59459" ht="12" customHeight="1"/>
    <row r="59460" ht="12" customHeight="1"/>
    <row r="59461" ht="12" customHeight="1"/>
    <row r="59462" ht="12" customHeight="1"/>
    <row r="59463" ht="12" customHeight="1"/>
    <row r="59464" ht="12" customHeight="1"/>
    <row r="59465" ht="12" customHeight="1"/>
    <row r="59466" ht="12" customHeight="1"/>
    <row r="59467" ht="12" customHeight="1"/>
    <row r="59468" ht="12" customHeight="1"/>
    <row r="59469" ht="12" customHeight="1"/>
    <row r="59470" ht="12" customHeight="1"/>
    <row r="59471" ht="12" customHeight="1"/>
    <row r="59472" ht="12" customHeight="1"/>
    <row r="59473" ht="12" customHeight="1"/>
    <row r="59474" ht="12" customHeight="1"/>
    <row r="59475" ht="12" customHeight="1"/>
    <row r="59476" ht="12" customHeight="1"/>
    <row r="59477" ht="12" customHeight="1"/>
    <row r="59478" ht="12" customHeight="1"/>
    <row r="59479" ht="12" customHeight="1"/>
    <row r="59480" ht="12" customHeight="1"/>
    <row r="59481" ht="12" customHeight="1"/>
    <row r="59482" ht="12" customHeight="1"/>
    <row r="59483" ht="12" customHeight="1"/>
    <row r="59484" ht="12" customHeight="1"/>
    <row r="59485" ht="12" customHeight="1"/>
    <row r="59486" ht="12" customHeight="1"/>
    <row r="59487" ht="12" customHeight="1"/>
    <row r="59488" ht="12" customHeight="1"/>
    <row r="59489" ht="12" customHeight="1"/>
    <row r="59490" ht="12" customHeight="1"/>
    <row r="59491" ht="12" customHeight="1"/>
    <row r="59492" ht="12" customHeight="1"/>
    <row r="59493" ht="12" customHeight="1"/>
    <row r="59494" ht="12" customHeight="1"/>
    <row r="59495" ht="12" customHeight="1"/>
    <row r="59496" ht="12" customHeight="1"/>
    <row r="59497" ht="12" customHeight="1"/>
    <row r="59498" ht="12" customHeight="1"/>
    <row r="59499" ht="12" customHeight="1"/>
    <row r="59500" ht="12" customHeight="1"/>
    <row r="59501" ht="12" customHeight="1"/>
    <row r="59502" ht="12" customHeight="1"/>
    <row r="59503" ht="12" customHeight="1"/>
    <row r="59504" ht="12" customHeight="1"/>
    <row r="59505" ht="12" customHeight="1"/>
    <row r="59506" ht="12" customHeight="1"/>
    <row r="59507" ht="12" customHeight="1"/>
    <row r="59508" ht="12" customHeight="1"/>
    <row r="59509" ht="12" customHeight="1"/>
    <row r="59510" ht="12" customHeight="1"/>
    <row r="59511" ht="12" customHeight="1"/>
    <row r="59512" ht="12" customHeight="1"/>
    <row r="59513" ht="12" customHeight="1"/>
    <row r="59514" ht="12" customHeight="1"/>
    <row r="59515" ht="12" customHeight="1"/>
    <row r="59516" ht="12" customHeight="1"/>
    <row r="59517" ht="12" customHeight="1"/>
    <row r="59518" ht="12" customHeight="1"/>
    <row r="59519" ht="12" customHeight="1"/>
    <row r="59520" ht="12" customHeight="1"/>
    <row r="59521" ht="12" customHeight="1"/>
    <row r="59522" ht="12" customHeight="1"/>
    <row r="59523" ht="12" customHeight="1"/>
    <row r="59524" ht="12" customHeight="1"/>
    <row r="59525" ht="12" customHeight="1"/>
    <row r="59526" ht="12" customHeight="1"/>
    <row r="59527" ht="12" customHeight="1"/>
    <row r="59528" ht="12" customHeight="1"/>
    <row r="59529" ht="12" customHeight="1"/>
    <row r="59530" ht="12" customHeight="1"/>
    <row r="59531" ht="12" customHeight="1"/>
    <row r="59532" ht="12" customHeight="1"/>
    <row r="59533" ht="12" customHeight="1"/>
    <row r="59534" ht="12" customHeight="1"/>
    <row r="59535" ht="12" customHeight="1"/>
    <row r="59536" ht="12" customHeight="1"/>
    <row r="59537" ht="12" customHeight="1"/>
    <row r="59538" ht="12" customHeight="1"/>
    <row r="59539" ht="12" customHeight="1"/>
    <row r="59540" ht="12" customHeight="1"/>
    <row r="59541" ht="12" customHeight="1"/>
    <row r="59542" ht="12" customHeight="1"/>
    <row r="59543" ht="12" customHeight="1"/>
    <row r="59544" ht="12" customHeight="1"/>
    <row r="59545" ht="12" customHeight="1"/>
    <row r="59546" ht="12" customHeight="1"/>
    <row r="59547" ht="12" customHeight="1"/>
    <row r="59548" ht="12" customHeight="1"/>
    <row r="59549" ht="12" customHeight="1"/>
    <row r="59550" ht="12" customHeight="1"/>
    <row r="59551" ht="12" customHeight="1"/>
    <row r="59552" ht="12" customHeight="1"/>
    <row r="59553" ht="12" customHeight="1"/>
    <row r="59554" ht="12" customHeight="1"/>
    <row r="59555" ht="12" customHeight="1"/>
    <row r="59556" ht="12" customHeight="1"/>
    <row r="59557" ht="12" customHeight="1"/>
    <row r="59558" ht="12" customHeight="1"/>
    <row r="59559" ht="12" customHeight="1"/>
    <row r="59560" ht="12" customHeight="1"/>
    <row r="59561" ht="12" customHeight="1"/>
    <row r="59562" ht="12" customHeight="1"/>
    <row r="59563" ht="12" customHeight="1"/>
    <row r="59564" ht="12" customHeight="1"/>
    <row r="59565" ht="12" customHeight="1"/>
    <row r="59566" ht="12" customHeight="1"/>
    <row r="59567" ht="12" customHeight="1"/>
    <row r="59568" ht="12" customHeight="1"/>
    <row r="59569" ht="12" customHeight="1"/>
    <row r="59570" ht="12" customHeight="1"/>
    <row r="59571" ht="12" customHeight="1"/>
    <row r="59572" ht="12" customHeight="1"/>
    <row r="59573" ht="12" customHeight="1"/>
    <row r="59574" ht="12" customHeight="1"/>
    <row r="59575" ht="12" customHeight="1"/>
    <row r="59576" ht="12" customHeight="1"/>
    <row r="59577" ht="12" customHeight="1"/>
    <row r="59578" ht="12" customHeight="1"/>
    <row r="59579" ht="12" customHeight="1"/>
    <row r="59580" ht="12" customHeight="1"/>
    <row r="59581" ht="12" customHeight="1"/>
    <row r="59582" ht="12" customHeight="1"/>
    <row r="59583" ht="12" customHeight="1"/>
    <row r="59584" ht="12" customHeight="1"/>
    <row r="59585" ht="12" customHeight="1"/>
    <row r="59586" ht="12" customHeight="1"/>
    <row r="59587" ht="12" customHeight="1"/>
    <row r="59588" ht="12" customHeight="1"/>
    <row r="59589" ht="12" customHeight="1"/>
    <row r="59590" ht="12" customHeight="1"/>
    <row r="59591" ht="12" customHeight="1"/>
    <row r="59592" ht="12" customHeight="1"/>
    <row r="59593" ht="12" customHeight="1"/>
    <row r="59594" ht="12" customHeight="1"/>
    <row r="59595" ht="12" customHeight="1"/>
    <row r="59596" ht="12" customHeight="1"/>
    <row r="59597" ht="12" customHeight="1"/>
    <row r="59598" ht="12" customHeight="1"/>
    <row r="59599" ht="12" customHeight="1"/>
    <row r="59600" ht="12" customHeight="1"/>
    <row r="59601" ht="12" customHeight="1"/>
    <row r="59602" ht="12" customHeight="1"/>
    <row r="59603" ht="12" customHeight="1"/>
    <row r="59604" ht="12" customHeight="1"/>
    <row r="59605" ht="12" customHeight="1"/>
    <row r="59606" ht="12" customHeight="1"/>
    <row r="59607" ht="12" customHeight="1"/>
    <row r="59608" ht="12" customHeight="1"/>
    <row r="59609" ht="12" customHeight="1"/>
    <row r="59610" ht="12" customHeight="1"/>
    <row r="59611" ht="12" customHeight="1"/>
    <row r="59612" ht="12" customHeight="1"/>
    <row r="59613" ht="12" customHeight="1"/>
    <row r="59614" ht="12" customHeight="1"/>
    <row r="59615" ht="12" customHeight="1"/>
    <row r="59616" ht="12" customHeight="1"/>
    <row r="59617" ht="12" customHeight="1"/>
    <row r="59618" ht="12" customHeight="1"/>
    <row r="59619" ht="12" customHeight="1"/>
    <row r="59620" ht="12" customHeight="1"/>
    <row r="59621" ht="12" customHeight="1"/>
    <row r="59622" ht="12" customHeight="1"/>
    <row r="59623" ht="12" customHeight="1"/>
    <row r="59624" ht="12" customHeight="1"/>
    <row r="59625" ht="12" customHeight="1"/>
    <row r="59626" ht="12" customHeight="1"/>
    <row r="59627" ht="12" customHeight="1"/>
    <row r="59628" ht="12" customHeight="1"/>
    <row r="59629" ht="12" customHeight="1"/>
    <row r="59630" ht="12" customHeight="1"/>
    <row r="59631" ht="12" customHeight="1"/>
    <row r="59632" ht="12" customHeight="1"/>
    <row r="59633" ht="12" customHeight="1"/>
    <row r="59634" ht="12" customHeight="1"/>
    <row r="59635" ht="12" customHeight="1"/>
    <row r="59636" ht="12" customHeight="1"/>
    <row r="59637" ht="12" customHeight="1"/>
    <row r="59638" ht="12" customHeight="1"/>
    <row r="59639" ht="12" customHeight="1"/>
    <row r="59640" ht="12" customHeight="1"/>
    <row r="59641" ht="12" customHeight="1"/>
    <row r="59642" ht="12" customHeight="1"/>
    <row r="59643" ht="12" customHeight="1"/>
    <row r="59644" ht="12" customHeight="1"/>
    <row r="59645" ht="12" customHeight="1"/>
    <row r="59646" ht="12" customHeight="1"/>
    <row r="59647" ht="12" customHeight="1"/>
    <row r="59648" ht="12" customHeight="1"/>
    <row r="59649" ht="12" customHeight="1"/>
    <row r="59650" ht="12" customHeight="1"/>
    <row r="59651" ht="12" customHeight="1"/>
    <row r="59652" ht="12" customHeight="1"/>
    <row r="59653" ht="12" customHeight="1"/>
    <row r="59654" ht="12" customHeight="1"/>
    <row r="59655" ht="12" customHeight="1"/>
    <row r="59656" ht="12" customHeight="1"/>
    <row r="59657" ht="12" customHeight="1"/>
    <row r="59658" ht="12" customHeight="1"/>
    <row r="59659" ht="12" customHeight="1"/>
    <row r="59660" ht="12" customHeight="1"/>
    <row r="59661" ht="12" customHeight="1"/>
    <row r="59662" ht="12" customHeight="1"/>
    <row r="59663" ht="12" customHeight="1"/>
    <row r="59664" ht="12" customHeight="1"/>
    <row r="59665" ht="12" customHeight="1"/>
    <row r="59666" ht="12" customHeight="1"/>
    <row r="59667" ht="12" customHeight="1"/>
    <row r="59668" ht="12" customHeight="1"/>
    <row r="59669" ht="12" customHeight="1"/>
    <row r="59670" ht="12" customHeight="1"/>
    <row r="59671" ht="12" customHeight="1"/>
    <row r="59672" ht="12" customHeight="1"/>
    <row r="59673" ht="12" customHeight="1"/>
    <row r="59674" ht="12" customHeight="1"/>
    <row r="59675" ht="12" customHeight="1"/>
    <row r="59676" ht="12" customHeight="1"/>
    <row r="59677" ht="12" customHeight="1"/>
    <row r="59678" ht="12" customHeight="1"/>
    <row r="59679" ht="12" customHeight="1"/>
    <row r="59680" ht="12" customHeight="1"/>
    <row r="59681" ht="12" customHeight="1"/>
    <row r="59682" ht="12" customHeight="1"/>
    <row r="59683" ht="12" customHeight="1"/>
    <row r="59684" ht="12" customHeight="1"/>
    <row r="59685" ht="12" customHeight="1"/>
    <row r="59686" ht="12" customHeight="1"/>
    <row r="59687" ht="12" customHeight="1"/>
    <row r="59688" ht="12" customHeight="1"/>
    <row r="59689" ht="12" customHeight="1"/>
    <row r="59690" ht="12" customHeight="1"/>
    <row r="59691" ht="12" customHeight="1"/>
    <row r="59692" ht="12" customHeight="1"/>
    <row r="59693" ht="12" customHeight="1"/>
    <row r="59694" ht="12" customHeight="1"/>
    <row r="59695" ht="12" customHeight="1"/>
    <row r="59696" ht="12" customHeight="1"/>
    <row r="59697" ht="12" customHeight="1"/>
    <row r="59698" ht="12" customHeight="1"/>
    <row r="59699" ht="12" customHeight="1"/>
    <row r="59700" ht="12" customHeight="1"/>
    <row r="59701" ht="12" customHeight="1"/>
    <row r="59702" ht="12" customHeight="1"/>
    <row r="59703" ht="12" customHeight="1"/>
    <row r="59704" ht="12" customHeight="1"/>
    <row r="59705" ht="12" customHeight="1"/>
    <row r="59706" ht="12" customHeight="1"/>
    <row r="59707" ht="12" customHeight="1"/>
    <row r="59708" ht="12" customHeight="1"/>
    <row r="59709" ht="12" customHeight="1"/>
    <row r="59710" ht="12" customHeight="1"/>
    <row r="59711" ht="12" customHeight="1"/>
    <row r="59712" ht="12" customHeight="1"/>
    <row r="59713" ht="12" customHeight="1"/>
    <row r="59714" ht="12" customHeight="1"/>
    <row r="59715" ht="12" customHeight="1"/>
    <row r="59716" ht="12" customHeight="1"/>
    <row r="59717" ht="12" customHeight="1"/>
    <row r="59718" ht="12" customHeight="1"/>
    <row r="59719" ht="12" customHeight="1"/>
    <row r="59720" ht="12" customHeight="1"/>
    <row r="59721" ht="12" customHeight="1"/>
    <row r="59722" ht="12" customHeight="1"/>
    <row r="59723" ht="12" customHeight="1"/>
    <row r="59724" ht="12" customHeight="1"/>
    <row r="59725" ht="12" customHeight="1"/>
    <row r="59726" ht="12" customHeight="1"/>
    <row r="59727" ht="12" customHeight="1"/>
    <row r="59728" ht="12" customHeight="1"/>
    <row r="59729" ht="12" customHeight="1"/>
    <row r="59730" ht="12" customHeight="1"/>
    <row r="59731" ht="12" customHeight="1"/>
    <row r="59732" ht="12" customHeight="1"/>
    <row r="59733" ht="12" customHeight="1"/>
    <row r="59734" ht="12" customHeight="1"/>
    <row r="59735" ht="12" customHeight="1"/>
    <row r="59736" ht="12" customHeight="1"/>
    <row r="59737" ht="12" customHeight="1"/>
    <row r="59738" ht="12" customHeight="1"/>
    <row r="59739" ht="12" customHeight="1"/>
    <row r="59740" ht="12" customHeight="1"/>
    <row r="59741" ht="12" customHeight="1"/>
    <row r="59742" ht="12" customHeight="1"/>
    <row r="59743" ht="12" customHeight="1"/>
    <row r="59744" ht="12" customHeight="1"/>
    <row r="59745" ht="12" customHeight="1"/>
    <row r="59746" ht="12" customHeight="1"/>
    <row r="59747" ht="12" customHeight="1"/>
    <row r="59748" ht="12" customHeight="1"/>
    <row r="59749" ht="12" customHeight="1"/>
    <row r="59750" ht="12" customHeight="1"/>
    <row r="59751" ht="12" customHeight="1"/>
    <row r="59752" ht="12" customHeight="1"/>
    <row r="59753" ht="12" customHeight="1"/>
    <row r="59754" ht="12" customHeight="1"/>
    <row r="59755" ht="12" customHeight="1"/>
    <row r="59756" ht="12" customHeight="1"/>
    <row r="59757" ht="12" customHeight="1"/>
    <row r="59758" ht="12" customHeight="1"/>
    <row r="59759" ht="12" customHeight="1"/>
    <row r="59760" ht="12" customHeight="1"/>
    <row r="59761" ht="12" customHeight="1"/>
    <row r="59762" ht="12" customHeight="1"/>
    <row r="59763" ht="12" customHeight="1"/>
    <row r="59764" ht="12" customHeight="1"/>
    <row r="59765" ht="12" customHeight="1"/>
    <row r="59766" ht="12" customHeight="1"/>
    <row r="59767" ht="12" customHeight="1"/>
    <row r="59768" ht="12" customHeight="1"/>
    <row r="59769" ht="12" customHeight="1"/>
    <row r="59770" ht="12" customHeight="1"/>
    <row r="59771" ht="12" customHeight="1"/>
    <row r="59772" ht="12" customHeight="1"/>
    <row r="59773" ht="12" customHeight="1"/>
    <row r="59774" ht="12" customHeight="1"/>
    <row r="59775" ht="12" customHeight="1"/>
    <row r="59776" ht="12" customHeight="1"/>
    <row r="59777" ht="12" customHeight="1"/>
    <row r="59778" ht="12" customHeight="1"/>
    <row r="59779" ht="12" customHeight="1"/>
    <row r="59780" ht="12" customHeight="1"/>
    <row r="59781" ht="12" customHeight="1"/>
    <row r="59782" ht="12" customHeight="1"/>
    <row r="59783" ht="12" customHeight="1"/>
    <row r="59784" ht="12" customHeight="1"/>
    <row r="59785" ht="12" customHeight="1"/>
    <row r="59786" ht="12" customHeight="1"/>
    <row r="59787" ht="12" customHeight="1"/>
    <row r="59788" ht="12" customHeight="1"/>
    <row r="59789" ht="12" customHeight="1"/>
    <row r="59790" ht="12" customHeight="1"/>
    <row r="59791" ht="12" customHeight="1"/>
    <row r="59792" ht="12" customHeight="1"/>
    <row r="59793" ht="12" customHeight="1"/>
    <row r="59794" ht="12" customHeight="1"/>
    <row r="59795" ht="12" customHeight="1"/>
    <row r="59796" ht="12" customHeight="1"/>
    <row r="59797" ht="12" customHeight="1"/>
    <row r="59798" ht="12" customHeight="1"/>
    <row r="59799" ht="12" customHeight="1"/>
    <row r="59800" ht="12" customHeight="1"/>
    <row r="59801" ht="12" customHeight="1"/>
    <row r="59802" ht="12" customHeight="1"/>
    <row r="59803" ht="12" customHeight="1"/>
    <row r="59804" ht="12" customHeight="1"/>
    <row r="59805" ht="12" customHeight="1"/>
    <row r="59806" ht="12" customHeight="1"/>
    <row r="59807" ht="12" customHeight="1"/>
    <row r="59808" ht="12" customHeight="1"/>
    <row r="59809" ht="12" customHeight="1"/>
    <row r="59810" ht="12" customHeight="1"/>
    <row r="59811" ht="12" customHeight="1"/>
    <row r="59812" ht="12" customHeight="1"/>
    <row r="59813" ht="12" customHeight="1"/>
    <row r="59814" ht="12" customHeight="1"/>
    <row r="59815" ht="12" customHeight="1"/>
    <row r="59816" ht="12" customHeight="1"/>
    <row r="59817" ht="12" customHeight="1"/>
    <row r="59818" ht="12" customHeight="1"/>
    <row r="59819" ht="12" customHeight="1"/>
    <row r="59820" ht="12" customHeight="1"/>
    <row r="59821" ht="12" customHeight="1"/>
    <row r="59822" ht="12" customHeight="1"/>
    <row r="59823" ht="12" customHeight="1"/>
    <row r="59824" ht="12" customHeight="1"/>
    <row r="59825" ht="12" customHeight="1"/>
    <row r="59826" ht="12" customHeight="1"/>
    <row r="59827" ht="12" customHeight="1"/>
    <row r="59828" ht="12" customHeight="1"/>
    <row r="59829" ht="12" customHeight="1"/>
    <row r="59830" ht="12" customHeight="1"/>
    <row r="59831" ht="12" customHeight="1"/>
    <row r="59832" ht="12" customHeight="1"/>
    <row r="59833" ht="12" customHeight="1"/>
    <row r="59834" ht="12" customHeight="1"/>
    <row r="59835" ht="12" customHeight="1"/>
    <row r="59836" ht="12" customHeight="1"/>
    <row r="59837" ht="12" customHeight="1"/>
    <row r="59838" ht="12" customHeight="1"/>
    <row r="59839" ht="12" customHeight="1"/>
    <row r="59840" ht="12" customHeight="1"/>
    <row r="59841" ht="12" customHeight="1"/>
    <row r="59842" ht="12" customHeight="1"/>
    <row r="59843" ht="12" customHeight="1"/>
    <row r="59844" ht="12" customHeight="1"/>
    <row r="59845" ht="12" customHeight="1"/>
    <row r="59846" ht="12" customHeight="1"/>
    <row r="59847" ht="12" customHeight="1"/>
    <row r="59848" ht="12" customHeight="1"/>
    <row r="59849" ht="12" customHeight="1"/>
    <row r="59850" ht="12" customHeight="1"/>
    <row r="59851" ht="12" customHeight="1"/>
    <row r="59852" ht="12" customHeight="1"/>
    <row r="59853" ht="12" customHeight="1"/>
    <row r="59854" ht="12" customHeight="1"/>
    <row r="59855" ht="12" customHeight="1"/>
    <row r="59856" ht="12" customHeight="1"/>
    <row r="59857" ht="12" customHeight="1"/>
    <row r="59858" ht="12" customHeight="1"/>
    <row r="59859" ht="12" customHeight="1"/>
    <row r="59860" ht="12" customHeight="1"/>
    <row r="59861" ht="12" customHeight="1"/>
    <row r="59862" ht="12" customHeight="1"/>
    <row r="59863" ht="12" customHeight="1"/>
    <row r="59864" ht="12" customHeight="1"/>
    <row r="59865" ht="12" customHeight="1"/>
    <row r="59866" ht="12" customHeight="1"/>
    <row r="59867" ht="12" customHeight="1"/>
    <row r="59868" ht="12" customHeight="1"/>
    <row r="59869" ht="12" customHeight="1"/>
    <row r="59870" ht="12" customHeight="1"/>
    <row r="59871" ht="12" customHeight="1"/>
    <row r="59872" ht="12" customHeight="1"/>
    <row r="59873" ht="12" customHeight="1"/>
    <row r="59874" ht="12" customHeight="1"/>
    <row r="59875" ht="12" customHeight="1"/>
    <row r="59876" ht="12" customHeight="1"/>
    <row r="59877" ht="12" customHeight="1"/>
    <row r="59878" ht="12" customHeight="1"/>
    <row r="59879" ht="12" customHeight="1"/>
    <row r="59880" ht="12" customHeight="1"/>
    <row r="59881" ht="12" customHeight="1"/>
    <row r="59882" ht="12" customHeight="1"/>
    <row r="59883" ht="12" customHeight="1"/>
    <row r="59884" ht="12" customHeight="1"/>
    <row r="59885" ht="12" customHeight="1"/>
    <row r="59886" ht="12" customHeight="1"/>
    <row r="59887" ht="12" customHeight="1"/>
    <row r="59888" ht="12" customHeight="1"/>
    <row r="59889" ht="12" customHeight="1"/>
    <row r="59890" ht="12" customHeight="1"/>
    <row r="59891" ht="12" customHeight="1"/>
    <row r="59892" ht="12" customHeight="1"/>
    <row r="59893" ht="12" customHeight="1"/>
    <row r="59894" ht="12" customHeight="1"/>
    <row r="59895" ht="12" customHeight="1"/>
    <row r="59896" ht="12" customHeight="1"/>
    <row r="59897" ht="12" customHeight="1"/>
    <row r="59898" ht="12" customHeight="1"/>
    <row r="59899" ht="12" customHeight="1"/>
    <row r="59900" ht="12" customHeight="1"/>
    <row r="59901" ht="12" customHeight="1"/>
    <row r="59902" ht="12" customHeight="1"/>
    <row r="59903" ht="12" customHeight="1"/>
    <row r="59904" ht="12" customHeight="1"/>
    <row r="59905" ht="12" customHeight="1"/>
    <row r="59906" ht="12" customHeight="1"/>
    <row r="59907" ht="12" customHeight="1"/>
    <row r="59908" ht="12" customHeight="1"/>
    <row r="59909" ht="12" customHeight="1"/>
    <row r="59910" ht="12" customHeight="1"/>
    <row r="59911" ht="12" customHeight="1"/>
    <row r="59912" ht="12" customHeight="1"/>
    <row r="59913" ht="12" customHeight="1"/>
    <row r="59914" ht="12" customHeight="1"/>
    <row r="59915" ht="12" customHeight="1"/>
    <row r="59916" ht="12" customHeight="1"/>
    <row r="59917" ht="12" customHeight="1"/>
    <row r="59918" ht="12" customHeight="1"/>
    <row r="59919" ht="12" customHeight="1"/>
    <row r="59920" ht="12" customHeight="1"/>
    <row r="59921" ht="12" customHeight="1"/>
    <row r="59922" ht="12" customHeight="1"/>
    <row r="59923" ht="12" customHeight="1"/>
    <row r="59924" ht="12" customHeight="1"/>
    <row r="59925" ht="12" customHeight="1"/>
    <row r="59926" ht="12" customHeight="1"/>
    <row r="59927" ht="12" customHeight="1"/>
    <row r="59928" ht="12" customHeight="1"/>
    <row r="59929" ht="12" customHeight="1"/>
    <row r="59930" ht="12" customHeight="1"/>
    <row r="59931" ht="12" customHeight="1"/>
    <row r="59932" ht="12" customHeight="1"/>
    <row r="59933" ht="12" customHeight="1"/>
    <row r="59934" ht="12" customHeight="1"/>
    <row r="59935" ht="12" customHeight="1"/>
    <row r="59936" ht="12" customHeight="1"/>
    <row r="59937" ht="12" customHeight="1"/>
    <row r="59938" ht="12" customHeight="1"/>
    <row r="59939" ht="12" customHeight="1"/>
    <row r="59940" ht="12" customHeight="1"/>
    <row r="59941" ht="12" customHeight="1"/>
    <row r="59942" ht="12" customHeight="1"/>
    <row r="59943" ht="12" customHeight="1"/>
    <row r="59944" ht="12" customHeight="1"/>
    <row r="59945" ht="12" customHeight="1"/>
    <row r="59946" ht="12" customHeight="1"/>
    <row r="59947" ht="12" customHeight="1"/>
    <row r="59948" ht="12" customHeight="1"/>
    <row r="59949" ht="12" customHeight="1"/>
    <row r="59950" ht="12" customHeight="1"/>
    <row r="59951" ht="12" customHeight="1"/>
    <row r="59952" ht="12" customHeight="1"/>
    <row r="59953" ht="12" customHeight="1"/>
    <row r="59954" ht="12" customHeight="1"/>
    <row r="59955" ht="12" customHeight="1"/>
    <row r="59956" ht="12" customHeight="1"/>
    <row r="59957" ht="12" customHeight="1"/>
    <row r="59958" ht="12" customHeight="1"/>
    <row r="59959" ht="12" customHeight="1"/>
    <row r="59960" ht="12" customHeight="1"/>
    <row r="59961" ht="12" customHeight="1"/>
    <row r="59962" ht="12" customHeight="1"/>
    <row r="59963" ht="12" customHeight="1"/>
    <row r="59964" ht="12" customHeight="1"/>
    <row r="59965" ht="12" customHeight="1"/>
    <row r="59966" ht="12" customHeight="1"/>
    <row r="59967" ht="12" customHeight="1"/>
    <row r="59968" ht="12" customHeight="1"/>
    <row r="59969" ht="12" customHeight="1"/>
    <row r="59970" ht="12" customHeight="1"/>
    <row r="59971" ht="12" customHeight="1"/>
    <row r="59972" ht="12" customHeight="1"/>
    <row r="59973" ht="12" customHeight="1"/>
    <row r="59974" ht="12" customHeight="1"/>
    <row r="59975" ht="12" customHeight="1"/>
    <row r="59976" ht="12" customHeight="1"/>
    <row r="59977" ht="12" customHeight="1"/>
    <row r="59978" ht="12" customHeight="1"/>
    <row r="59979" ht="12" customHeight="1"/>
    <row r="59980" ht="12" customHeight="1"/>
    <row r="59981" ht="12" customHeight="1"/>
    <row r="59982" ht="12" customHeight="1"/>
    <row r="59983" ht="12" customHeight="1"/>
    <row r="59984" ht="12" customHeight="1"/>
    <row r="59985" ht="12" customHeight="1"/>
    <row r="59986" ht="12" customHeight="1"/>
    <row r="59987" ht="12" customHeight="1"/>
    <row r="59988" ht="12" customHeight="1"/>
    <row r="59989" ht="12" customHeight="1"/>
    <row r="59990" ht="12" customHeight="1"/>
    <row r="59991" ht="12" customHeight="1"/>
    <row r="59992" ht="12" customHeight="1"/>
    <row r="59993" ht="12" customHeight="1"/>
    <row r="59994" ht="12" customHeight="1"/>
    <row r="59995" ht="12" customHeight="1"/>
    <row r="59996" ht="12" customHeight="1"/>
    <row r="59997" ht="12" customHeight="1"/>
    <row r="59998" ht="12" customHeight="1"/>
    <row r="59999" ht="12" customHeight="1"/>
    <row r="60000" ht="12" customHeight="1"/>
    <row r="60001" ht="12" customHeight="1"/>
    <row r="60002" ht="12" customHeight="1"/>
    <row r="60003" ht="12" customHeight="1"/>
    <row r="60004" ht="12" customHeight="1"/>
    <row r="60005" ht="12" customHeight="1"/>
    <row r="60006" ht="12" customHeight="1"/>
    <row r="60007" ht="12" customHeight="1"/>
    <row r="60008" ht="12" customHeight="1"/>
    <row r="60009" ht="12" customHeight="1"/>
    <row r="60010" ht="12" customHeight="1"/>
    <row r="60011" ht="12" customHeight="1"/>
    <row r="60012" ht="12" customHeight="1"/>
    <row r="60013" ht="12" customHeight="1"/>
    <row r="60014" ht="12" customHeight="1"/>
    <row r="60015" ht="12" customHeight="1"/>
    <row r="60016" ht="12" customHeight="1"/>
    <row r="60017" ht="12" customHeight="1"/>
    <row r="60018" ht="12" customHeight="1"/>
    <row r="60019" ht="12" customHeight="1"/>
    <row r="60020" ht="12" customHeight="1"/>
    <row r="60021" ht="12" customHeight="1"/>
    <row r="60022" ht="12" customHeight="1"/>
    <row r="60023" ht="12" customHeight="1"/>
    <row r="60024" ht="12" customHeight="1"/>
    <row r="60025" ht="12" customHeight="1"/>
    <row r="60026" ht="12" customHeight="1"/>
    <row r="60027" ht="12" customHeight="1"/>
    <row r="60028" ht="12" customHeight="1"/>
    <row r="60029" ht="12" customHeight="1"/>
    <row r="60030" ht="12" customHeight="1"/>
    <row r="60031" ht="12" customHeight="1"/>
    <row r="60032" ht="12" customHeight="1"/>
    <row r="60033" ht="12" customHeight="1"/>
    <row r="60034" ht="12" customHeight="1"/>
    <row r="60035" ht="12" customHeight="1"/>
    <row r="60036" ht="12" customHeight="1"/>
    <row r="60037" ht="12" customHeight="1"/>
    <row r="60038" ht="12" customHeight="1"/>
    <row r="60039" ht="12" customHeight="1"/>
    <row r="60040" ht="12" customHeight="1"/>
    <row r="60041" ht="12" customHeight="1"/>
    <row r="60042" ht="12" customHeight="1"/>
    <row r="60043" ht="12" customHeight="1"/>
    <row r="60044" ht="12" customHeight="1"/>
    <row r="60045" ht="12" customHeight="1"/>
    <row r="60046" ht="12" customHeight="1"/>
    <row r="60047" ht="12" customHeight="1"/>
    <row r="60048" ht="12" customHeight="1"/>
    <row r="60049" ht="12" customHeight="1"/>
    <row r="60050" ht="12" customHeight="1"/>
    <row r="60051" ht="12" customHeight="1"/>
    <row r="60052" ht="12" customHeight="1"/>
    <row r="60053" ht="12" customHeight="1"/>
    <row r="60054" ht="12" customHeight="1"/>
    <row r="60055" ht="12" customHeight="1"/>
    <row r="60056" ht="12" customHeight="1"/>
    <row r="60057" ht="12" customHeight="1"/>
    <row r="60058" ht="12" customHeight="1"/>
    <row r="60059" ht="12" customHeight="1"/>
    <row r="60060" ht="12" customHeight="1"/>
    <row r="60061" ht="12" customHeight="1"/>
    <row r="60062" ht="12" customHeight="1"/>
    <row r="60063" ht="12" customHeight="1"/>
    <row r="60064" ht="12" customHeight="1"/>
    <row r="60065" ht="12" customHeight="1"/>
    <row r="60066" ht="12" customHeight="1"/>
    <row r="60067" ht="12" customHeight="1"/>
    <row r="60068" ht="12" customHeight="1"/>
    <row r="60069" ht="12" customHeight="1"/>
    <row r="60070" ht="12" customHeight="1"/>
    <row r="60071" ht="12" customHeight="1"/>
    <row r="60072" ht="12" customHeight="1"/>
    <row r="60073" ht="12" customHeight="1"/>
    <row r="60074" ht="12" customHeight="1"/>
    <row r="60075" ht="12" customHeight="1"/>
    <row r="60076" ht="12" customHeight="1"/>
    <row r="60077" ht="12" customHeight="1"/>
    <row r="60078" ht="12" customHeight="1"/>
    <row r="60079" ht="12" customHeight="1"/>
    <row r="60080" ht="12" customHeight="1"/>
    <row r="60081" ht="12" customHeight="1"/>
    <row r="60082" ht="12" customHeight="1"/>
    <row r="60083" ht="12" customHeight="1"/>
    <row r="60084" ht="12" customHeight="1"/>
    <row r="60085" ht="12" customHeight="1"/>
    <row r="60086" ht="12" customHeight="1"/>
    <row r="60087" ht="12" customHeight="1"/>
    <row r="60088" ht="12" customHeight="1"/>
    <row r="60089" ht="12" customHeight="1"/>
    <row r="60090" ht="12" customHeight="1"/>
    <row r="60091" ht="12" customHeight="1"/>
    <row r="60092" ht="12" customHeight="1"/>
    <row r="60093" ht="12" customHeight="1"/>
    <row r="60094" ht="12" customHeight="1"/>
    <row r="60095" ht="12" customHeight="1"/>
    <row r="60096" ht="12" customHeight="1"/>
    <row r="60097" ht="12" customHeight="1"/>
    <row r="60098" ht="12" customHeight="1"/>
    <row r="60099" ht="12" customHeight="1"/>
    <row r="60100" ht="12" customHeight="1"/>
    <row r="60101" ht="12" customHeight="1"/>
    <row r="60102" ht="12" customHeight="1"/>
    <row r="60103" ht="12" customHeight="1"/>
    <row r="60104" ht="12" customHeight="1"/>
    <row r="60105" ht="12" customHeight="1"/>
    <row r="60106" ht="12" customHeight="1"/>
    <row r="60107" ht="12" customHeight="1"/>
    <row r="60108" ht="12" customHeight="1"/>
    <row r="60109" ht="12" customHeight="1"/>
    <row r="60110" ht="12" customHeight="1"/>
    <row r="60111" ht="12" customHeight="1"/>
    <row r="60112" ht="12" customHeight="1"/>
    <row r="60113" ht="12" customHeight="1"/>
    <row r="60114" ht="12" customHeight="1"/>
    <row r="60115" ht="12" customHeight="1"/>
    <row r="60116" ht="12" customHeight="1"/>
    <row r="60117" ht="12" customHeight="1"/>
    <row r="60118" ht="12" customHeight="1"/>
    <row r="60119" ht="12" customHeight="1"/>
    <row r="60120" ht="12" customHeight="1"/>
    <row r="60121" ht="12" customHeight="1"/>
    <row r="60122" ht="12" customHeight="1"/>
    <row r="60123" ht="12" customHeight="1"/>
    <row r="60124" ht="12" customHeight="1"/>
    <row r="60125" ht="12" customHeight="1"/>
    <row r="60126" ht="12" customHeight="1"/>
    <row r="60127" ht="12" customHeight="1"/>
    <row r="60128" ht="12" customHeight="1"/>
    <row r="60129" ht="12" customHeight="1"/>
    <row r="60130" ht="12" customHeight="1"/>
    <row r="60131" ht="12" customHeight="1"/>
    <row r="60132" ht="12" customHeight="1"/>
    <row r="60133" ht="12" customHeight="1"/>
    <row r="60134" ht="12" customHeight="1"/>
    <row r="60135" ht="12" customHeight="1"/>
    <row r="60136" ht="12" customHeight="1"/>
    <row r="60137" ht="12" customHeight="1"/>
    <row r="60138" ht="12" customHeight="1"/>
    <row r="60139" ht="12" customHeight="1"/>
    <row r="60140" ht="12" customHeight="1"/>
    <row r="60141" ht="12" customHeight="1"/>
    <row r="60142" ht="12" customHeight="1"/>
    <row r="60143" ht="12" customHeight="1"/>
    <row r="60144" ht="12" customHeight="1"/>
    <row r="60145" ht="12" customHeight="1"/>
    <row r="60146" ht="12" customHeight="1"/>
    <row r="60147" ht="12" customHeight="1"/>
    <row r="60148" ht="12" customHeight="1"/>
    <row r="60149" ht="12" customHeight="1"/>
    <row r="60150" ht="12" customHeight="1"/>
    <row r="60151" ht="12" customHeight="1"/>
    <row r="60152" ht="12" customHeight="1"/>
    <row r="60153" ht="12" customHeight="1"/>
    <row r="60154" ht="12" customHeight="1"/>
    <row r="60155" ht="12" customHeight="1"/>
    <row r="60156" ht="12" customHeight="1"/>
    <row r="60157" ht="12" customHeight="1"/>
    <row r="60158" ht="12" customHeight="1"/>
    <row r="60159" ht="12" customHeight="1"/>
    <row r="60160" ht="12" customHeight="1"/>
    <row r="60161" ht="12" customHeight="1"/>
    <row r="60162" ht="12" customHeight="1"/>
    <row r="60163" ht="12" customHeight="1"/>
    <row r="60164" ht="12" customHeight="1"/>
    <row r="60165" ht="12" customHeight="1"/>
    <row r="60166" ht="12" customHeight="1"/>
    <row r="60167" ht="12" customHeight="1"/>
    <row r="60168" ht="12" customHeight="1"/>
    <row r="60169" ht="12" customHeight="1"/>
    <row r="60170" ht="12" customHeight="1"/>
    <row r="60171" ht="12" customHeight="1"/>
    <row r="60172" ht="12" customHeight="1"/>
    <row r="60173" ht="12" customHeight="1"/>
    <row r="60174" ht="12" customHeight="1"/>
    <row r="60175" ht="12" customHeight="1"/>
    <row r="60176" ht="12" customHeight="1"/>
    <row r="60177" ht="12" customHeight="1"/>
    <row r="60178" ht="12" customHeight="1"/>
    <row r="60179" ht="12" customHeight="1"/>
    <row r="60180" ht="12" customHeight="1"/>
    <row r="60181" ht="12" customHeight="1"/>
    <row r="60182" ht="12" customHeight="1"/>
    <row r="60183" ht="12" customHeight="1"/>
    <row r="60184" ht="12" customHeight="1"/>
    <row r="60185" ht="12" customHeight="1"/>
    <row r="60186" ht="12" customHeight="1"/>
    <row r="60187" ht="12" customHeight="1"/>
    <row r="60188" ht="12" customHeight="1"/>
    <row r="60189" ht="12" customHeight="1"/>
    <row r="60190" ht="12" customHeight="1"/>
    <row r="60191" ht="12" customHeight="1"/>
    <row r="60192" ht="12" customHeight="1"/>
    <row r="60193" ht="12" customHeight="1"/>
    <row r="60194" ht="12" customHeight="1"/>
    <row r="60195" ht="12" customHeight="1"/>
    <row r="60196" ht="12" customHeight="1"/>
    <row r="60197" ht="12" customHeight="1"/>
    <row r="60198" ht="12" customHeight="1"/>
    <row r="60199" ht="12" customHeight="1"/>
    <row r="60200" ht="12" customHeight="1"/>
    <row r="60201" ht="12" customHeight="1"/>
    <row r="60202" ht="12" customHeight="1"/>
    <row r="60203" ht="12" customHeight="1"/>
    <row r="60204" ht="12" customHeight="1"/>
    <row r="60205" ht="12" customHeight="1"/>
    <row r="60206" ht="12" customHeight="1"/>
    <row r="60207" ht="12" customHeight="1"/>
    <row r="60208" ht="12" customHeight="1"/>
    <row r="60209" ht="12" customHeight="1"/>
    <row r="60210" ht="12" customHeight="1"/>
    <row r="60211" ht="12" customHeight="1"/>
    <row r="60212" ht="12" customHeight="1"/>
    <row r="60213" ht="12" customHeight="1"/>
    <row r="60214" ht="12" customHeight="1"/>
    <row r="60215" ht="12" customHeight="1"/>
    <row r="60216" ht="12" customHeight="1"/>
    <row r="60217" ht="12" customHeight="1"/>
    <row r="60218" ht="12" customHeight="1"/>
    <row r="60219" ht="12" customHeight="1"/>
    <row r="60220" ht="12" customHeight="1"/>
    <row r="60221" ht="12" customHeight="1"/>
    <row r="60222" ht="12" customHeight="1"/>
    <row r="60223" ht="12" customHeight="1"/>
    <row r="60224" ht="12" customHeight="1"/>
    <row r="60225" ht="12" customHeight="1"/>
    <row r="60226" ht="12" customHeight="1"/>
    <row r="60227" ht="12" customHeight="1"/>
    <row r="60228" ht="12" customHeight="1"/>
    <row r="60229" ht="12" customHeight="1"/>
    <row r="60230" ht="12" customHeight="1"/>
    <row r="60231" ht="12" customHeight="1"/>
    <row r="60232" ht="12" customHeight="1"/>
    <row r="60233" ht="12" customHeight="1"/>
    <row r="60234" ht="12" customHeight="1"/>
    <row r="60235" ht="12" customHeight="1"/>
    <row r="60236" ht="12" customHeight="1"/>
    <row r="60237" ht="12" customHeight="1"/>
    <row r="60238" ht="12" customHeight="1"/>
    <row r="60239" ht="12" customHeight="1"/>
    <row r="60240" ht="12" customHeight="1"/>
    <row r="60241" ht="12" customHeight="1"/>
    <row r="60242" ht="12" customHeight="1"/>
    <row r="60243" ht="12" customHeight="1"/>
    <row r="60244" ht="12" customHeight="1"/>
    <row r="60245" ht="12" customHeight="1"/>
    <row r="60246" ht="12" customHeight="1"/>
    <row r="60247" ht="12" customHeight="1"/>
    <row r="60248" ht="12" customHeight="1"/>
    <row r="60249" ht="12" customHeight="1"/>
    <row r="60250" ht="12" customHeight="1"/>
    <row r="60251" ht="12" customHeight="1"/>
    <row r="60252" ht="12" customHeight="1"/>
    <row r="60253" ht="12" customHeight="1"/>
    <row r="60254" ht="12" customHeight="1"/>
    <row r="60255" ht="12" customHeight="1"/>
    <row r="60256" ht="12" customHeight="1"/>
    <row r="60257" ht="12" customHeight="1"/>
    <row r="60258" ht="12" customHeight="1"/>
    <row r="60259" ht="12" customHeight="1"/>
    <row r="60260" ht="12" customHeight="1"/>
    <row r="60261" ht="12" customHeight="1"/>
    <row r="60262" ht="12" customHeight="1"/>
    <row r="60263" ht="12" customHeight="1"/>
    <row r="60264" ht="12" customHeight="1"/>
    <row r="60265" ht="12" customHeight="1"/>
    <row r="60266" ht="12" customHeight="1"/>
    <row r="60267" ht="12" customHeight="1"/>
    <row r="60268" ht="12" customHeight="1"/>
    <row r="60269" ht="12" customHeight="1"/>
    <row r="60270" ht="12" customHeight="1"/>
    <row r="60271" ht="12" customHeight="1"/>
    <row r="60272" ht="12" customHeight="1"/>
    <row r="60273" ht="12" customHeight="1"/>
    <row r="60274" ht="12" customHeight="1"/>
    <row r="60275" ht="12" customHeight="1"/>
    <row r="60276" ht="12" customHeight="1"/>
    <row r="60277" ht="12" customHeight="1"/>
    <row r="60278" ht="12" customHeight="1"/>
    <row r="60279" ht="12" customHeight="1"/>
    <row r="60280" ht="12" customHeight="1"/>
    <row r="60281" ht="12" customHeight="1"/>
    <row r="60282" ht="12" customHeight="1"/>
    <row r="60283" ht="12" customHeight="1"/>
    <row r="60284" ht="12" customHeight="1"/>
    <row r="60285" ht="12" customHeight="1"/>
    <row r="60286" ht="12" customHeight="1"/>
    <row r="60287" ht="12" customHeight="1"/>
    <row r="60288" ht="12" customHeight="1"/>
    <row r="60289" ht="12" customHeight="1"/>
    <row r="60290" ht="12" customHeight="1"/>
    <row r="60291" ht="12" customHeight="1"/>
    <row r="60292" ht="12" customHeight="1"/>
    <row r="60293" ht="12" customHeight="1"/>
    <row r="60294" ht="12" customHeight="1"/>
    <row r="60295" ht="12" customHeight="1"/>
    <row r="60296" ht="12" customHeight="1"/>
    <row r="60297" ht="12" customHeight="1"/>
    <row r="60298" ht="12" customHeight="1"/>
    <row r="60299" ht="12" customHeight="1"/>
    <row r="60300" ht="12" customHeight="1"/>
    <row r="60301" ht="12" customHeight="1"/>
    <row r="60302" ht="12" customHeight="1"/>
    <row r="60303" ht="12" customHeight="1"/>
    <row r="60304" ht="12" customHeight="1"/>
    <row r="60305" ht="12" customHeight="1"/>
    <row r="60306" ht="12" customHeight="1"/>
    <row r="60307" ht="12" customHeight="1"/>
    <row r="60308" ht="12" customHeight="1"/>
    <row r="60309" ht="12" customHeight="1"/>
    <row r="60310" ht="12" customHeight="1"/>
    <row r="60311" ht="12" customHeight="1"/>
    <row r="60312" ht="12" customHeight="1"/>
    <row r="60313" ht="12" customHeight="1"/>
    <row r="60314" ht="12" customHeight="1"/>
    <row r="60315" ht="12" customHeight="1"/>
    <row r="60316" ht="12" customHeight="1"/>
    <row r="60317" ht="12" customHeight="1"/>
    <row r="60318" ht="12" customHeight="1"/>
    <row r="60319" ht="12" customHeight="1"/>
    <row r="60320" ht="12" customHeight="1"/>
    <row r="60321" ht="12" customHeight="1"/>
    <row r="60322" ht="12" customHeight="1"/>
    <row r="60323" ht="12" customHeight="1"/>
    <row r="60324" ht="12" customHeight="1"/>
    <row r="60325" ht="12" customHeight="1"/>
    <row r="60326" ht="12" customHeight="1"/>
    <row r="60327" ht="12" customHeight="1"/>
    <row r="60328" ht="12" customHeight="1"/>
    <row r="60329" ht="12" customHeight="1"/>
    <row r="60330" ht="12" customHeight="1"/>
    <row r="60331" ht="12" customHeight="1"/>
    <row r="60332" ht="12" customHeight="1"/>
    <row r="60333" ht="12" customHeight="1"/>
    <row r="60334" ht="12" customHeight="1"/>
    <row r="60335" ht="12" customHeight="1"/>
    <row r="60336" ht="12" customHeight="1"/>
    <row r="60337" ht="12" customHeight="1"/>
    <row r="60338" ht="12" customHeight="1"/>
    <row r="60339" ht="12" customHeight="1"/>
    <row r="60340" ht="12" customHeight="1"/>
    <row r="60341" ht="12" customHeight="1"/>
    <row r="60342" ht="12" customHeight="1"/>
    <row r="60343" ht="12" customHeight="1"/>
    <row r="60344" ht="12" customHeight="1"/>
    <row r="60345" ht="12" customHeight="1"/>
    <row r="60346" ht="12" customHeight="1"/>
    <row r="60347" ht="12" customHeight="1"/>
    <row r="60348" ht="12" customHeight="1"/>
    <row r="60349" ht="12" customHeight="1"/>
    <row r="60350" ht="12" customHeight="1"/>
    <row r="60351" ht="12" customHeight="1"/>
    <row r="60352" ht="12" customHeight="1"/>
    <row r="60353" ht="12" customHeight="1"/>
    <row r="60354" ht="12" customHeight="1"/>
    <row r="60355" ht="12" customHeight="1"/>
    <row r="60356" ht="12" customHeight="1"/>
    <row r="60357" ht="12" customHeight="1"/>
    <row r="60358" ht="12" customHeight="1"/>
    <row r="60359" ht="12" customHeight="1"/>
    <row r="60360" ht="12" customHeight="1"/>
    <row r="60361" ht="12" customHeight="1"/>
    <row r="60362" ht="12" customHeight="1"/>
    <row r="60363" ht="12" customHeight="1"/>
    <row r="60364" ht="12" customHeight="1"/>
    <row r="60365" ht="12" customHeight="1"/>
    <row r="60366" ht="12" customHeight="1"/>
    <row r="60367" ht="12" customHeight="1"/>
    <row r="60368" ht="12" customHeight="1"/>
    <row r="60369" ht="12" customHeight="1"/>
    <row r="60370" ht="12" customHeight="1"/>
    <row r="60371" ht="12" customHeight="1"/>
    <row r="60372" ht="12" customHeight="1"/>
    <row r="60373" ht="12" customHeight="1"/>
    <row r="60374" ht="12" customHeight="1"/>
    <row r="60375" ht="12" customHeight="1"/>
    <row r="60376" ht="12" customHeight="1"/>
    <row r="60377" ht="12" customHeight="1"/>
    <row r="60378" ht="12" customHeight="1"/>
    <row r="60379" ht="12" customHeight="1"/>
    <row r="60380" ht="12" customHeight="1"/>
    <row r="60381" ht="12" customHeight="1"/>
    <row r="60382" ht="12" customHeight="1"/>
    <row r="60383" ht="12" customHeight="1"/>
    <row r="60384" ht="12" customHeight="1"/>
    <row r="60385" ht="12" customHeight="1"/>
    <row r="60386" ht="12" customHeight="1"/>
    <row r="60387" ht="12" customHeight="1"/>
    <row r="60388" ht="12" customHeight="1"/>
    <row r="60389" ht="12" customHeight="1"/>
    <row r="60390" ht="12" customHeight="1"/>
    <row r="60391" ht="12" customHeight="1"/>
    <row r="60392" ht="12" customHeight="1"/>
    <row r="60393" ht="12" customHeight="1"/>
    <row r="60394" ht="12" customHeight="1"/>
    <row r="60395" ht="12" customHeight="1"/>
    <row r="60396" ht="12" customHeight="1"/>
    <row r="60397" ht="12" customHeight="1"/>
    <row r="60398" ht="12" customHeight="1"/>
    <row r="60399" ht="12" customHeight="1"/>
    <row r="60400" ht="12" customHeight="1"/>
    <row r="60401" ht="12" customHeight="1"/>
    <row r="60402" ht="12" customHeight="1"/>
    <row r="60403" ht="12" customHeight="1"/>
    <row r="60404" ht="12" customHeight="1"/>
    <row r="60405" ht="12" customHeight="1"/>
    <row r="60406" ht="12" customHeight="1"/>
    <row r="60407" ht="12" customHeight="1"/>
    <row r="60408" ht="12" customHeight="1"/>
    <row r="60409" ht="12" customHeight="1"/>
    <row r="60410" ht="12" customHeight="1"/>
    <row r="60411" ht="12" customHeight="1"/>
    <row r="60412" ht="12" customHeight="1"/>
    <row r="60413" ht="12" customHeight="1"/>
    <row r="60414" ht="12" customHeight="1"/>
    <row r="60415" ht="12" customHeight="1"/>
    <row r="60416" ht="12" customHeight="1"/>
    <row r="60417" ht="12" customHeight="1"/>
    <row r="60418" ht="12" customHeight="1"/>
    <row r="60419" ht="12" customHeight="1"/>
    <row r="60420" ht="12" customHeight="1"/>
    <row r="60421" ht="12" customHeight="1"/>
    <row r="60422" ht="12" customHeight="1"/>
    <row r="60423" ht="12" customHeight="1"/>
    <row r="60424" ht="12" customHeight="1"/>
    <row r="60425" ht="12" customHeight="1"/>
    <row r="60426" ht="12" customHeight="1"/>
    <row r="60427" ht="12" customHeight="1"/>
    <row r="60428" ht="12" customHeight="1"/>
    <row r="60429" ht="12" customHeight="1"/>
    <row r="60430" ht="12" customHeight="1"/>
    <row r="60431" ht="12" customHeight="1"/>
    <row r="60432" ht="12" customHeight="1"/>
    <row r="60433" ht="12" customHeight="1"/>
    <row r="60434" ht="12" customHeight="1"/>
    <row r="60435" ht="12" customHeight="1"/>
    <row r="60436" ht="12" customHeight="1"/>
    <row r="60437" ht="12" customHeight="1"/>
    <row r="60438" ht="12" customHeight="1"/>
    <row r="60439" ht="12" customHeight="1"/>
    <row r="60440" ht="12" customHeight="1"/>
    <row r="60441" ht="12" customHeight="1"/>
    <row r="60442" ht="12" customHeight="1"/>
    <row r="60443" ht="12" customHeight="1"/>
    <row r="60444" ht="12" customHeight="1"/>
    <row r="60445" ht="12" customHeight="1"/>
    <row r="60446" ht="12" customHeight="1"/>
    <row r="60447" ht="12" customHeight="1"/>
    <row r="60448" ht="12" customHeight="1"/>
    <row r="60449" ht="12" customHeight="1"/>
    <row r="60450" ht="12" customHeight="1"/>
    <row r="60451" ht="12" customHeight="1"/>
    <row r="60452" ht="12" customHeight="1"/>
    <row r="60453" ht="12" customHeight="1"/>
    <row r="60454" ht="12" customHeight="1"/>
    <row r="60455" ht="12" customHeight="1"/>
    <row r="60456" ht="12" customHeight="1"/>
    <row r="60457" ht="12" customHeight="1"/>
    <row r="60458" ht="12" customHeight="1"/>
    <row r="60459" ht="12" customHeight="1"/>
    <row r="60460" ht="12" customHeight="1"/>
    <row r="60461" ht="12" customHeight="1"/>
    <row r="60462" ht="12" customHeight="1"/>
    <row r="60463" ht="12" customHeight="1"/>
    <row r="60464" ht="12" customHeight="1"/>
    <row r="60465" ht="12" customHeight="1"/>
    <row r="60466" ht="12" customHeight="1"/>
    <row r="60467" ht="12" customHeight="1"/>
    <row r="60468" ht="12" customHeight="1"/>
    <row r="60469" ht="12" customHeight="1"/>
    <row r="60470" ht="12" customHeight="1"/>
    <row r="60471" ht="12" customHeight="1"/>
    <row r="60472" ht="12" customHeight="1"/>
    <row r="60473" ht="12" customHeight="1"/>
    <row r="60474" ht="12" customHeight="1"/>
    <row r="60475" ht="12" customHeight="1"/>
    <row r="60476" ht="12" customHeight="1"/>
    <row r="60477" ht="12" customHeight="1"/>
    <row r="60478" ht="12" customHeight="1"/>
    <row r="60479" ht="12" customHeight="1"/>
    <row r="60480" ht="12" customHeight="1"/>
    <row r="60481" ht="12" customHeight="1"/>
    <row r="60482" ht="12" customHeight="1"/>
    <row r="60483" ht="12" customHeight="1"/>
    <row r="60484" ht="12" customHeight="1"/>
    <row r="60485" ht="12" customHeight="1"/>
    <row r="60486" ht="12" customHeight="1"/>
    <row r="60487" ht="12" customHeight="1"/>
    <row r="60488" ht="12" customHeight="1"/>
    <row r="60489" ht="12" customHeight="1"/>
    <row r="60490" ht="12" customHeight="1"/>
    <row r="60491" ht="12" customHeight="1"/>
    <row r="60492" ht="12" customHeight="1"/>
    <row r="60493" ht="12" customHeight="1"/>
    <row r="60494" ht="12" customHeight="1"/>
    <row r="60495" ht="12" customHeight="1"/>
    <row r="60496" ht="12" customHeight="1"/>
    <row r="60497" ht="12" customHeight="1"/>
    <row r="60498" ht="12" customHeight="1"/>
    <row r="60499" ht="12" customHeight="1"/>
    <row r="60500" ht="12" customHeight="1"/>
    <row r="60501" ht="12" customHeight="1"/>
    <row r="60502" ht="12" customHeight="1"/>
    <row r="60503" ht="12" customHeight="1"/>
    <row r="60504" ht="12" customHeight="1"/>
    <row r="60505" ht="12" customHeight="1"/>
    <row r="60506" ht="12" customHeight="1"/>
    <row r="60507" ht="12" customHeight="1"/>
    <row r="60508" ht="12" customHeight="1"/>
    <row r="60509" ht="12" customHeight="1"/>
    <row r="60510" ht="12" customHeight="1"/>
    <row r="60511" ht="12" customHeight="1"/>
    <row r="60512" ht="12" customHeight="1"/>
    <row r="60513" ht="12" customHeight="1"/>
    <row r="60514" ht="12" customHeight="1"/>
    <row r="60515" ht="12" customHeight="1"/>
    <row r="60516" ht="12" customHeight="1"/>
    <row r="60517" ht="12" customHeight="1"/>
    <row r="60518" ht="12" customHeight="1"/>
    <row r="60519" ht="12" customHeight="1"/>
    <row r="60520" ht="12" customHeight="1"/>
    <row r="60521" ht="12" customHeight="1"/>
    <row r="60522" ht="12" customHeight="1"/>
    <row r="60523" ht="12" customHeight="1"/>
    <row r="60524" ht="12" customHeight="1"/>
    <row r="60525" ht="12" customHeight="1"/>
    <row r="60526" ht="12" customHeight="1"/>
    <row r="60527" ht="12" customHeight="1"/>
    <row r="60528" ht="12" customHeight="1"/>
    <row r="60529" ht="12" customHeight="1"/>
    <row r="60530" ht="12" customHeight="1"/>
    <row r="60531" ht="12" customHeight="1"/>
    <row r="60532" ht="12" customHeight="1"/>
    <row r="60533" ht="12" customHeight="1"/>
    <row r="60534" ht="12" customHeight="1"/>
    <row r="60535" ht="12" customHeight="1"/>
    <row r="60536" ht="12" customHeight="1"/>
    <row r="60537" ht="12" customHeight="1"/>
    <row r="60538" ht="12" customHeight="1"/>
    <row r="60539" ht="12" customHeight="1"/>
    <row r="60540" ht="12" customHeight="1"/>
    <row r="60541" ht="12" customHeight="1"/>
    <row r="60542" ht="12" customHeight="1"/>
    <row r="60543" ht="12" customHeight="1"/>
    <row r="60544" ht="12" customHeight="1"/>
    <row r="60545" ht="12" customHeight="1"/>
    <row r="60546" ht="12" customHeight="1"/>
    <row r="60547" ht="12" customHeight="1"/>
    <row r="60548" ht="12" customHeight="1"/>
    <row r="60549" ht="12" customHeight="1"/>
    <row r="60550" ht="12" customHeight="1"/>
    <row r="60551" ht="12" customHeight="1"/>
    <row r="60552" ht="12" customHeight="1"/>
    <row r="60553" ht="12" customHeight="1"/>
    <row r="60554" ht="12" customHeight="1"/>
    <row r="60555" ht="12" customHeight="1"/>
    <row r="60556" ht="12" customHeight="1"/>
    <row r="60557" ht="12" customHeight="1"/>
    <row r="60558" ht="12" customHeight="1"/>
    <row r="60559" ht="12" customHeight="1"/>
    <row r="60560" ht="12" customHeight="1"/>
    <row r="60561" ht="12" customHeight="1"/>
    <row r="60562" ht="12" customHeight="1"/>
    <row r="60563" ht="12" customHeight="1"/>
    <row r="60564" ht="12" customHeight="1"/>
    <row r="60565" ht="12" customHeight="1"/>
    <row r="60566" ht="12" customHeight="1"/>
    <row r="60567" ht="12" customHeight="1"/>
    <row r="60568" ht="12" customHeight="1"/>
    <row r="60569" ht="12" customHeight="1"/>
    <row r="60570" ht="12" customHeight="1"/>
    <row r="60571" ht="12" customHeight="1"/>
    <row r="60572" ht="12" customHeight="1"/>
    <row r="60573" ht="12" customHeight="1"/>
    <row r="60574" ht="12" customHeight="1"/>
    <row r="60575" ht="12" customHeight="1"/>
    <row r="60576" ht="12" customHeight="1"/>
    <row r="60577" ht="12" customHeight="1"/>
    <row r="60578" ht="12" customHeight="1"/>
    <row r="60579" ht="12" customHeight="1"/>
    <row r="60580" ht="12" customHeight="1"/>
    <row r="60581" ht="12" customHeight="1"/>
    <row r="60582" ht="12" customHeight="1"/>
    <row r="60583" ht="12" customHeight="1"/>
    <row r="60584" ht="12" customHeight="1"/>
    <row r="60585" ht="12" customHeight="1"/>
    <row r="60586" ht="12" customHeight="1"/>
    <row r="60587" ht="12" customHeight="1"/>
    <row r="60588" ht="12" customHeight="1"/>
    <row r="60589" ht="12" customHeight="1"/>
    <row r="60590" ht="12" customHeight="1"/>
    <row r="60591" ht="12" customHeight="1"/>
    <row r="60592" ht="12" customHeight="1"/>
    <row r="60593" ht="12" customHeight="1"/>
    <row r="60594" ht="12" customHeight="1"/>
    <row r="60595" ht="12" customHeight="1"/>
    <row r="60596" ht="12" customHeight="1"/>
    <row r="60597" ht="12" customHeight="1"/>
    <row r="60598" ht="12" customHeight="1"/>
    <row r="60599" ht="12" customHeight="1"/>
    <row r="60600" ht="12" customHeight="1"/>
    <row r="60601" ht="12" customHeight="1"/>
    <row r="60602" ht="12" customHeight="1"/>
    <row r="60603" ht="12" customHeight="1"/>
    <row r="60604" ht="12" customHeight="1"/>
    <row r="60605" ht="12" customHeight="1"/>
    <row r="60606" ht="12" customHeight="1"/>
    <row r="60607" ht="12" customHeight="1"/>
    <row r="60608" ht="12" customHeight="1"/>
    <row r="60609" ht="12" customHeight="1"/>
    <row r="60610" ht="12" customHeight="1"/>
    <row r="60611" ht="12" customHeight="1"/>
    <row r="60612" ht="12" customHeight="1"/>
    <row r="60613" ht="12" customHeight="1"/>
    <row r="60614" ht="12" customHeight="1"/>
    <row r="60615" ht="12" customHeight="1"/>
    <row r="60616" ht="12" customHeight="1"/>
    <row r="60617" ht="12" customHeight="1"/>
    <row r="60618" ht="12" customHeight="1"/>
    <row r="60619" ht="12" customHeight="1"/>
    <row r="60620" ht="12" customHeight="1"/>
    <row r="60621" ht="12" customHeight="1"/>
    <row r="60622" ht="12" customHeight="1"/>
    <row r="60623" ht="12" customHeight="1"/>
    <row r="60624" ht="12" customHeight="1"/>
    <row r="60625" ht="12" customHeight="1"/>
    <row r="60626" ht="12" customHeight="1"/>
    <row r="60627" ht="12" customHeight="1"/>
    <row r="60628" ht="12" customHeight="1"/>
    <row r="60629" ht="12" customHeight="1"/>
    <row r="60630" ht="12" customHeight="1"/>
    <row r="60631" ht="12" customHeight="1"/>
    <row r="60632" ht="12" customHeight="1"/>
    <row r="60633" ht="12" customHeight="1"/>
    <row r="60634" ht="12" customHeight="1"/>
    <row r="60635" ht="12" customHeight="1"/>
    <row r="60636" ht="12" customHeight="1"/>
    <row r="60637" ht="12" customHeight="1"/>
    <row r="60638" ht="12" customHeight="1"/>
    <row r="60639" ht="12" customHeight="1"/>
    <row r="60640" ht="12" customHeight="1"/>
    <row r="60641" ht="12" customHeight="1"/>
    <row r="60642" ht="12" customHeight="1"/>
    <row r="60643" ht="12" customHeight="1"/>
    <row r="60644" ht="12" customHeight="1"/>
    <row r="60645" ht="12" customHeight="1"/>
    <row r="60646" ht="12" customHeight="1"/>
    <row r="60647" ht="12" customHeight="1"/>
    <row r="60648" ht="12" customHeight="1"/>
    <row r="60649" ht="12" customHeight="1"/>
    <row r="60650" ht="12" customHeight="1"/>
    <row r="60651" ht="12" customHeight="1"/>
    <row r="60652" ht="12" customHeight="1"/>
    <row r="60653" ht="12" customHeight="1"/>
    <row r="60654" ht="12" customHeight="1"/>
    <row r="60655" ht="12" customHeight="1"/>
    <row r="60656" ht="12" customHeight="1"/>
    <row r="60657" ht="12" customHeight="1"/>
    <row r="60658" ht="12" customHeight="1"/>
    <row r="60659" ht="12" customHeight="1"/>
    <row r="60660" ht="12" customHeight="1"/>
    <row r="60661" ht="12" customHeight="1"/>
    <row r="60662" ht="12" customHeight="1"/>
    <row r="60663" ht="12" customHeight="1"/>
    <row r="60664" ht="12" customHeight="1"/>
    <row r="60665" ht="12" customHeight="1"/>
    <row r="60666" ht="12" customHeight="1"/>
    <row r="60667" ht="12" customHeight="1"/>
    <row r="60668" ht="12" customHeight="1"/>
    <row r="60669" ht="12" customHeight="1"/>
    <row r="60670" ht="12" customHeight="1"/>
    <row r="60671" ht="12" customHeight="1"/>
    <row r="60672" ht="12" customHeight="1"/>
    <row r="60673" ht="12" customHeight="1"/>
    <row r="60674" ht="12" customHeight="1"/>
    <row r="60675" ht="12" customHeight="1"/>
    <row r="60676" ht="12" customHeight="1"/>
    <row r="60677" ht="12" customHeight="1"/>
    <row r="60678" ht="12" customHeight="1"/>
    <row r="60679" ht="12" customHeight="1"/>
    <row r="60680" ht="12" customHeight="1"/>
    <row r="60681" ht="12" customHeight="1"/>
    <row r="60682" ht="12" customHeight="1"/>
    <row r="60683" ht="12" customHeight="1"/>
    <row r="60684" ht="12" customHeight="1"/>
    <row r="60685" ht="12" customHeight="1"/>
    <row r="60686" ht="12" customHeight="1"/>
    <row r="60687" ht="12" customHeight="1"/>
    <row r="60688" ht="12" customHeight="1"/>
    <row r="60689" ht="12" customHeight="1"/>
    <row r="60690" ht="12" customHeight="1"/>
    <row r="60691" ht="12" customHeight="1"/>
    <row r="60692" ht="12" customHeight="1"/>
    <row r="60693" ht="12" customHeight="1"/>
    <row r="60694" ht="12" customHeight="1"/>
    <row r="60695" ht="12" customHeight="1"/>
    <row r="60696" ht="12" customHeight="1"/>
    <row r="60697" ht="12" customHeight="1"/>
    <row r="60698" ht="12" customHeight="1"/>
    <row r="60699" ht="12" customHeight="1"/>
    <row r="60700" ht="12" customHeight="1"/>
    <row r="60701" ht="12" customHeight="1"/>
    <row r="60702" ht="12" customHeight="1"/>
    <row r="60703" ht="12" customHeight="1"/>
    <row r="60704" ht="12" customHeight="1"/>
    <row r="60705" ht="12" customHeight="1"/>
    <row r="60706" ht="12" customHeight="1"/>
    <row r="60707" ht="12" customHeight="1"/>
    <row r="60708" ht="12" customHeight="1"/>
    <row r="60709" ht="12" customHeight="1"/>
    <row r="60710" ht="12" customHeight="1"/>
    <row r="60711" ht="12" customHeight="1"/>
    <row r="60712" ht="12" customHeight="1"/>
    <row r="60713" ht="12" customHeight="1"/>
    <row r="60714" ht="12" customHeight="1"/>
    <row r="60715" ht="12" customHeight="1"/>
    <row r="60716" ht="12" customHeight="1"/>
    <row r="60717" ht="12" customHeight="1"/>
    <row r="60718" ht="12" customHeight="1"/>
    <row r="60719" ht="12" customHeight="1"/>
    <row r="60720" ht="12" customHeight="1"/>
    <row r="60721" ht="12" customHeight="1"/>
    <row r="60722" ht="12" customHeight="1"/>
    <row r="60723" ht="12" customHeight="1"/>
    <row r="60724" ht="12" customHeight="1"/>
    <row r="60725" ht="12" customHeight="1"/>
    <row r="60726" ht="12" customHeight="1"/>
    <row r="60727" ht="12" customHeight="1"/>
    <row r="60728" ht="12" customHeight="1"/>
    <row r="60729" ht="12" customHeight="1"/>
    <row r="60730" ht="12" customHeight="1"/>
    <row r="60731" ht="12" customHeight="1"/>
    <row r="60732" ht="12" customHeight="1"/>
    <row r="60733" ht="12" customHeight="1"/>
    <row r="60734" ht="12" customHeight="1"/>
    <row r="60735" ht="12" customHeight="1"/>
    <row r="60736" ht="12" customHeight="1"/>
    <row r="60737" ht="12" customHeight="1"/>
    <row r="60738" ht="12" customHeight="1"/>
    <row r="60739" ht="12" customHeight="1"/>
    <row r="60740" ht="12" customHeight="1"/>
    <row r="60741" ht="12" customHeight="1"/>
    <row r="60742" ht="12" customHeight="1"/>
    <row r="60743" ht="12" customHeight="1"/>
    <row r="60744" ht="12" customHeight="1"/>
    <row r="60745" ht="12" customHeight="1"/>
    <row r="60746" ht="12" customHeight="1"/>
    <row r="60747" ht="12" customHeight="1"/>
    <row r="60748" ht="12" customHeight="1"/>
    <row r="60749" ht="12" customHeight="1"/>
    <row r="60750" ht="12" customHeight="1"/>
    <row r="60751" ht="12" customHeight="1"/>
    <row r="60752" ht="12" customHeight="1"/>
    <row r="60753" ht="12" customHeight="1"/>
    <row r="60754" ht="12" customHeight="1"/>
    <row r="60755" ht="12" customHeight="1"/>
    <row r="60756" ht="12" customHeight="1"/>
    <row r="60757" ht="12" customHeight="1"/>
    <row r="60758" ht="12" customHeight="1"/>
    <row r="60759" ht="12" customHeight="1"/>
    <row r="60760" ht="12" customHeight="1"/>
    <row r="60761" ht="12" customHeight="1"/>
    <row r="60762" ht="12" customHeight="1"/>
    <row r="60763" ht="12" customHeight="1"/>
    <row r="60764" ht="12" customHeight="1"/>
    <row r="60765" ht="12" customHeight="1"/>
    <row r="60766" ht="12" customHeight="1"/>
    <row r="60767" ht="12" customHeight="1"/>
    <row r="60768" ht="12" customHeight="1"/>
    <row r="60769" ht="12" customHeight="1"/>
    <row r="60770" ht="12" customHeight="1"/>
    <row r="60771" ht="12" customHeight="1"/>
    <row r="60772" ht="12" customHeight="1"/>
    <row r="60773" ht="12" customHeight="1"/>
    <row r="60774" ht="12" customHeight="1"/>
    <row r="60775" ht="12" customHeight="1"/>
    <row r="60776" ht="12" customHeight="1"/>
    <row r="60777" ht="12" customHeight="1"/>
    <row r="60778" ht="12" customHeight="1"/>
    <row r="60779" ht="12" customHeight="1"/>
    <row r="60780" ht="12" customHeight="1"/>
    <row r="60781" ht="12" customHeight="1"/>
    <row r="60782" ht="12" customHeight="1"/>
    <row r="60783" ht="12" customHeight="1"/>
    <row r="60784" ht="12" customHeight="1"/>
    <row r="60785" ht="12" customHeight="1"/>
    <row r="60786" ht="12" customHeight="1"/>
    <row r="60787" ht="12" customHeight="1"/>
    <row r="60788" ht="12" customHeight="1"/>
    <row r="60789" ht="12" customHeight="1"/>
    <row r="60790" ht="12" customHeight="1"/>
    <row r="60791" ht="12" customHeight="1"/>
    <row r="60792" ht="12" customHeight="1"/>
    <row r="60793" ht="12" customHeight="1"/>
    <row r="60794" ht="12" customHeight="1"/>
    <row r="60795" ht="12" customHeight="1"/>
    <row r="60796" ht="12" customHeight="1"/>
    <row r="60797" ht="12" customHeight="1"/>
    <row r="60798" ht="12" customHeight="1"/>
    <row r="60799" ht="12" customHeight="1"/>
    <row r="60800" ht="12" customHeight="1"/>
    <row r="60801" ht="12" customHeight="1"/>
    <row r="60802" ht="12" customHeight="1"/>
    <row r="60803" ht="12" customHeight="1"/>
    <row r="60804" ht="12" customHeight="1"/>
    <row r="60805" ht="12" customHeight="1"/>
    <row r="60806" ht="12" customHeight="1"/>
    <row r="60807" ht="12" customHeight="1"/>
    <row r="60808" ht="12" customHeight="1"/>
    <row r="60809" ht="12" customHeight="1"/>
    <row r="60810" ht="12" customHeight="1"/>
    <row r="60811" ht="12" customHeight="1"/>
    <row r="60812" ht="12" customHeight="1"/>
    <row r="60813" ht="12" customHeight="1"/>
    <row r="60814" ht="12" customHeight="1"/>
    <row r="60815" ht="12" customHeight="1"/>
    <row r="60816" ht="12" customHeight="1"/>
    <row r="60817" ht="12" customHeight="1"/>
    <row r="60818" ht="12" customHeight="1"/>
    <row r="60819" ht="12" customHeight="1"/>
    <row r="60820" ht="12" customHeight="1"/>
    <row r="60821" ht="12" customHeight="1"/>
    <row r="60822" ht="12" customHeight="1"/>
    <row r="60823" ht="12" customHeight="1"/>
    <row r="60824" ht="12" customHeight="1"/>
    <row r="60825" ht="12" customHeight="1"/>
    <row r="60826" ht="12" customHeight="1"/>
    <row r="60827" ht="12" customHeight="1"/>
    <row r="60828" ht="12" customHeight="1"/>
    <row r="60829" ht="12" customHeight="1"/>
    <row r="60830" ht="12" customHeight="1"/>
    <row r="60831" ht="12" customHeight="1"/>
    <row r="60832" ht="12" customHeight="1"/>
    <row r="60833" ht="12" customHeight="1"/>
    <row r="60834" ht="12" customHeight="1"/>
    <row r="60835" ht="12" customHeight="1"/>
    <row r="60836" ht="12" customHeight="1"/>
    <row r="60837" ht="12" customHeight="1"/>
    <row r="60838" ht="12" customHeight="1"/>
    <row r="60839" ht="12" customHeight="1"/>
    <row r="60840" ht="12" customHeight="1"/>
    <row r="60841" ht="12" customHeight="1"/>
    <row r="60842" ht="12" customHeight="1"/>
    <row r="60843" ht="12" customHeight="1"/>
    <row r="60844" ht="12" customHeight="1"/>
    <row r="60845" ht="12" customHeight="1"/>
    <row r="60846" ht="12" customHeight="1"/>
    <row r="60847" ht="12" customHeight="1"/>
    <row r="60848" ht="12" customHeight="1"/>
    <row r="60849" ht="12" customHeight="1"/>
    <row r="60850" ht="12" customHeight="1"/>
    <row r="60851" ht="12" customHeight="1"/>
    <row r="60852" ht="12" customHeight="1"/>
    <row r="60853" ht="12" customHeight="1"/>
    <row r="60854" ht="12" customHeight="1"/>
    <row r="60855" ht="12" customHeight="1"/>
    <row r="60856" ht="12" customHeight="1"/>
    <row r="60857" ht="12" customHeight="1"/>
    <row r="60858" ht="12" customHeight="1"/>
    <row r="60859" ht="12" customHeight="1"/>
    <row r="60860" ht="12" customHeight="1"/>
    <row r="60861" ht="12" customHeight="1"/>
    <row r="60862" ht="12" customHeight="1"/>
    <row r="60863" ht="12" customHeight="1"/>
    <row r="60864" ht="12" customHeight="1"/>
    <row r="60865" ht="12" customHeight="1"/>
    <row r="60866" ht="12" customHeight="1"/>
    <row r="60867" ht="12" customHeight="1"/>
    <row r="60868" ht="12" customHeight="1"/>
    <row r="60869" ht="12" customHeight="1"/>
    <row r="60870" ht="12" customHeight="1"/>
    <row r="60871" ht="12" customHeight="1"/>
    <row r="60872" ht="12" customHeight="1"/>
    <row r="60873" ht="12" customHeight="1"/>
    <row r="60874" ht="12" customHeight="1"/>
    <row r="60875" ht="12" customHeight="1"/>
    <row r="60876" ht="12" customHeight="1"/>
    <row r="60877" ht="12" customHeight="1"/>
    <row r="60878" ht="12" customHeight="1"/>
    <row r="60879" ht="12" customHeight="1"/>
    <row r="60880" ht="12" customHeight="1"/>
    <row r="60881" ht="12" customHeight="1"/>
    <row r="60882" ht="12" customHeight="1"/>
    <row r="60883" ht="12" customHeight="1"/>
    <row r="60884" ht="12" customHeight="1"/>
    <row r="60885" ht="12" customHeight="1"/>
    <row r="60886" ht="12" customHeight="1"/>
    <row r="60887" ht="12" customHeight="1"/>
    <row r="60888" ht="12" customHeight="1"/>
    <row r="60889" ht="12" customHeight="1"/>
    <row r="60890" ht="12" customHeight="1"/>
    <row r="60891" ht="12" customHeight="1"/>
    <row r="60892" ht="12" customHeight="1"/>
    <row r="60893" ht="12" customHeight="1"/>
    <row r="60894" ht="12" customHeight="1"/>
    <row r="60895" ht="12" customHeight="1"/>
    <row r="60896" ht="12" customHeight="1"/>
    <row r="60897" ht="12" customHeight="1"/>
    <row r="60898" ht="12" customHeight="1"/>
    <row r="60899" ht="12" customHeight="1"/>
    <row r="60900" ht="12" customHeight="1"/>
    <row r="60901" ht="12" customHeight="1"/>
    <row r="60902" ht="12" customHeight="1"/>
    <row r="60903" ht="12" customHeight="1"/>
    <row r="60904" ht="12" customHeight="1"/>
    <row r="60905" ht="12" customHeight="1"/>
    <row r="60906" ht="12" customHeight="1"/>
    <row r="60907" ht="12" customHeight="1"/>
    <row r="60908" ht="12" customHeight="1"/>
    <row r="60909" ht="12" customHeight="1"/>
    <row r="60910" ht="12" customHeight="1"/>
    <row r="60911" ht="12" customHeight="1"/>
    <row r="60912" ht="12" customHeight="1"/>
    <row r="60913" ht="12" customHeight="1"/>
    <row r="60914" ht="12" customHeight="1"/>
    <row r="60915" ht="12" customHeight="1"/>
    <row r="60916" ht="12" customHeight="1"/>
    <row r="60917" ht="12" customHeight="1"/>
    <row r="60918" ht="12" customHeight="1"/>
    <row r="60919" ht="12" customHeight="1"/>
    <row r="60920" ht="12" customHeight="1"/>
    <row r="60921" ht="12" customHeight="1"/>
    <row r="60922" ht="12" customHeight="1"/>
    <row r="60923" ht="12" customHeight="1"/>
    <row r="60924" ht="12" customHeight="1"/>
    <row r="60925" ht="12" customHeight="1"/>
    <row r="60926" ht="12" customHeight="1"/>
    <row r="60927" ht="12" customHeight="1"/>
    <row r="60928" ht="12" customHeight="1"/>
    <row r="60929" ht="12" customHeight="1"/>
    <row r="60930" ht="12" customHeight="1"/>
    <row r="60931" ht="12" customHeight="1"/>
    <row r="60932" ht="12" customHeight="1"/>
    <row r="60933" ht="12" customHeight="1"/>
    <row r="60934" ht="12" customHeight="1"/>
    <row r="60935" ht="12" customHeight="1"/>
    <row r="60936" ht="12" customHeight="1"/>
    <row r="60937" ht="12" customHeight="1"/>
    <row r="60938" ht="12" customHeight="1"/>
    <row r="60939" ht="12" customHeight="1"/>
    <row r="60940" ht="12" customHeight="1"/>
    <row r="60941" ht="12" customHeight="1"/>
    <row r="60942" ht="12" customHeight="1"/>
    <row r="60943" ht="12" customHeight="1"/>
    <row r="60944" ht="12" customHeight="1"/>
    <row r="60945" ht="12" customHeight="1"/>
    <row r="60946" ht="12" customHeight="1"/>
    <row r="60947" ht="12" customHeight="1"/>
    <row r="60948" ht="12" customHeight="1"/>
    <row r="60949" ht="12" customHeight="1"/>
    <row r="60950" ht="12" customHeight="1"/>
    <row r="60951" ht="12" customHeight="1"/>
    <row r="60952" ht="12" customHeight="1"/>
    <row r="60953" ht="12" customHeight="1"/>
    <row r="60954" ht="12" customHeight="1"/>
    <row r="60955" ht="12" customHeight="1"/>
    <row r="60956" ht="12" customHeight="1"/>
    <row r="60957" ht="12" customHeight="1"/>
    <row r="60958" ht="12" customHeight="1"/>
    <row r="60959" ht="12" customHeight="1"/>
    <row r="60960" ht="12" customHeight="1"/>
    <row r="60961" ht="12" customHeight="1"/>
    <row r="60962" ht="12" customHeight="1"/>
    <row r="60963" ht="12" customHeight="1"/>
    <row r="60964" ht="12" customHeight="1"/>
    <row r="60965" ht="12" customHeight="1"/>
    <row r="60966" ht="12" customHeight="1"/>
    <row r="60967" ht="12" customHeight="1"/>
    <row r="60968" ht="12" customHeight="1"/>
    <row r="60969" ht="12" customHeight="1"/>
    <row r="60970" ht="12" customHeight="1"/>
    <row r="60971" ht="12" customHeight="1"/>
    <row r="60972" ht="12" customHeight="1"/>
    <row r="60973" ht="12" customHeight="1"/>
    <row r="60974" ht="12" customHeight="1"/>
    <row r="60975" ht="12" customHeight="1"/>
    <row r="60976" ht="12" customHeight="1"/>
    <row r="60977" ht="12" customHeight="1"/>
    <row r="60978" ht="12" customHeight="1"/>
    <row r="60979" ht="12" customHeight="1"/>
    <row r="60980" ht="12" customHeight="1"/>
    <row r="60981" ht="12" customHeight="1"/>
    <row r="60982" ht="12" customHeight="1"/>
    <row r="60983" ht="12" customHeight="1"/>
    <row r="60984" ht="12" customHeight="1"/>
    <row r="60985" ht="12" customHeight="1"/>
    <row r="60986" ht="12" customHeight="1"/>
    <row r="60987" ht="12" customHeight="1"/>
    <row r="60988" ht="12" customHeight="1"/>
    <row r="60989" ht="12" customHeight="1"/>
    <row r="60990" ht="12" customHeight="1"/>
    <row r="60991" ht="12" customHeight="1"/>
    <row r="60992" ht="12" customHeight="1"/>
    <row r="60993" ht="12" customHeight="1"/>
    <row r="60994" ht="12" customHeight="1"/>
    <row r="60995" ht="12" customHeight="1"/>
    <row r="60996" ht="12" customHeight="1"/>
    <row r="60997" ht="12" customHeight="1"/>
    <row r="60998" ht="12" customHeight="1"/>
    <row r="60999" ht="12" customHeight="1"/>
    <row r="61000" ht="12" customHeight="1"/>
    <row r="61001" ht="12" customHeight="1"/>
    <row r="61002" ht="12" customHeight="1"/>
    <row r="61003" ht="12" customHeight="1"/>
    <row r="61004" ht="12" customHeight="1"/>
    <row r="61005" ht="12" customHeight="1"/>
    <row r="61006" ht="12" customHeight="1"/>
    <row r="61007" ht="12" customHeight="1"/>
    <row r="61008" ht="12" customHeight="1"/>
    <row r="61009" ht="12" customHeight="1"/>
    <row r="61010" ht="12" customHeight="1"/>
    <row r="61011" ht="12" customHeight="1"/>
    <row r="61012" ht="12" customHeight="1"/>
    <row r="61013" ht="12" customHeight="1"/>
    <row r="61014" ht="12" customHeight="1"/>
    <row r="61015" ht="12" customHeight="1"/>
    <row r="61016" ht="12" customHeight="1"/>
    <row r="61017" ht="12" customHeight="1"/>
    <row r="61018" ht="12" customHeight="1"/>
    <row r="61019" ht="12" customHeight="1"/>
    <row r="61020" ht="12" customHeight="1"/>
    <row r="61021" ht="12" customHeight="1"/>
    <row r="61022" ht="12" customHeight="1"/>
    <row r="61023" ht="12" customHeight="1"/>
    <row r="61024" ht="12" customHeight="1"/>
    <row r="61025" ht="12" customHeight="1"/>
    <row r="61026" ht="12" customHeight="1"/>
    <row r="61027" ht="12" customHeight="1"/>
    <row r="61028" ht="12" customHeight="1"/>
    <row r="61029" ht="12" customHeight="1"/>
    <row r="61030" ht="12" customHeight="1"/>
    <row r="61031" ht="12" customHeight="1"/>
    <row r="61032" ht="12" customHeight="1"/>
    <row r="61033" ht="12" customHeight="1"/>
    <row r="61034" ht="12" customHeight="1"/>
    <row r="61035" ht="12" customHeight="1"/>
    <row r="61036" ht="12" customHeight="1"/>
    <row r="61037" ht="12" customHeight="1"/>
    <row r="61038" ht="12" customHeight="1"/>
    <row r="61039" ht="12" customHeight="1"/>
    <row r="61040" ht="12" customHeight="1"/>
    <row r="61041" ht="12" customHeight="1"/>
    <row r="61042" ht="12" customHeight="1"/>
    <row r="61043" ht="12" customHeight="1"/>
    <row r="61044" ht="12" customHeight="1"/>
    <row r="61045" ht="12" customHeight="1"/>
    <row r="61046" ht="12" customHeight="1"/>
    <row r="61047" ht="12" customHeight="1"/>
    <row r="61048" ht="12" customHeight="1"/>
    <row r="61049" ht="12" customHeight="1"/>
    <row r="61050" ht="12" customHeight="1"/>
    <row r="61051" ht="12" customHeight="1"/>
    <row r="61052" ht="12" customHeight="1"/>
    <row r="61053" ht="12" customHeight="1"/>
    <row r="61054" ht="12" customHeight="1"/>
    <row r="61055" ht="12" customHeight="1"/>
    <row r="61056" ht="12" customHeight="1"/>
    <row r="61057" ht="12" customHeight="1"/>
    <row r="61058" ht="12" customHeight="1"/>
    <row r="61059" ht="12" customHeight="1"/>
    <row r="61060" ht="12" customHeight="1"/>
    <row r="61061" ht="12" customHeight="1"/>
    <row r="61062" ht="12" customHeight="1"/>
    <row r="61063" ht="12" customHeight="1"/>
    <row r="61064" ht="12" customHeight="1"/>
    <row r="61065" ht="12" customHeight="1"/>
    <row r="61066" ht="12" customHeight="1"/>
    <row r="61067" ht="12" customHeight="1"/>
    <row r="61068" ht="12" customHeight="1"/>
    <row r="61069" ht="12" customHeight="1"/>
    <row r="61070" ht="12" customHeight="1"/>
    <row r="61071" ht="12" customHeight="1"/>
    <row r="61072" ht="12" customHeight="1"/>
    <row r="61073" ht="12" customHeight="1"/>
    <row r="61074" ht="12" customHeight="1"/>
    <row r="61075" ht="12" customHeight="1"/>
    <row r="61076" ht="12" customHeight="1"/>
    <row r="61077" ht="12" customHeight="1"/>
    <row r="61078" ht="12" customHeight="1"/>
    <row r="61079" ht="12" customHeight="1"/>
    <row r="61080" ht="12" customHeight="1"/>
    <row r="61081" ht="12" customHeight="1"/>
    <row r="61082" ht="12" customHeight="1"/>
    <row r="61083" ht="12" customHeight="1"/>
    <row r="61084" ht="12" customHeight="1"/>
    <row r="61085" ht="12" customHeight="1"/>
    <row r="61086" ht="12" customHeight="1"/>
    <row r="61087" ht="12" customHeight="1"/>
    <row r="61088" ht="12" customHeight="1"/>
    <row r="61089" ht="12" customHeight="1"/>
    <row r="61090" ht="12" customHeight="1"/>
    <row r="61091" ht="12" customHeight="1"/>
    <row r="61092" ht="12" customHeight="1"/>
    <row r="61093" ht="12" customHeight="1"/>
    <row r="61094" ht="12" customHeight="1"/>
    <row r="61095" ht="12" customHeight="1"/>
    <row r="61096" ht="12" customHeight="1"/>
    <row r="61097" ht="12" customHeight="1"/>
    <row r="61098" ht="12" customHeight="1"/>
    <row r="61099" ht="12" customHeight="1"/>
    <row r="61100" ht="12" customHeight="1"/>
    <row r="61101" ht="12" customHeight="1"/>
    <row r="61102" ht="12" customHeight="1"/>
    <row r="61103" ht="12" customHeight="1"/>
    <row r="61104" ht="12" customHeight="1"/>
    <row r="61105" ht="12" customHeight="1"/>
    <row r="61106" ht="12" customHeight="1"/>
    <row r="61107" ht="12" customHeight="1"/>
    <row r="61108" ht="12" customHeight="1"/>
    <row r="61109" ht="12" customHeight="1"/>
    <row r="61110" ht="12" customHeight="1"/>
    <row r="61111" ht="12" customHeight="1"/>
    <row r="61112" ht="12" customHeight="1"/>
    <row r="61113" ht="12" customHeight="1"/>
    <row r="61114" ht="12" customHeight="1"/>
    <row r="61115" ht="12" customHeight="1"/>
    <row r="61116" ht="12" customHeight="1"/>
    <row r="61117" ht="12" customHeight="1"/>
    <row r="61118" ht="12" customHeight="1"/>
    <row r="61119" ht="12" customHeight="1"/>
    <row r="61120" ht="12" customHeight="1"/>
    <row r="61121" ht="12" customHeight="1"/>
    <row r="61122" ht="12" customHeight="1"/>
    <row r="61123" ht="12" customHeight="1"/>
    <row r="61124" ht="12" customHeight="1"/>
    <row r="61125" ht="12" customHeight="1"/>
    <row r="61126" ht="12" customHeight="1"/>
    <row r="61127" ht="12" customHeight="1"/>
    <row r="61128" ht="12" customHeight="1"/>
    <row r="61129" ht="12" customHeight="1"/>
    <row r="61130" ht="12" customHeight="1"/>
    <row r="61131" ht="12" customHeight="1"/>
    <row r="61132" ht="12" customHeight="1"/>
    <row r="61133" ht="12" customHeight="1"/>
    <row r="61134" ht="12" customHeight="1"/>
    <row r="61135" ht="12" customHeight="1"/>
    <row r="61136" ht="12" customHeight="1"/>
    <row r="61137" ht="12" customHeight="1"/>
    <row r="61138" ht="12" customHeight="1"/>
    <row r="61139" ht="12" customHeight="1"/>
    <row r="61140" ht="12" customHeight="1"/>
    <row r="61141" ht="12" customHeight="1"/>
    <row r="61142" ht="12" customHeight="1"/>
    <row r="61143" ht="12" customHeight="1"/>
    <row r="61144" ht="12" customHeight="1"/>
    <row r="61145" ht="12" customHeight="1"/>
    <row r="61146" ht="12" customHeight="1"/>
    <row r="61147" ht="12" customHeight="1"/>
    <row r="61148" ht="12" customHeight="1"/>
    <row r="61149" ht="12" customHeight="1"/>
    <row r="61150" ht="12" customHeight="1"/>
    <row r="61151" ht="12" customHeight="1"/>
    <row r="61152" ht="12" customHeight="1"/>
    <row r="61153" ht="12" customHeight="1"/>
    <row r="61154" ht="12" customHeight="1"/>
    <row r="61155" ht="12" customHeight="1"/>
    <row r="61156" ht="12" customHeight="1"/>
    <row r="61157" ht="12" customHeight="1"/>
    <row r="61158" ht="12" customHeight="1"/>
    <row r="61159" ht="12" customHeight="1"/>
    <row r="61160" ht="12" customHeight="1"/>
    <row r="61161" ht="12" customHeight="1"/>
    <row r="61162" ht="12" customHeight="1"/>
    <row r="61163" ht="12" customHeight="1"/>
    <row r="61164" ht="12" customHeight="1"/>
    <row r="61165" ht="12" customHeight="1"/>
    <row r="61166" ht="12" customHeight="1"/>
    <row r="61167" ht="12" customHeight="1"/>
    <row r="61168" ht="12" customHeight="1"/>
    <row r="61169" ht="12" customHeight="1"/>
    <row r="61170" ht="12" customHeight="1"/>
    <row r="61171" ht="12" customHeight="1"/>
    <row r="61172" ht="12" customHeight="1"/>
    <row r="61173" ht="12" customHeight="1"/>
    <row r="61174" ht="12" customHeight="1"/>
    <row r="61175" ht="12" customHeight="1"/>
    <row r="61176" ht="12" customHeight="1"/>
    <row r="61177" ht="12" customHeight="1"/>
    <row r="61178" ht="12" customHeight="1"/>
    <row r="61179" ht="12" customHeight="1"/>
    <row r="61180" ht="12" customHeight="1"/>
    <row r="61181" ht="12" customHeight="1"/>
    <row r="61182" ht="12" customHeight="1"/>
    <row r="61183" ht="12" customHeight="1"/>
    <row r="61184" ht="12" customHeight="1"/>
    <row r="61185" ht="12" customHeight="1"/>
    <row r="61186" ht="12" customHeight="1"/>
    <row r="61187" ht="12" customHeight="1"/>
    <row r="61188" ht="12" customHeight="1"/>
    <row r="61189" ht="12" customHeight="1"/>
    <row r="61190" ht="12" customHeight="1"/>
    <row r="61191" ht="12" customHeight="1"/>
    <row r="61192" ht="12" customHeight="1"/>
    <row r="61193" ht="12" customHeight="1"/>
    <row r="61194" ht="12" customHeight="1"/>
    <row r="61195" ht="12" customHeight="1"/>
    <row r="61196" ht="12" customHeight="1"/>
    <row r="61197" ht="12" customHeight="1"/>
    <row r="61198" ht="12" customHeight="1"/>
    <row r="61199" ht="12" customHeight="1"/>
    <row r="61200" ht="12" customHeight="1"/>
    <row r="61201" ht="12" customHeight="1"/>
    <row r="61202" ht="12" customHeight="1"/>
    <row r="61203" ht="12" customHeight="1"/>
    <row r="61204" ht="12" customHeight="1"/>
    <row r="61205" ht="12" customHeight="1"/>
    <row r="61206" ht="12" customHeight="1"/>
    <row r="61207" ht="12" customHeight="1"/>
    <row r="61208" ht="12" customHeight="1"/>
    <row r="61209" ht="12" customHeight="1"/>
    <row r="61210" ht="12" customHeight="1"/>
    <row r="61211" ht="12" customHeight="1"/>
    <row r="61212" ht="12" customHeight="1"/>
    <row r="61213" ht="12" customHeight="1"/>
    <row r="61214" ht="12" customHeight="1"/>
    <row r="61215" ht="12" customHeight="1"/>
    <row r="61216" ht="12" customHeight="1"/>
    <row r="61217" ht="12" customHeight="1"/>
    <row r="61218" ht="12" customHeight="1"/>
    <row r="61219" ht="12" customHeight="1"/>
    <row r="61220" ht="12" customHeight="1"/>
    <row r="61221" ht="12" customHeight="1"/>
    <row r="61222" ht="12" customHeight="1"/>
    <row r="61223" ht="12" customHeight="1"/>
    <row r="61224" ht="12" customHeight="1"/>
    <row r="61225" ht="12" customHeight="1"/>
    <row r="61226" ht="12" customHeight="1"/>
    <row r="61227" ht="12" customHeight="1"/>
    <row r="61228" ht="12" customHeight="1"/>
    <row r="61229" ht="12" customHeight="1"/>
    <row r="61230" ht="12" customHeight="1"/>
    <row r="61231" ht="12" customHeight="1"/>
    <row r="61232" ht="12" customHeight="1"/>
    <row r="61233" ht="12" customHeight="1"/>
    <row r="61234" ht="12" customHeight="1"/>
    <row r="61235" ht="12" customHeight="1"/>
    <row r="61236" ht="12" customHeight="1"/>
    <row r="61237" ht="12" customHeight="1"/>
    <row r="61238" ht="12" customHeight="1"/>
    <row r="61239" ht="12" customHeight="1"/>
    <row r="61240" ht="12" customHeight="1"/>
    <row r="61241" ht="12" customHeight="1"/>
    <row r="61242" ht="12" customHeight="1"/>
    <row r="61243" ht="12" customHeight="1"/>
    <row r="61244" ht="12" customHeight="1"/>
    <row r="61245" ht="12" customHeight="1"/>
    <row r="61246" ht="12" customHeight="1"/>
    <row r="61247" ht="12" customHeight="1"/>
    <row r="61248" ht="12" customHeight="1"/>
    <row r="61249" ht="12" customHeight="1"/>
    <row r="61250" ht="12" customHeight="1"/>
    <row r="61251" ht="12" customHeight="1"/>
    <row r="61252" ht="12" customHeight="1"/>
    <row r="61253" ht="12" customHeight="1"/>
    <row r="61254" ht="12" customHeight="1"/>
    <row r="61255" ht="12" customHeight="1"/>
    <row r="61256" ht="12" customHeight="1"/>
    <row r="61257" ht="12" customHeight="1"/>
    <row r="61258" ht="12" customHeight="1"/>
    <row r="61259" ht="12" customHeight="1"/>
    <row r="61260" ht="12" customHeight="1"/>
    <row r="61261" ht="12" customHeight="1"/>
    <row r="61262" ht="12" customHeight="1"/>
    <row r="61263" ht="12" customHeight="1"/>
    <row r="61264" ht="12" customHeight="1"/>
    <row r="61265" ht="12" customHeight="1"/>
    <row r="61266" ht="12" customHeight="1"/>
    <row r="61267" ht="12" customHeight="1"/>
    <row r="61268" ht="12" customHeight="1"/>
    <row r="61269" ht="12" customHeight="1"/>
    <row r="61270" ht="12" customHeight="1"/>
    <row r="61271" ht="12" customHeight="1"/>
    <row r="61272" ht="12" customHeight="1"/>
    <row r="61273" ht="12" customHeight="1"/>
    <row r="61274" ht="12" customHeight="1"/>
    <row r="61275" ht="12" customHeight="1"/>
    <row r="61276" ht="12" customHeight="1"/>
    <row r="61277" ht="12" customHeight="1"/>
    <row r="61278" ht="12" customHeight="1"/>
    <row r="61279" ht="12" customHeight="1"/>
    <row r="61280" ht="12" customHeight="1"/>
    <row r="61281" ht="12" customHeight="1"/>
    <row r="61282" ht="12" customHeight="1"/>
    <row r="61283" ht="12" customHeight="1"/>
    <row r="61284" ht="12" customHeight="1"/>
    <row r="61285" ht="12" customHeight="1"/>
    <row r="61286" ht="12" customHeight="1"/>
    <row r="61287" ht="12" customHeight="1"/>
    <row r="61288" ht="12" customHeight="1"/>
    <row r="61289" ht="12" customHeight="1"/>
    <row r="61290" ht="12" customHeight="1"/>
    <row r="61291" ht="12" customHeight="1"/>
    <row r="61292" ht="12" customHeight="1"/>
    <row r="61293" ht="12" customHeight="1"/>
    <row r="61294" ht="12" customHeight="1"/>
    <row r="61295" ht="12" customHeight="1"/>
    <row r="61296" ht="12" customHeight="1"/>
    <row r="61297" ht="12" customHeight="1"/>
    <row r="61298" ht="12" customHeight="1"/>
    <row r="61299" ht="12" customHeight="1"/>
    <row r="61300" ht="12" customHeight="1"/>
    <row r="61301" ht="12" customHeight="1"/>
    <row r="61302" ht="12" customHeight="1"/>
    <row r="61303" ht="12" customHeight="1"/>
    <row r="61304" ht="12" customHeight="1"/>
    <row r="61305" ht="12" customHeight="1"/>
    <row r="61306" ht="12" customHeight="1"/>
    <row r="61307" ht="12" customHeight="1"/>
    <row r="61308" ht="12" customHeight="1"/>
    <row r="61309" ht="12" customHeight="1"/>
    <row r="61310" ht="12" customHeight="1"/>
    <row r="61311" ht="12" customHeight="1"/>
    <row r="61312" ht="12" customHeight="1"/>
    <row r="61313" ht="12" customHeight="1"/>
    <row r="61314" ht="12" customHeight="1"/>
    <row r="61315" ht="12" customHeight="1"/>
    <row r="61316" ht="12" customHeight="1"/>
    <row r="61317" ht="12" customHeight="1"/>
    <row r="61318" ht="12" customHeight="1"/>
    <row r="61319" ht="12" customHeight="1"/>
    <row r="61320" ht="12" customHeight="1"/>
    <row r="61321" ht="12" customHeight="1"/>
    <row r="61322" ht="12" customHeight="1"/>
    <row r="61323" ht="12" customHeight="1"/>
    <row r="61324" ht="12" customHeight="1"/>
    <row r="61325" ht="12" customHeight="1"/>
    <row r="61326" ht="12" customHeight="1"/>
    <row r="61327" ht="12" customHeight="1"/>
    <row r="61328" ht="12" customHeight="1"/>
    <row r="61329" ht="12" customHeight="1"/>
    <row r="61330" ht="12" customHeight="1"/>
    <row r="61331" ht="12" customHeight="1"/>
    <row r="61332" ht="12" customHeight="1"/>
    <row r="61333" ht="12" customHeight="1"/>
    <row r="61334" ht="12" customHeight="1"/>
    <row r="61335" ht="12" customHeight="1"/>
    <row r="61336" ht="12" customHeight="1"/>
    <row r="61337" ht="12" customHeight="1"/>
    <row r="61338" ht="12" customHeight="1"/>
    <row r="61339" ht="12" customHeight="1"/>
    <row r="61340" ht="12" customHeight="1"/>
    <row r="61341" ht="12" customHeight="1"/>
    <row r="61342" ht="12" customHeight="1"/>
    <row r="61343" ht="12" customHeight="1"/>
    <row r="61344" ht="12" customHeight="1"/>
    <row r="61345" ht="12" customHeight="1"/>
    <row r="61346" ht="12" customHeight="1"/>
    <row r="61347" ht="12" customHeight="1"/>
    <row r="61348" ht="12" customHeight="1"/>
    <row r="61349" ht="12" customHeight="1"/>
    <row r="61350" ht="12" customHeight="1"/>
    <row r="61351" ht="12" customHeight="1"/>
    <row r="61352" ht="12" customHeight="1"/>
    <row r="61353" ht="12" customHeight="1"/>
    <row r="61354" ht="12" customHeight="1"/>
    <row r="61355" ht="12" customHeight="1"/>
    <row r="61356" ht="12" customHeight="1"/>
    <row r="61357" ht="12" customHeight="1"/>
    <row r="61358" ht="12" customHeight="1"/>
    <row r="61359" ht="12" customHeight="1"/>
    <row r="61360" ht="12" customHeight="1"/>
    <row r="61361" ht="12" customHeight="1"/>
    <row r="61362" ht="12" customHeight="1"/>
    <row r="61363" ht="12" customHeight="1"/>
    <row r="61364" ht="12" customHeight="1"/>
    <row r="61365" ht="12" customHeight="1"/>
    <row r="61366" ht="12" customHeight="1"/>
    <row r="61367" ht="12" customHeight="1"/>
    <row r="61368" ht="12" customHeight="1"/>
    <row r="61369" ht="12" customHeight="1"/>
    <row r="61370" ht="12" customHeight="1"/>
    <row r="61371" ht="12" customHeight="1"/>
    <row r="61372" ht="12" customHeight="1"/>
    <row r="61373" ht="12" customHeight="1"/>
    <row r="61374" ht="12" customHeight="1"/>
    <row r="61375" ht="12" customHeight="1"/>
    <row r="61376" ht="12" customHeight="1"/>
    <row r="61377" ht="12" customHeight="1"/>
    <row r="61378" ht="12" customHeight="1"/>
    <row r="61379" ht="12" customHeight="1"/>
    <row r="61380" ht="12" customHeight="1"/>
    <row r="61381" ht="12" customHeight="1"/>
    <row r="61382" ht="12" customHeight="1"/>
    <row r="61383" ht="12" customHeight="1"/>
    <row r="61384" ht="12" customHeight="1"/>
    <row r="61385" ht="12" customHeight="1"/>
    <row r="61386" ht="12" customHeight="1"/>
    <row r="61387" ht="12" customHeight="1"/>
    <row r="61388" ht="12" customHeight="1"/>
    <row r="61389" ht="12" customHeight="1"/>
    <row r="61390" ht="12" customHeight="1"/>
    <row r="61391" ht="12" customHeight="1"/>
    <row r="61392" ht="12" customHeight="1"/>
    <row r="61393" ht="12" customHeight="1"/>
    <row r="61394" ht="12" customHeight="1"/>
    <row r="61395" ht="12" customHeight="1"/>
    <row r="61396" ht="12" customHeight="1"/>
    <row r="61397" ht="12" customHeight="1"/>
    <row r="61398" ht="12" customHeight="1"/>
    <row r="61399" ht="12" customHeight="1"/>
    <row r="61400" ht="12" customHeight="1"/>
    <row r="61401" ht="12" customHeight="1"/>
    <row r="61402" ht="12" customHeight="1"/>
    <row r="61403" ht="12" customHeight="1"/>
    <row r="61404" ht="12" customHeight="1"/>
    <row r="61405" ht="12" customHeight="1"/>
    <row r="61406" ht="12" customHeight="1"/>
    <row r="61407" ht="12" customHeight="1"/>
    <row r="61408" ht="12" customHeight="1"/>
    <row r="61409" ht="12" customHeight="1"/>
    <row r="61410" ht="12" customHeight="1"/>
    <row r="61411" ht="12" customHeight="1"/>
    <row r="61412" ht="12" customHeight="1"/>
    <row r="61413" ht="12" customHeight="1"/>
    <row r="61414" ht="12" customHeight="1"/>
    <row r="61415" ht="12" customHeight="1"/>
    <row r="61416" ht="12" customHeight="1"/>
    <row r="61417" ht="12" customHeight="1"/>
    <row r="61418" ht="12" customHeight="1"/>
    <row r="61419" ht="12" customHeight="1"/>
    <row r="61420" ht="12" customHeight="1"/>
    <row r="61421" ht="12" customHeight="1"/>
    <row r="61422" ht="12" customHeight="1"/>
    <row r="61423" ht="12" customHeight="1"/>
    <row r="61424" ht="12" customHeight="1"/>
    <row r="61425" ht="12" customHeight="1"/>
    <row r="61426" ht="12" customHeight="1"/>
    <row r="61427" ht="12" customHeight="1"/>
    <row r="61428" ht="12" customHeight="1"/>
    <row r="61429" ht="12" customHeight="1"/>
    <row r="61430" ht="12" customHeight="1"/>
    <row r="61431" ht="12" customHeight="1"/>
    <row r="61432" ht="12" customHeight="1"/>
    <row r="61433" ht="12" customHeight="1"/>
    <row r="61434" ht="12" customHeight="1"/>
    <row r="61435" ht="12" customHeight="1"/>
    <row r="61436" ht="12" customHeight="1"/>
    <row r="61437" ht="12" customHeight="1"/>
    <row r="61438" ht="12" customHeight="1"/>
    <row r="61439" ht="12" customHeight="1"/>
    <row r="61440" ht="12" customHeight="1"/>
    <row r="61441" ht="12" customHeight="1"/>
    <row r="61442" ht="12" customHeight="1"/>
    <row r="61443" ht="12" customHeight="1"/>
    <row r="61444" ht="12" customHeight="1"/>
    <row r="61445" ht="12" customHeight="1"/>
    <row r="61446" ht="12" customHeight="1"/>
    <row r="61447" ht="12" customHeight="1"/>
    <row r="61448" ht="12" customHeight="1"/>
    <row r="61449" ht="12" customHeight="1"/>
    <row r="61450" ht="12" customHeight="1"/>
    <row r="61451" ht="12" customHeight="1"/>
    <row r="61452" ht="12" customHeight="1"/>
    <row r="61453" ht="12" customHeight="1"/>
    <row r="61454" ht="12" customHeight="1"/>
    <row r="61455" ht="12" customHeight="1"/>
    <row r="61456" ht="12" customHeight="1"/>
    <row r="61457" ht="12" customHeight="1"/>
    <row r="61458" ht="12" customHeight="1"/>
    <row r="61459" ht="12" customHeight="1"/>
    <row r="61460" ht="12" customHeight="1"/>
    <row r="61461" ht="12" customHeight="1"/>
    <row r="61462" ht="12" customHeight="1"/>
    <row r="61463" ht="12" customHeight="1"/>
    <row r="61464" ht="12" customHeight="1"/>
    <row r="61465" ht="12" customHeight="1"/>
    <row r="61466" ht="12" customHeight="1"/>
    <row r="61467" ht="12" customHeight="1"/>
    <row r="61468" ht="12" customHeight="1"/>
    <row r="61469" ht="12" customHeight="1"/>
    <row r="61470" ht="12" customHeight="1"/>
    <row r="61471" ht="12" customHeight="1"/>
    <row r="61472" ht="12" customHeight="1"/>
    <row r="61473" ht="12" customHeight="1"/>
    <row r="61474" ht="12" customHeight="1"/>
    <row r="61475" ht="12" customHeight="1"/>
    <row r="61476" ht="12" customHeight="1"/>
    <row r="61477" ht="12" customHeight="1"/>
    <row r="61478" ht="12" customHeight="1"/>
    <row r="61479" ht="12" customHeight="1"/>
    <row r="61480" ht="12" customHeight="1"/>
    <row r="61481" ht="12" customHeight="1"/>
    <row r="61482" ht="12" customHeight="1"/>
    <row r="61483" ht="12" customHeight="1"/>
    <row r="61484" ht="12" customHeight="1"/>
    <row r="61485" ht="12" customHeight="1"/>
    <row r="61486" ht="12" customHeight="1"/>
    <row r="61487" ht="12" customHeight="1"/>
    <row r="61488" ht="12" customHeight="1"/>
    <row r="61489" ht="12" customHeight="1"/>
    <row r="61490" ht="12" customHeight="1"/>
    <row r="61491" ht="12" customHeight="1"/>
    <row r="61492" ht="12" customHeight="1"/>
    <row r="61493" ht="12" customHeight="1"/>
    <row r="61494" ht="12" customHeight="1"/>
    <row r="61495" ht="12" customHeight="1"/>
    <row r="61496" ht="12" customHeight="1"/>
    <row r="61497" ht="12" customHeight="1"/>
    <row r="61498" ht="12" customHeight="1"/>
    <row r="61499" ht="12" customHeight="1"/>
    <row r="61500" ht="12" customHeight="1"/>
    <row r="61501" ht="12" customHeight="1"/>
    <row r="61502" ht="12" customHeight="1"/>
    <row r="61503" ht="12" customHeight="1"/>
    <row r="61504" ht="12" customHeight="1"/>
    <row r="61505" ht="12" customHeight="1"/>
    <row r="61506" ht="12" customHeight="1"/>
    <row r="61507" ht="12" customHeight="1"/>
    <row r="61508" ht="12" customHeight="1"/>
    <row r="61509" ht="12" customHeight="1"/>
    <row r="61510" ht="12" customHeight="1"/>
    <row r="61511" ht="12" customHeight="1"/>
    <row r="61512" ht="12" customHeight="1"/>
    <row r="61513" ht="12" customHeight="1"/>
    <row r="61514" ht="12" customHeight="1"/>
    <row r="61515" ht="12" customHeight="1"/>
    <row r="61516" ht="12" customHeight="1"/>
    <row r="61517" ht="12" customHeight="1"/>
    <row r="61518" ht="12" customHeight="1"/>
    <row r="61519" ht="12" customHeight="1"/>
    <row r="61520" ht="12" customHeight="1"/>
    <row r="61521" ht="12" customHeight="1"/>
    <row r="61522" ht="12" customHeight="1"/>
    <row r="61523" ht="12" customHeight="1"/>
    <row r="61524" ht="12" customHeight="1"/>
    <row r="61525" ht="12" customHeight="1"/>
    <row r="61526" ht="12" customHeight="1"/>
    <row r="61527" ht="12" customHeight="1"/>
    <row r="61528" ht="12" customHeight="1"/>
    <row r="61529" ht="12" customHeight="1"/>
    <row r="61530" ht="12" customHeight="1"/>
    <row r="61531" ht="12" customHeight="1"/>
    <row r="61532" ht="12" customHeight="1"/>
    <row r="61533" ht="12" customHeight="1"/>
    <row r="61534" ht="12" customHeight="1"/>
    <row r="61535" ht="12" customHeight="1"/>
    <row r="61536" ht="12" customHeight="1"/>
    <row r="61537" ht="12" customHeight="1"/>
    <row r="61538" ht="12" customHeight="1"/>
    <row r="61539" ht="12" customHeight="1"/>
    <row r="61540" ht="12" customHeight="1"/>
    <row r="61541" ht="12" customHeight="1"/>
    <row r="61542" ht="12" customHeight="1"/>
    <row r="61543" ht="12" customHeight="1"/>
    <row r="61544" ht="12" customHeight="1"/>
    <row r="61545" ht="12" customHeight="1"/>
    <row r="61546" ht="12" customHeight="1"/>
    <row r="61547" ht="12" customHeight="1"/>
    <row r="61548" ht="12" customHeight="1"/>
    <row r="61549" ht="12" customHeight="1"/>
    <row r="61550" ht="12" customHeight="1"/>
    <row r="61551" ht="12" customHeight="1"/>
    <row r="61552" ht="12" customHeight="1"/>
    <row r="61553" ht="12" customHeight="1"/>
    <row r="61554" ht="12" customHeight="1"/>
    <row r="61555" ht="12" customHeight="1"/>
    <row r="61556" ht="12" customHeight="1"/>
    <row r="61557" ht="12" customHeight="1"/>
    <row r="61558" ht="12" customHeight="1"/>
    <row r="61559" ht="12" customHeight="1"/>
    <row r="61560" ht="12" customHeight="1"/>
    <row r="61561" ht="12" customHeight="1"/>
    <row r="61562" ht="12" customHeight="1"/>
    <row r="61563" ht="12" customHeight="1"/>
    <row r="61564" ht="12" customHeight="1"/>
    <row r="61565" ht="12" customHeight="1"/>
    <row r="61566" ht="12" customHeight="1"/>
    <row r="61567" ht="12" customHeight="1"/>
    <row r="61568" ht="12" customHeight="1"/>
    <row r="61569" ht="12" customHeight="1"/>
    <row r="61570" ht="12" customHeight="1"/>
    <row r="61571" ht="12" customHeight="1"/>
    <row r="61572" ht="12" customHeight="1"/>
    <row r="61573" ht="12" customHeight="1"/>
    <row r="61574" ht="12" customHeight="1"/>
    <row r="61575" ht="12" customHeight="1"/>
    <row r="61576" ht="12" customHeight="1"/>
    <row r="61577" ht="12" customHeight="1"/>
    <row r="61578" ht="12" customHeight="1"/>
    <row r="61579" ht="12" customHeight="1"/>
    <row r="61580" ht="12" customHeight="1"/>
    <row r="61581" ht="12" customHeight="1"/>
    <row r="61582" ht="12" customHeight="1"/>
    <row r="61583" ht="12" customHeight="1"/>
    <row r="61584" ht="12" customHeight="1"/>
    <row r="61585" ht="12" customHeight="1"/>
    <row r="61586" ht="12" customHeight="1"/>
    <row r="61587" ht="12" customHeight="1"/>
    <row r="61588" ht="12" customHeight="1"/>
    <row r="61589" ht="12" customHeight="1"/>
    <row r="61590" ht="12" customHeight="1"/>
    <row r="61591" ht="12" customHeight="1"/>
    <row r="61592" ht="12" customHeight="1"/>
    <row r="61593" ht="12" customHeight="1"/>
    <row r="61594" ht="12" customHeight="1"/>
    <row r="61595" ht="12" customHeight="1"/>
    <row r="61596" ht="12" customHeight="1"/>
    <row r="61597" ht="12" customHeight="1"/>
    <row r="61598" ht="12" customHeight="1"/>
    <row r="61599" ht="12" customHeight="1"/>
    <row r="61600" ht="12" customHeight="1"/>
    <row r="61601" ht="12" customHeight="1"/>
    <row r="61602" ht="12" customHeight="1"/>
    <row r="61603" ht="12" customHeight="1"/>
    <row r="61604" ht="12" customHeight="1"/>
    <row r="61605" ht="12" customHeight="1"/>
    <row r="61606" ht="12" customHeight="1"/>
    <row r="61607" ht="12" customHeight="1"/>
    <row r="61608" ht="12" customHeight="1"/>
    <row r="61609" ht="12" customHeight="1"/>
    <row r="61610" ht="12" customHeight="1"/>
    <row r="61611" ht="12" customHeight="1"/>
    <row r="61612" ht="12" customHeight="1"/>
    <row r="61613" ht="12" customHeight="1"/>
    <row r="61614" ht="12" customHeight="1"/>
    <row r="61615" ht="12" customHeight="1"/>
    <row r="61616" ht="12" customHeight="1"/>
    <row r="61617" ht="12" customHeight="1"/>
    <row r="61618" ht="12" customHeight="1"/>
    <row r="61619" ht="12" customHeight="1"/>
    <row r="61620" ht="12" customHeight="1"/>
    <row r="61621" ht="12" customHeight="1"/>
    <row r="61622" ht="12" customHeight="1"/>
    <row r="61623" ht="12" customHeight="1"/>
    <row r="61624" ht="12" customHeight="1"/>
    <row r="61625" ht="12" customHeight="1"/>
    <row r="61626" ht="12" customHeight="1"/>
    <row r="61627" ht="12" customHeight="1"/>
    <row r="61628" ht="12" customHeight="1"/>
    <row r="61629" ht="12" customHeight="1"/>
    <row r="61630" ht="12" customHeight="1"/>
    <row r="61631" ht="12" customHeight="1"/>
    <row r="61632" ht="12" customHeight="1"/>
    <row r="61633" ht="12" customHeight="1"/>
    <row r="61634" ht="12" customHeight="1"/>
    <row r="61635" ht="12" customHeight="1"/>
    <row r="61636" ht="12" customHeight="1"/>
    <row r="61637" ht="12" customHeight="1"/>
    <row r="61638" ht="12" customHeight="1"/>
    <row r="61639" ht="12" customHeight="1"/>
    <row r="61640" ht="12" customHeight="1"/>
    <row r="61641" ht="12" customHeight="1"/>
    <row r="61642" ht="12" customHeight="1"/>
    <row r="61643" ht="12" customHeight="1"/>
    <row r="61644" ht="12" customHeight="1"/>
    <row r="61645" ht="12" customHeight="1"/>
    <row r="61646" ht="12" customHeight="1"/>
    <row r="61647" ht="12" customHeight="1"/>
    <row r="61648" ht="12" customHeight="1"/>
    <row r="61649" ht="12" customHeight="1"/>
    <row r="61650" ht="12" customHeight="1"/>
    <row r="61651" ht="12" customHeight="1"/>
    <row r="61652" ht="12" customHeight="1"/>
    <row r="61653" ht="12" customHeight="1"/>
    <row r="61654" ht="12" customHeight="1"/>
    <row r="61655" ht="12" customHeight="1"/>
    <row r="61656" ht="12" customHeight="1"/>
    <row r="61657" ht="12" customHeight="1"/>
    <row r="61658" ht="12" customHeight="1"/>
    <row r="61659" ht="12" customHeight="1"/>
    <row r="61660" ht="12" customHeight="1"/>
    <row r="61661" ht="12" customHeight="1"/>
    <row r="61662" ht="12" customHeight="1"/>
    <row r="61663" ht="12" customHeight="1"/>
    <row r="61664" ht="12" customHeight="1"/>
    <row r="61665" ht="12" customHeight="1"/>
    <row r="61666" ht="12" customHeight="1"/>
    <row r="61667" ht="12" customHeight="1"/>
    <row r="61668" ht="12" customHeight="1"/>
    <row r="61669" ht="12" customHeight="1"/>
    <row r="61670" ht="12" customHeight="1"/>
    <row r="61671" ht="12" customHeight="1"/>
    <row r="61672" ht="12" customHeight="1"/>
    <row r="61673" ht="12" customHeight="1"/>
    <row r="61674" ht="12" customHeight="1"/>
    <row r="61675" ht="12" customHeight="1"/>
    <row r="61676" ht="12" customHeight="1"/>
    <row r="61677" ht="12" customHeight="1"/>
    <row r="61678" ht="12" customHeight="1"/>
    <row r="61679" ht="12" customHeight="1"/>
    <row r="61680" ht="12" customHeight="1"/>
    <row r="61681" ht="12" customHeight="1"/>
    <row r="61682" ht="12" customHeight="1"/>
    <row r="61683" ht="12" customHeight="1"/>
    <row r="61684" ht="12" customHeight="1"/>
    <row r="61685" ht="12" customHeight="1"/>
    <row r="61686" ht="12" customHeight="1"/>
    <row r="61687" ht="12" customHeight="1"/>
    <row r="61688" ht="12" customHeight="1"/>
    <row r="61689" ht="12" customHeight="1"/>
    <row r="61690" ht="12" customHeight="1"/>
    <row r="61691" ht="12" customHeight="1"/>
    <row r="61692" ht="12" customHeight="1"/>
    <row r="61693" ht="12" customHeight="1"/>
    <row r="61694" ht="12" customHeight="1"/>
    <row r="61695" ht="12" customHeight="1"/>
    <row r="61696" ht="12" customHeight="1"/>
    <row r="61697" ht="12" customHeight="1"/>
    <row r="61698" ht="12" customHeight="1"/>
    <row r="61699" ht="12" customHeight="1"/>
    <row r="61700" ht="12" customHeight="1"/>
    <row r="61701" ht="12" customHeight="1"/>
    <row r="61702" ht="12" customHeight="1"/>
    <row r="61703" ht="12" customHeight="1"/>
    <row r="61704" ht="12" customHeight="1"/>
    <row r="61705" ht="12" customHeight="1"/>
    <row r="61706" ht="12" customHeight="1"/>
    <row r="61707" ht="12" customHeight="1"/>
    <row r="61708" ht="12" customHeight="1"/>
    <row r="61709" ht="12" customHeight="1"/>
    <row r="61710" ht="12" customHeight="1"/>
    <row r="61711" ht="12" customHeight="1"/>
    <row r="61712" ht="12" customHeight="1"/>
    <row r="61713" ht="12" customHeight="1"/>
    <row r="61714" ht="12" customHeight="1"/>
    <row r="61715" ht="12" customHeight="1"/>
    <row r="61716" ht="12" customHeight="1"/>
    <row r="61717" ht="12" customHeight="1"/>
    <row r="61718" ht="12" customHeight="1"/>
    <row r="61719" ht="12" customHeight="1"/>
    <row r="61720" ht="12" customHeight="1"/>
    <row r="61721" ht="12" customHeight="1"/>
    <row r="61722" ht="12" customHeight="1"/>
    <row r="61723" ht="12" customHeight="1"/>
    <row r="61724" ht="12" customHeight="1"/>
    <row r="61725" ht="12" customHeight="1"/>
    <row r="61726" ht="12" customHeight="1"/>
    <row r="61727" ht="12" customHeight="1"/>
    <row r="61728" ht="12" customHeight="1"/>
    <row r="61729" ht="12" customHeight="1"/>
    <row r="61730" ht="12" customHeight="1"/>
    <row r="61731" ht="12" customHeight="1"/>
    <row r="61732" ht="12" customHeight="1"/>
    <row r="61733" ht="12" customHeight="1"/>
    <row r="61734" ht="12" customHeight="1"/>
    <row r="61735" ht="12" customHeight="1"/>
    <row r="61736" ht="12" customHeight="1"/>
    <row r="61737" ht="12" customHeight="1"/>
    <row r="61738" ht="12" customHeight="1"/>
    <row r="61739" ht="12" customHeight="1"/>
    <row r="61740" ht="12" customHeight="1"/>
    <row r="61741" ht="12" customHeight="1"/>
    <row r="61742" ht="12" customHeight="1"/>
    <row r="61743" ht="12" customHeight="1"/>
    <row r="61744" ht="12" customHeight="1"/>
    <row r="61745" ht="12" customHeight="1"/>
    <row r="61746" ht="12" customHeight="1"/>
    <row r="61747" ht="12" customHeight="1"/>
    <row r="61748" ht="12" customHeight="1"/>
    <row r="61749" ht="12" customHeight="1"/>
    <row r="61750" ht="12" customHeight="1"/>
    <row r="61751" ht="12" customHeight="1"/>
    <row r="61752" ht="12" customHeight="1"/>
    <row r="61753" ht="12" customHeight="1"/>
    <row r="61754" ht="12" customHeight="1"/>
    <row r="61755" ht="12" customHeight="1"/>
    <row r="61756" ht="12" customHeight="1"/>
    <row r="61757" ht="12" customHeight="1"/>
    <row r="61758" ht="12" customHeight="1"/>
    <row r="61759" ht="12" customHeight="1"/>
    <row r="61760" ht="12" customHeight="1"/>
    <row r="61761" ht="12" customHeight="1"/>
    <row r="61762" ht="12" customHeight="1"/>
    <row r="61763" ht="12" customHeight="1"/>
    <row r="61764" ht="12" customHeight="1"/>
    <row r="61765" ht="12" customHeight="1"/>
    <row r="61766" ht="12" customHeight="1"/>
    <row r="61767" ht="12" customHeight="1"/>
    <row r="61768" ht="12" customHeight="1"/>
    <row r="61769" ht="12" customHeight="1"/>
    <row r="61770" ht="12" customHeight="1"/>
    <row r="61771" ht="12" customHeight="1"/>
    <row r="61772" ht="12" customHeight="1"/>
    <row r="61773" ht="12" customHeight="1"/>
    <row r="61774" ht="12" customHeight="1"/>
    <row r="61775" ht="12" customHeight="1"/>
    <row r="61776" ht="12" customHeight="1"/>
    <row r="61777" ht="12" customHeight="1"/>
    <row r="61778" ht="12" customHeight="1"/>
    <row r="61779" ht="12" customHeight="1"/>
    <row r="61780" ht="12" customHeight="1"/>
    <row r="61781" ht="12" customHeight="1"/>
    <row r="61782" ht="12" customHeight="1"/>
    <row r="61783" ht="12" customHeight="1"/>
    <row r="61784" ht="12" customHeight="1"/>
    <row r="61785" ht="12" customHeight="1"/>
    <row r="61786" ht="12" customHeight="1"/>
    <row r="61787" ht="12" customHeight="1"/>
    <row r="61788" ht="12" customHeight="1"/>
    <row r="61789" ht="12" customHeight="1"/>
    <row r="61790" ht="12" customHeight="1"/>
    <row r="61791" ht="12" customHeight="1"/>
    <row r="61792" ht="12" customHeight="1"/>
    <row r="61793" ht="12" customHeight="1"/>
    <row r="61794" ht="12" customHeight="1"/>
    <row r="61795" ht="12" customHeight="1"/>
    <row r="61796" ht="12" customHeight="1"/>
    <row r="61797" ht="12" customHeight="1"/>
    <row r="61798" ht="12" customHeight="1"/>
    <row r="61799" ht="12" customHeight="1"/>
    <row r="61800" ht="12" customHeight="1"/>
    <row r="61801" ht="12" customHeight="1"/>
    <row r="61802" ht="12" customHeight="1"/>
    <row r="61803" ht="12" customHeight="1"/>
    <row r="61804" ht="12" customHeight="1"/>
    <row r="61805" ht="12" customHeight="1"/>
    <row r="61806" ht="12" customHeight="1"/>
    <row r="61807" ht="12" customHeight="1"/>
    <row r="61808" ht="12" customHeight="1"/>
    <row r="61809" ht="12" customHeight="1"/>
    <row r="61810" ht="12" customHeight="1"/>
    <row r="61811" ht="12" customHeight="1"/>
    <row r="61812" ht="12" customHeight="1"/>
    <row r="61813" ht="12" customHeight="1"/>
    <row r="61814" ht="12" customHeight="1"/>
    <row r="61815" ht="12" customHeight="1"/>
    <row r="61816" ht="12" customHeight="1"/>
    <row r="61817" ht="12" customHeight="1"/>
    <row r="61818" ht="12" customHeight="1"/>
    <row r="61819" ht="12" customHeight="1"/>
    <row r="61820" ht="12" customHeight="1"/>
    <row r="61821" ht="12" customHeight="1"/>
    <row r="61822" ht="12" customHeight="1"/>
    <row r="61823" ht="12" customHeight="1"/>
    <row r="61824" ht="12" customHeight="1"/>
    <row r="61825" ht="12" customHeight="1"/>
    <row r="61826" ht="12" customHeight="1"/>
    <row r="61827" ht="12" customHeight="1"/>
    <row r="61828" ht="12" customHeight="1"/>
    <row r="61829" ht="12" customHeight="1"/>
    <row r="61830" ht="12" customHeight="1"/>
    <row r="61831" ht="12" customHeight="1"/>
    <row r="61832" ht="12" customHeight="1"/>
    <row r="61833" ht="12" customHeight="1"/>
    <row r="61834" ht="12" customHeight="1"/>
    <row r="61835" ht="12" customHeight="1"/>
    <row r="61836" ht="12" customHeight="1"/>
    <row r="61837" ht="12" customHeight="1"/>
    <row r="61838" ht="12" customHeight="1"/>
    <row r="61839" ht="12" customHeight="1"/>
    <row r="61840" ht="12" customHeight="1"/>
    <row r="61841" ht="12" customHeight="1"/>
    <row r="61842" ht="12" customHeight="1"/>
    <row r="61843" ht="12" customHeight="1"/>
    <row r="61844" ht="12" customHeight="1"/>
    <row r="61845" ht="12" customHeight="1"/>
    <row r="61846" ht="12" customHeight="1"/>
    <row r="61847" ht="12" customHeight="1"/>
    <row r="61848" ht="12" customHeight="1"/>
    <row r="61849" ht="12" customHeight="1"/>
    <row r="61850" ht="12" customHeight="1"/>
    <row r="61851" ht="12" customHeight="1"/>
    <row r="61852" ht="12" customHeight="1"/>
    <row r="61853" ht="12" customHeight="1"/>
    <row r="61854" ht="12" customHeight="1"/>
    <row r="61855" ht="12" customHeight="1"/>
    <row r="61856" ht="12" customHeight="1"/>
    <row r="61857" ht="12" customHeight="1"/>
    <row r="61858" ht="12" customHeight="1"/>
    <row r="61859" ht="12" customHeight="1"/>
    <row r="61860" ht="12" customHeight="1"/>
    <row r="61861" ht="12" customHeight="1"/>
    <row r="61862" ht="12" customHeight="1"/>
    <row r="61863" ht="12" customHeight="1"/>
    <row r="61864" ht="12" customHeight="1"/>
    <row r="61865" ht="12" customHeight="1"/>
    <row r="61866" ht="12" customHeight="1"/>
    <row r="61867" ht="12" customHeight="1"/>
    <row r="61868" ht="12" customHeight="1"/>
    <row r="61869" ht="12" customHeight="1"/>
    <row r="61870" ht="12" customHeight="1"/>
    <row r="61871" ht="12" customHeight="1"/>
    <row r="61872" ht="12" customHeight="1"/>
    <row r="61873" ht="12" customHeight="1"/>
    <row r="61874" ht="12" customHeight="1"/>
    <row r="61875" ht="12" customHeight="1"/>
    <row r="61876" ht="12" customHeight="1"/>
    <row r="61877" ht="12" customHeight="1"/>
    <row r="61878" ht="12" customHeight="1"/>
    <row r="61879" ht="12" customHeight="1"/>
    <row r="61880" ht="12" customHeight="1"/>
    <row r="61881" ht="12" customHeight="1"/>
    <row r="61882" ht="12" customHeight="1"/>
    <row r="61883" ht="12" customHeight="1"/>
    <row r="61884" ht="12" customHeight="1"/>
    <row r="61885" ht="12" customHeight="1"/>
    <row r="61886" ht="12" customHeight="1"/>
    <row r="61887" ht="12" customHeight="1"/>
    <row r="61888" ht="12" customHeight="1"/>
    <row r="61889" ht="12" customHeight="1"/>
    <row r="61890" ht="12" customHeight="1"/>
    <row r="61891" ht="12" customHeight="1"/>
    <row r="61892" ht="12" customHeight="1"/>
    <row r="61893" ht="12" customHeight="1"/>
    <row r="61894" ht="12" customHeight="1"/>
    <row r="61895" ht="12" customHeight="1"/>
    <row r="61896" ht="12" customHeight="1"/>
    <row r="61897" ht="12" customHeight="1"/>
    <row r="61898" ht="12" customHeight="1"/>
    <row r="61899" ht="12" customHeight="1"/>
    <row r="61900" ht="12" customHeight="1"/>
    <row r="61901" ht="12" customHeight="1"/>
    <row r="61902" ht="12" customHeight="1"/>
    <row r="61903" ht="12" customHeight="1"/>
    <row r="61904" ht="12" customHeight="1"/>
    <row r="61905" ht="12" customHeight="1"/>
    <row r="61906" ht="12" customHeight="1"/>
    <row r="61907" ht="12" customHeight="1"/>
    <row r="61908" ht="12" customHeight="1"/>
    <row r="61909" ht="12" customHeight="1"/>
    <row r="61910" ht="12" customHeight="1"/>
    <row r="61911" ht="12" customHeight="1"/>
    <row r="61912" ht="12" customHeight="1"/>
    <row r="61913" ht="12" customHeight="1"/>
    <row r="61914" ht="12" customHeight="1"/>
    <row r="61915" ht="12" customHeight="1"/>
    <row r="61916" ht="12" customHeight="1"/>
    <row r="61917" ht="12" customHeight="1"/>
    <row r="61918" ht="12" customHeight="1"/>
    <row r="61919" ht="12" customHeight="1"/>
    <row r="61920" ht="12" customHeight="1"/>
    <row r="61921" ht="12" customHeight="1"/>
    <row r="61922" ht="12" customHeight="1"/>
    <row r="61923" ht="12" customHeight="1"/>
    <row r="61924" ht="12" customHeight="1"/>
    <row r="61925" ht="12" customHeight="1"/>
    <row r="61926" ht="12" customHeight="1"/>
    <row r="61927" ht="12" customHeight="1"/>
    <row r="61928" ht="12" customHeight="1"/>
    <row r="61929" ht="12" customHeight="1"/>
    <row r="61930" ht="12" customHeight="1"/>
    <row r="61931" ht="12" customHeight="1"/>
    <row r="61932" ht="12" customHeight="1"/>
    <row r="61933" ht="12" customHeight="1"/>
    <row r="61934" ht="12" customHeight="1"/>
    <row r="61935" ht="12" customHeight="1"/>
    <row r="61936" ht="12" customHeight="1"/>
    <row r="61937" ht="12" customHeight="1"/>
    <row r="61938" ht="12" customHeight="1"/>
    <row r="61939" ht="12" customHeight="1"/>
    <row r="61940" ht="12" customHeight="1"/>
    <row r="61941" ht="12" customHeight="1"/>
    <row r="61942" ht="12" customHeight="1"/>
    <row r="61943" ht="12" customHeight="1"/>
    <row r="61944" ht="12" customHeight="1"/>
    <row r="61945" ht="12" customHeight="1"/>
    <row r="61946" ht="12" customHeight="1"/>
    <row r="61947" ht="12" customHeight="1"/>
    <row r="61948" ht="12" customHeight="1"/>
    <row r="61949" ht="12" customHeight="1"/>
    <row r="61950" ht="12" customHeight="1"/>
    <row r="61951" ht="12" customHeight="1"/>
    <row r="61952" ht="12" customHeight="1"/>
    <row r="61953" ht="12" customHeight="1"/>
    <row r="61954" ht="12" customHeight="1"/>
    <row r="61955" ht="12" customHeight="1"/>
    <row r="61956" ht="12" customHeight="1"/>
    <row r="61957" ht="12" customHeight="1"/>
    <row r="61958" ht="12" customHeight="1"/>
    <row r="61959" ht="12" customHeight="1"/>
    <row r="61960" ht="12" customHeight="1"/>
    <row r="61961" ht="12" customHeight="1"/>
    <row r="61962" ht="12" customHeight="1"/>
    <row r="61963" ht="12" customHeight="1"/>
    <row r="61964" ht="12" customHeight="1"/>
    <row r="61965" ht="12" customHeight="1"/>
    <row r="61966" ht="12" customHeight="1"/>
    <row r="61967" ht="12" customHeight="1"/>
    <row r="61968" ht="12" customHeight="1"/>
    <row r="61969" ht="12" customHeight="1"/>
    <row r="61970" ht="12" customHeight="1"/>
    <row r="61971" ht="12" customHeight="1"/>
    <row r="61972" ht="12" customHeight="1"/>
    <row r="61973" ht="12" customHeight="1"/>
    <row r="61974" ht="12" customHeight="1"/>
    <row r="61975" ht="12" customHeight="1"/>
    <row r="61976" ht="12" customHeight="1"/>
    <row r="61977" ht="12" customHeight="1"/>
    <row r="61978" ht="12" customHeight="1"/>
    <row r="61979" ht="12" customHeight="1"/>
    <row r="61980" ht="12" customHeight="1"/>
    <row r="61981" ht="12" customHeight="1"/>
    <row r="61982" ht="12" customHeight="1"/>
    <row r="61983" ht="12" customHeight="1"/>
    <row r="61984" ht="12" customHeight="1"/>
    <row r="61985" ht="12" customHeight="1"/>
    <row r="61986" ht="12" customHeight="1"/>
    <row r="61987" ht="12" customHeight="1"/>
    <row r="61988" ht="12" customHeight="1"/>
    <row r="61989" ht="12" customHeight="1"/>
    <row r="61990" ht="12" customHeight="1"/>
    <row r="61991" ht="12" customHeight="1"/>
    <row r="61992" ht="12" customHeight="1"/>
    <row r="61993" ht="12" customHeight="1"/>
    <row r="61994" ht="12" customHeight="1"/>
    <row r="61995" ht="12" customHeight="1"/>
    <row r="61996" ht="12" customHeight="1"/>
    <row r="61997" ht="12" customHeight="1"/>
    <row r="61998" ht="12" customHeight="1"/>
    <row r="61999" ht="12" customHeight="1"/>
    <row r="62000" ht="12" customHeight="1"/>
    <row r="62001" ht="12" customHeight="1"/>
    <row r="62002" ht="12" customHeight="1"/>
    <row r="62003" ht="12" customHeight="1"/>
    <row r="62004" ht="12" customHeight="1"/>
    <row r="62005" ht="12" customHeight="1"/>
    <row r="62006" ht="12" customHeight="1"/>
    <row r="62007" ht="12" customHeight="1"/>
    <row r="62008" ht="12" customHeight="1"/>
    <row r="62009" ht="12" customHeight="1"/>
    <row r="62010" ht="12" customHeight="1"/>
    <row r="62011" ht="12" customHeight="1"/>
    <row r="62012" ht="12" customHeight="1"/>
    <row r="62013" ht="12" customHeight="1"/>
    <row r="62014" ht="12" customHeight="1"/>
    <row r="62015" ht="12" customHeight="1"/>
    <row r="62016" ht="12" customHeight="1"/>
    <row r="62017" ht="12" customHeight="1"/>
    <row r="62018" ht="12" customHeight="1"/>
    <row r="62019" ht="12" customHeight="1"/>
    <row r="62020" ht="12" customHeight="1"/>
    <row r="62021" ht="12" customHeight="1"/>
    <row r="62022" ht="12" customHeight="1"/>
    <row r="62023" ht="12" customHeight="1"/>
    <row r="62024" ht="12" customHeight="1"/>
    <row r="62025" ht="12" customHeight="1"/>
    <row r="62026" ht="12" customHeight="1"/>
    <row r="62027" ht="12" customHeight="1"/>
    <row r="62028" ht="12" customHeight="1"/>
    <row r="62029" ht="12" customHeight="1"/>
    <row r="62030" ht="12" customHeight="1"/>
    <row r="62031" ht="12" customHeight="1"/>
    <row r="62032" ht="12" customHeight="1"/>
    <row r="62033" ht="12" customHeight="1"/>
    <row r="62034" ht="12" customHeight="1"/>
    <row r="62035" ht="12" customHeight="1"/>
    <row r="62036" ht="12" customHeight="1"/>
    <row r="62037" ht="12" customHeight="1"/>
    <row r="62038" ht="12" customHeight="1"/>
    <row r="62039" ht="12" customHeight="1"/>
    <row r="62040" ht="12" customHeight="1"/>
    <row r="62041" ht="12" customHeight="1"/>
    <row r="62042" ht="12" customHeight="1"/>
    <row r="62043" ht="12" customHeight="1"/>
    <row r="62044" ht="12" customHeight="1"/>
    <row r="62045" ht="12" customHeight="1"/>
    <row r="62046" ht="12" customHeight="1"/>
    <row r="62047" ht="12" customHeight="1"/>
    <row r="62048" ht="12" customHeight="1"/>
    <row r="62049" ht="12" customHeight="1"/>
    <row r="62050" ht="12" customHeight="1"/>
    <row r="62051" ht="12" customHeight="1"/>
    <row r="62052" ht="12" customHeight="1"/>
    <row r="62053" ht="12" customHeight="1"/>
    <row r="62054" ht="12" customHeight="1"/>
    <row r="62055" ht="12" customHeight="1"/>
    <row r="62056" ht="12" customHeight="1"/>
    <row r="62057" ht="12" customHeight="1"/>
    <row r="62058" ht="12" customHeight="1"/>
    <row r="62059" ht="12" customHeight="1"/>
    <row r="62060" ht="12" customHeight="1"/>
    <row r="62061" ht="12" customHeight="1"/>
    <row r="62062" ht="12" customHeight="1"/>
    <row r="62063" ht="12" customHeight="1"/>
    <row r="62064" ht="12" customHeight="1"/>
    <row r="62065" ht="12" customHeight="1"/>
    <row r="62066" ht="12" customHeight="1"/>
    <row r="62067" ht="12" customHeight="1"/>
    <row r="62068" ht="12" customHeight="1"/>
    <row r="62069" ht="12" customHeight="1"/>
    <row r="62070" ht="12" customHeight="1"/>
    <row r="62071" ht="12" customHeight="1"/>
    <row r="62072" ht="12" customHeight="1"/>
    <row r="62073" ht="12" customHeight="1"/>
    <row r="62074" ht="12" customHeight="1"/>
    <row r="62075" ht="12" customHeight="1"/>
    <row r="62076" ht="12" customHeight="1"/>
    <row r="62077" ht="12" customHeight="1"/>
    <row r="62078" ht="12" customHeight="1"/>
    <row r="62079" ht="12" customHeight="1"/>
    <row r="62080" ht="12" customHeight="1"/>
    <row r="62081" ht="12" customHeight="1"/>
    <row r="62082" ht="12" customHeight="1"/>
    <row r="62083" ht="12" customHeight="1"/>
    <row r="62084" ht="12" customHeight="1"/>
    <row r="62085" ht="12" customHeight="1"/>
    <row r="62086" ht="12" customHeight="1"/>
    <row r="62087" ht="12" customHeight="1"/>
    <row r="62088" ht="12" customHeight="1"/>
    <row r="62089" ht="12" customHeight="1"/>
    <row r="62090" ht="12" customHeight="1"/>
    <row r="62091" ht="12" customHeight="1"/>
    <row r="62092" ht="12" customHeight="1"/>
    <row r="62093" ht="12" customHeight="1"/>
    <row r="62094" ht="12" customHeight="1"/>
    <row r="62095" ht="12" customHeight="1"/>
    <row r="62096" ht="12" customHeight="1"/>
    <row r="62097" ht="12" customHeight="1"/>
    <row r="62098" ht="12" customHeight="1"/>
    <row r="62099" ht="12" customHeight="1"/>
    <row r="62100" ht="12" customHeight="1"/>
    <row r="62101" ht="12" customHeight="1"/>
    <row r="62102" ht="12" customHeight="1"/>
    <row r="62103" ht="12" customHeight="1"/>
    <row r="62104" ht="12" customHeight="1"/>
    <row r="62105" ht="12" customHeight="1"/>
    <row r="62106" ht="12" customHeight="1"/>
    <row r="62107" ht="12" customHeight="1"/>
    <row r="62108" ht="12" customHeight="1"/>
    <row r="62109" ht="12" customHeight="1"/>
    <row r="62110" ht="12" customHeight="1"/>
    <row r="62111" ht="12" customHeight="1"/>
    <row r="62112" ht="12" customHeight="1"/>
    <row r="62113" ht="12" customHeight="1"/>
    <row r="62114" ht="12" customHeight="1"/>
    <row r="62115" ht="12" customHeight="1"/>
    <row r="62116" ht="12" customHeight="1"/>
    <row r="62117" ht="12" customHeight="1"/>
    <row r="62118" ht="12" customHeight="1"/>
    <row r="62119" ht="12" customHeight="1"/>
    <row r="62120" ht="12" customHeight="1"/>
    <row r="62121" ht="12" customHeight="1"/>
    <row r="62122" ht="12" customHeight="1"/>
    <row r="62123" ht="12" customHeight="1"/>
    <row r="62124" ht="12" customHeight="1"/>
    <row r="62125" ht="12" customHeight="1"/>
    <row r="62126" ht="12" customHeight="1"/>
    <row r="62127" ht="12" customHeight="1"/>
    <row r="62128" ht="12" customHeight="1"/>
    <row r="62129" ht="12" customHeight="1"/>
    <row r="62130" ht="12" customHeight="1"/>
    <row r="62131" ht="12" customHeight="1"/>
    <row r="62132" ht="12" customHeight="1"/>
    <row r="62133" ht="12" customHeight="1"/>
    <row r="62134" ht="12" customHeight="1"/>
    <row r="62135" ht="12" customHeight="1"/>
    <row r="62136" ht="12" customHeight="1"/>
    <row r="62137" ht="12" customHeight="1"/>
    <row r="62138" ht="12" customHeight="1"/>
    <row r="62139" ht="12" customHeight="1"/>
    <row r="62140" ht="12" customHeight="1"/>
    <row r="62141" ht="12" customHeight="1"/>
    <row r="62142" ht="12" customHeight="1"/>
    <row r="62143" ht="12" customHeight="1"/>
    <row r="62144" ht="12" customHeight="1"/>
    <row r="62145" ht="12" customHeight="1"/>
    <row r="62146" ht="12" customHeight="1"/>
    <row r="62147" ht="12" customHeight="1"/>
    <row r="62148" ht="12" customHeight="1"/>
    <row r="62149" ht="12" customHeight="1"/>
    <row r="62150" ht="12" customHeight="1"/>
    <row r="62151" ht="12" customHeight="1"/>
    <row r="62152" ht="12" customHeight="1"/>
    <row r="62153" ht="12" customHeight="1"/>
    <row r="62154" ht="12" customHeight="1"/>
    <row r="62155" ht="12" customHeight="1"/>
    <row r="62156" ht="12" customHeight="1"/>
    <row r="62157" ht="12" customHeight="1"/>
    <row r="62158" ht="12" customHeight="1"/>
    <row r="62159" ht="12" customHeight="1"/>
    <row r="62160" ht="12" customHeight="1"/>
    <row r="62161" ht="12" customHeight="1"/>
    <row r="62162" ht="12" customHeight="1"/>
    <row r="62163" ht="12" customHeight="1"/>
    <row r="62164" ht="12" customHeight="1"/>
    <row r="62165" ht="12" customHeight="1"/>
    <row r="62166" ht="12" customHeight="1"/>
    <row r="62167" ht="12" customHeight="1"/>
    <row r="62168" ht="12" customHeight="1"/>
    <row r="62169" ht="12" customHeight="1"/>
    <row r="62170" ht="12" customHeight="1"/>
    <row r="62171" ht="12" customHeight="1"/>
    <row r="62172" ht="12" customHeight="1"/>
    <row r="62173" ht="12" customHeight="1"/>
    <row r="62174" ht="12" customHeight="1"/>
    <row r="62175" ht="12" customHeight="1"/>
    <row r="62176" ht="12" customHeight="1"/>
    <row r="62177" ht="12" customHeight="1"/>
    <row r="62178" ht="12" customHeight="1"/>
    <row r="62179" ht="12" customHeight="1"/>
    <row r="62180" ht="12" customHeight="1"/>
    <row r="62181" ht="12" customHeight="1"/>
    <row r="62182" ht="12" customHeight="1"/>
    <row r="62183" ht="12" customHeight="1"/>
    <row r="62184" ht="12" customHeight="1"/>
    <row r="62185" ht="12" customHeight="1"/>
    <row r="62186" ht="12" customHeight="1"/>
    <row r="62187" ht="12" customHeight="1"/>
    <row r="62188" ht="12" customHeight="1"/>
    <row r="62189" ht="12" customHeight="1"/>
    <row r="62190" ht="12" customHeight="1"/>
    <row r="62191" ht="12" customHeight="1"/>
    <row r="62192" ht="12" customHeight="1"/>
    <row r="62193" ht="12" customHeight="1"/>
    <row r="62194" ht="12" customHeight="1"/>
    <row r="62195" ht="12" customHeight="1"/>
    <row r="62196" ht="12" customHeight="1"/>
    <row r="62197" ht="12" customHeight="1"/>
    <row r="62198" ht="12" customHeight="1"/>
    <row r="62199" ht="12" customHeight="1"/>
    <row r="62200" ht="12" customHeight="1"/>
    <row r="62201" ht="12" customHeight="1"/>
    <row r="62202" ht="12" customHeight="1"/>
    <row r="62203" ht="12" customHeight="1"/>
    <row r="62204" ht="12" customHeight="1"/>
    <row r="62205" ht="12" customHeight="1"/>
    <row r="62206" ht="12" customHeight="1"/>
    <row r="62207" ht="12" customHeight="1"/>
    <row r="62208" ht="12" customHeight="1"/>
    <row r="62209" ht="12" customHeight="1"/>
    <row r="62210" ht="12" customHeight="1"/>
    <row r="62211" ht="12" customHeight="1"/>
    <row r="62212" ht="12" customHeight="1"/>
    <row r="62213" ht="12" customHeight="1"/>
    <row r="62214" ht="12" customHeight="1"/>
    <row r="62215" ht="12" customHeight="1"/>
    <row r="62216" ht="12" customHeight="1"/>
    <row r="62217" ht="12" customHeight="1"/>
    <row r="62218" ht="12" customHeight="1"/>
    <row r="62219" ht="12" customHeight="1"/>
    <row r="62220" ht="12" customHeight="1"/>
    <row r="62221" ht="12" customHeight="1"/>
    <row r="62222" ht="12" customHeight="1"/>
    <row r="62223" ht="12" customHeight="1"/>
    <row r="62224" ht="12" customHeight="1"/>
    <row r="62225" ht="12" customHeight="1"/>
    <row r="62226" ht="12" customHeight="1"/>
    <row r="62227" ht="12" customHeight="1"/>
    <row r="62228" ht="12" customHeight="1"/>
    <row r="62229" ht="12" customHeight="1"/>
    <row r="62230" ht="12" customHeight="1"/>
    <row r="62231" ht="12" customHeight="1"/>
    <row r="62232" ht="12" customHeight="1"/>
    <row r="62233" ht="12" customHeight="1"/>
    <row r="62234" ht="12" customHeight="1"/>
    <row r="62235" ht="12" customHeight="1"/>
    <row r="62236" ht="12" customHeight="1"/>
    <row r="62237" ht="12" customHeight="1"/>
    <row r="62238" ht="12" customHeight="1"/>
    <row r="62239" ht="12" customHeight="1"/>
    <row r="62240" ht="12" customHeight="1"/>
    <row r="62241" ht="12" customHeight="1"/>
    <row r="62242" ht="12" customHeight="1"/>
    <row r="62243" ht="12" customHeight="1"/>
    <row r="62244" ht="12" customHeight="1"/>
    <row r="62245" ht="12" customHeight="1"/>
    <row r="62246" ht="12" customHeight="1"/>
    <row r="62247" ht="12" customHeight="1"/>
    <row r="62248" ht="12" customHeight="1"/>
    <row r="62249" ht="12" customHeight="1"/>
    <row r="62250" ht="12" customHeight="1"/>
    <row r="62251" ht="12" customHeight="1"/>
    <row r="62252" ht="12" customHeight="1"/>
    <row r="62253" ht="12" customHeight="1"/>
    <row r="62254" ht="12" customHeight="1"/>
    <row r="62255" ht="12" customHeight="1"/>
    <row r="62256" ht="12" customHeight="1"/>
    <row r="62257" ht="12" customHeight="1"/>
    <row r="62258" ht="12" customHeight="1"/>
    <row r="62259" ht="12" customHeight="1"/>
    <row r="62260" ht="12" customHeight="1"/>
    <row r="62261" ht="12" customHeight="1"/>
    <row r="62262" ht="12" customHeight="1"/>
    <row r="62263" ht="12" customHeight="1"/>
    <row r="62264" ht="12" customHeight="1"/>
    <row r="62265" ht="12" customHeight="1"/>
    <row r="62266" ht="12" customHeight="1"/>
    <row r="62267" ht="12" customHeight="1"/>
    <row r="62268" ht="12" customHeight="1"/>
    <row r="62269" ht="12" customHeight="1"/>
    <row r="62270" ht="12" customHeight="1"/>
    <row r="62271" ht="12" customHeight="1"/>
    <row r="62272" ht="12" customHeight="1"/>
    <row r="62273" ht="12" customHeight="1"/>
    <row r="62274" ht="12" customHeight="1"/>
    <row r="62275" ht="12" customHeight="1"/>
    <row r="62276" ht="12" customHeight="1"/>
    <row r="62277" ht="12" customHeight="1"/>
    <row r="62278" ht="12" customHeight="1"/>
    <row r="62279" ht="12" customHeight="1"/>
    <row r="62280" ht="12" customHeight="1"/>
    <row r="62281" ht="12" customHeight="1"/>
    <row r="62282" ht="12" customHeight="1"/>
    <row r="62283" ht="12" customHeight="1"/>
    <row r="62284" ht="12" customHeight="1"/>
    <row r="62285" ht="12" customHeight="1"/>
    <row r="62286" ht="12" customHeight="1"/>
    <row r="62287" ht="12" customHeight="1"/>
    <row r="62288" ht="12" customHeight="1"/>
    <row r="62289" ht="12" customHeight="1"/>
    <row r="62290" ht="12" customHeight="1"/>
    <row r="62291" ht="12" customHeight="1"/>
    <row r="62292" ht="12" customHeight="1"/>
    <row r="62293" ht="12" customHeight="1"/>
    <row r="62294" ht="12" customHeight="1"/>
    <row r="62295" ht="12" customHeight="1"/>
    <row r="62296" ht="12" customHeight="1"/>
    <row r="62297" ht="12" customHeight="1"/>
    <row r="62298" ht="12" customHeight="1"/>
    <row r="62299" ht="12" customHeight="1"/>
    <row r="62300" ht="12" customHeight="1"/>
    <row r="62301" ht="12" customHeight="1"/>
    <row r="62302" ht="12" customHeight="1"/>
    <row r="62303" ht="12" customHeight="1"/>
    <row r="62304" ht="12" customHeight="1"/>
    <row r="62305" ht="12" customHeight="1"/>
    <row r="62306" ht="12" customHeight="1"/>
    <row r="62307" ht="12" customHeight="1"/>
    <row r="62308" ht="12" customHeight="1"/>
    <row r="62309" ht="12" customHeight="1"/>
    <row r="62310" ht="12" customHeight="1"/>
    <row r="62311" ht="12" customHeight="1"/>
    <row r="62312" ht="12" customHeight="1"/>
    <row r="62313" ht="12" customHeight="1"/>
    <row r="62314" ht="12" customHeight="1"/>
    <row r="62315" ht="12" customHeight="1"/>
    <row r="62316" ht="12" customHeight="1"/>
    <row r="62317" ht="12" customHeight="1"/>
    <row r="62318" ht="12" customHeight="1"/>
    <row r="62319" ht="12" customHeight="1"/>
    <row r="62320" ht="12" customHeight="1"/>
    <row r="62321" ht="12" customHeight="1"/>
    <row r="62322" ht="12" customHeight="1"/>
    <row r="62323" ht="12" customHeight="1"/>
    <row r="62324" ht="12" customHeight="1"/>
    <row r="62325" ht="12" customHeight="1"/>
    <row r="62326" ht="12" customHeight="1"/>
    <row r="62327" ht="12" customHeight="1"/>
    <row r="62328" ht="12" customHeight="1"/>
    <row r="62329" ht="12" customHeight="1"/>
    <row r="62330" ht="12" customHeight="1"/>
    <row r="62331" ht="12" customHeight="1"/>
    <row r="62332" ht="12" customHeight="1"/>
    <row r="62333" ht="12" customHeight="1"/>
    <row r="62334" ht="12" customHeight="1"/>
    <row r="62335" ht="12" customHeight="1"/>
    <row r="62336" ht="12" customHeight="1"/>
    <row r="62337" ht="12" customHeight="1"/>
    <row r="62338" ht="12" customHeight="1"/>
    <row r="62339" ht="12" customHeight="1"/>
    <row r="62340" ht="12" customHeight="1"/>
    <row r="62341" ht="12" customHeight="1"/>
    <row r="62342" ht="12" customHeight="1"/>
    <row r="62343" ht="12" customHeight="1"/>
    <row r="62344" ht="12" customHeight="1"/>
    <row r="62345" ht="12" customHeight="1"/>
    <row r="62346" ht="12" customHeight="1"/>
    <row r="62347" ht="12" customHeight="1"/>
    <row r="62348" ht="12" customHeight="1"/>
    <row r="62349" ht="12" customHeight="1"/>
    <row r="62350" ht="12" customHeight="1"/>
    <row r="62351" ht="12" customHeight="1"/>
    <row r="62352" ht="12" customHeight="1"/>
    <row r="62353" ht="12" customHeight="1"/>
    <row r="62354" ht="12" customHeight="1"/>
    <row r="62355" ht="12" customHeight="1"/>
    <row r="62356" ht="12" customHeight="1"/>
    <row r="62357" ht="12" customHeight="1"/>
    <row r="62358" ht="12" customHeight="1"/>
    <row r="62359" ht="12" customHeight="1"/>
    <row r="62360" ht="12" customHeight="1"/>
    <row r="62361" ht="12" customHeight="1"/>
    <row r="62362" ht="12" customHeight="1"/>
    <row r="62363" ht="12" customHeight="1"/>
    <row r="62364" ht="12" customHeight="1"/>
    <row r="62365" ht="12" customHeight="1"/>
    <row r="62366" ht="12" customHeight="1"/>
    <row r="62367" ht="12" customHeight="1"/>
    <row r="62368" ht="12" customHeight="1"/>
    <row r="62369" ht="12" customHeight="1"/>
    <row r="62370" ht="12" customHeight="1"/>
    <row r="62371" ht="12" customHeight="1"/>
    <row r="62372" ht="12" customHeight="1"/>
    <row r="62373" ht="12" customHeight="1"/>
    <row r="62374" ht="12" customHeight="1"/>
    <row r="62375" ht="12" customHeight="1"/>
    <row r="62376" ht="12" customHeight="1"/>
    <row r="62377" ht="12" customHeight="1"/>
    <row r="62378" ht="12" customHeight="1"/>
    <row r="62379" ht="12" customHeight="1"/>
    <row r="62380" ht="12" customHeight="1"/>
    <row r="62381" ht="12" customHeight="1"/>
    <row r="62382" ht="12" customHeight="1"/>
    <row r="62383" ht="12" customHeight="1"/>
    <row r="62384" ht="12" customHeight="1"/>
    <row r="62385" ht="12" customHeight="1"/>
    <row r="62386" ht="12" customHeight="1"/>
    <row r="62387" ht="12" customHeight="1"/>
    <row r="62388" ht="12" customHeight="1"/>
    <row r="62389" ht="12" customHeight="1"/>
    <row r="62390" ht="12" customHeight="1"/>
    <row r="62391" ht="12" customHeight="1"/>
    <row r="62392" ht="12" customHeight="1"/>
    <row r="62393" ht="12" customHeight="1"/>
    <row r="62394" ht="12" customHeight="1"/>
    <row r="62395" ht="12" customHeight="1"/>
    <row r="62396" ht="12" customHeight="1"/>
    <row r="62397" ht="12" customHeight="1"/>
    <row r="62398" ht="12" customHeight="1"/>
    <row r="62399" ht="12" customHeight="1"/>
    <row r="62400" ht="12" customHeight="1"/>
    <row r="62401" ht="12" customHeight="1"/>
    <row r="62402" ht="12" customHeight="1"/>
    <row r="62403" ht="12" customHeight="1"/>
    <row r="62404" ht="12" customHeight="1"/>
    <row r="62405" ht="12" customHeight="1"/>
    <row r="62406" ht="12" customHeight="1"/>
    <row r="62407" ht="12" customHeight="1"/>
    <row r="62408" ht="12" customHeight="1"/>
    <row r="62409" ht="12" customHeight="1"/>
    <row r="62410" ht="12" customHeight="1"/>
    <row r="62411" ht="12" customHeight="1"/>
    <row r="62412" ht="12" customHeight="1"/>
    <row r="62413" ht="12" customHeight="1"/>
    <row r="62414" ht="12" customHeight="1"/>
    <row r="62415" ht="12" customHeight="1"/>
    <row r="62416" ht="12" customHeight="1"/>
    <row r="62417" ht="12" customHeight="1"/>
    <row r="62418" ht="12" customHeight="1"/>
    <row r="62419" ht="12" customHeight="1"/>
    <row r="62420" ht="12" customHeight="1"/>
    <row r="62421" ht="12" customHeight="1"/>
    <row r="62422" ht="12" customHeight="1"/>
    <row r="62423" ht="12" customHeight="1"/>
    <row r="62424" ht="12" customHeight="1"/>
    <row r="62425" ht="12" customHeight="1"/>
    <row r="62426" ht="12" customHeight="1"/>
    <row r="62427" ht="12" customHeight="1"/>
    <row r="62428" ht="12" customHeight="1"/>
    <row r="62429" ht="12" customHeight="1"/>
    <row r="62430" ht="12" customHeight="1"/>
    <row r="62431" ht="12" customHeight="1"/>
    <row r="62432" ht="12" customHeight="1"/>
    <row r="62433" ht="12" customHeight="1"/>
    <row r="62434" ht="12" customHeight="1"/>
    <row r="62435" ht="12" customHeight="1"/>
    <row r="62436" ht="12" customHeight="1"/>
    <row r="62437" ht="12" customHeight="1"/>
    <row r="62438" ht="12" customHeight="1"/>
    <row r="62439" ht="12" customHeight="1"/>
    <row r="62440" ht="12" customHeight="1"/>
    <row r="62441" ht="12" customHeight="1"/>
    <row r="62442" ht="12" customHeight="1"/>
    <row r="62443" ht="12" customHeight="1"/>
    <row r="62444" ht="12" customHeight="1"/>
    <row r="62445" ht="12" customHeight="1"/>
    <row r="62446" ht="12" customHeight="1"/>
    <row r="62447" ht="12" customHeight="1"/>
    <row r="62448" ht="12" customHeight="1"/>
    <row r="62449" ht="12" customHeight="1"/>
    <row r="62450" ht="12" customHeight="1"/>
    <row r="62451" ht="12" customHeight="1"/>
    <row r="62452" ht="12" customHeight="1"/>
    <row r="62453" ht="12" customHeight="1"/>
    <row r="62454" ht="12" customHeight="1"/>
    <row r="62455" ht="12" customHeight="1"/>
    <row r="62456" ht="12" customHeight="1"/>
    <row r="62457" ht="12" customHeight="1"/>
    <row r="62458" ht="12" customHeight="1"/>
    <row r="62459" ht="12" customHeight="1"/>
    <row r="62460" ht="12" customHeight="1"/>
    <row r="62461" ht="12" customHeight="1"/>
    <row r="62462" ht="12" customHeight="1"/>
    <row r="62463" ht="12" customHeight="1"/>
    <row r="62464" ht="12" customHeight="1"/>
    <row r="62465" ht="12" customHeight="1"/>
    <row r="62466" ht="12" customHeight="1"/>
    <row r="62467" ht="12" customHeight="1"/>
    <row r="62468" ht="12" customHeight="1"/>
    <row r="62469" ht="12" customHeight="1"/>
    <row r="62470" ht="12" customHeight="1"/>
    <row r="62471" ht="12" customHeight="1"/>
    <row r="62472" ht="12" customHeight="1"/>
    <row r="62473" ht="12" customHeight="1"/>
    <row r="62474" ht="12" customHeight="1"/>
    <row r="62475" ht="12" customHeight="1"/>
    <row r="62476" ht="12" customHeight="1"/>
    <row r="62477" ht="12" customHeight="1"/>
    <row r="62478" ht="12" customHeight="1"/>
    <row r="62479" ht="12" customHeight="1"/>
    <row r="62480" ht="12" customHeight="1"/>
    <row r="62481" ht="12" customHeight="1"/>
    <row r="62482" ht="12" customHeight="1"/>
    <row r="62483" ht="12" customHeight="1"/>
    <row r="62484" ht="12" customHeight="1"/>
    <row r="62485" ht="12" customHeight="1"/>
    <row r="62486" ht="12" customHeight="1"/>
    <row r="62487" ht="12" customHeight="1"/>
    <row r="62488" ht="12" customHeight="1"/>
    <row r="62489" ht="12" customHeight="1"/>
    <row r="62490" ht="12" customHeight="1"/>
    <row r="62491" ht="12" customHeight="1"/>
    <row r="62492" ht="12" customHeight="1"/>
    <row r="62493" ht="12" customHeight="1"/>
    <row r="62494" ht="12" customHeight="1"/>
    <row r="62495" ht="12" customHeight="1"/>
    <row r="62496" ht="12" customHeight="1"/>
    <row r="62497" ht="12" customHeight="1"/>
    <row r="62498" ht="12" customHeight="1"/>
    <row r="62499" ht="12" customHeight="1"/>
    <row r="62500" ht="12" customHeight="1"/>
    <row r="62501" ht="12" customHeight="1"/>
    <row r="62502" ht="12" customHeight="1"/>
    <row r="62503" ht="12" customHeight="1"/>
    <row r="62504" ht="12" customHeight="1"/>
    <row r="62505" ht="12" customHeight="1"/>
    <row r="62506" ht="12" customHeight="1"/>
    <row r="62507" ht="12" customHeight="1"/>
    <row r="62508" ht="12" customHeight="1"/>
    <row r="62509" ht="12" customHeight="1"/>
    <row r="62510" ht="12" customHeight="1"/>
    <row r="62511" ht="12" customHeight="1"/>
    <row r="62512" ht="12" customHeight="1"/>
    <row r="62513" ht="12" customHeight="1"/>
    <row r="62514" ht="12" customHeight="1"/>
    <row r="62515" ht="12" customHeight="1"/>
    <row r="62516" ht="12" customHeight="1"/>
    <row r="62517" ht="12" customHeight="1"/>
    <row r="62518" ht="12" customHeight="1"/>
    <row r="62519" ht="12" customHeight="1"/>
    <row r="62520" ht="12" customHeight="1"/>
    <row r="62521" ht="12" customHeight="1"/>
    <row r="62522" ht="12" customHeight="1"/>
    <row r="62523" ht="12" customHeight="1"/>
    <row r="62524" ht="12" customHeight="1"/>
    <row r="62525" ht="12" customHeight="1"/>
    <row r="62526" ht="12" customHeight="1"/>
    <row r="62527" ht="12" customHeight="1"/>
    <row r="62528" ht="12" customHeight="1"/>
    <row r="62529" ht="12" customHeight="1"/>
    <row r="62530" ht="12" customHeight="1"/>
    <row r="62531" ht="12" customHeight="1"/>
    <row r="62532" ht="12" customHeight="1"/>
    <row r="62533" ht="12" customHeight="1"/>
    <row r="62534" ht="12" customHeight="1"/>
    <row r="62535" ht="12" customHeight="1"/>
    <row r="62536" ht="12" customHeight="1"/>
    <row r="62537" ht="12" customHeight="1"/>
    <row r="62538" ht="12" customHeight="1"/>
    <row r="62539" ht="12" customHeight="1"/>
    <row r="62540" ht="12" customHeight="1"/>
    <row r="62541" ht="12" customHeight="1"/>
    <row r="62542" ht="12" customHeight="1"/>
    <row r="62543" ht="12" customHeight="1"/>
    <row r="62544" ht="12" customHeight="1"/>
    <row r="62545" ht="12" customHeight="1"/>
    <row r="62546" ht="12" customHeight="1"/>
    <row r="62547" ht="12" customHeight="1"/>
    <row r="62548" ht="12" customHeight="1"/>
    <row r="62549" ht="12" customHeight="1"/>
    <row r="62550" ht="12" customHeight="1"/>
    <row r="62551" ht="12" customHeight="1"/>
    <row r="62552" ht="12" customHeight="1"/>
    <row r="62553" ht="12" customHeight="1"/>
    <row r="62554" ht="12" customHeight="1"/>
    <row r="62555" ht="12" customHeight="1"/>
    <row r="62556" ht="12" customHeight="1"/>
    <row r="62557" ht="12" customHeight="1"/>
    <row r="62558" ht="12" customHeight="1"/>
    <row r="62559" ht="12" customHeight="1"/>
    <row r="62560" ht="12" customHeight="1"/>
    <row r="62561" ht="12" customHeight="1"/>
    <row r="62562" ht="12" customHeight="1"/>
    <row r="62563" ht="12" customHeight="1"/>
    <row r="62564" ht="12" customHeight="1"/>
    <row r="62565" ht="12" customHeight="1"/>
    <row r="62566" ht="12" customHeight="1"/>
    <row r="62567" ht="12" customHeight="1"/>
    <row r="62568" ht="12" customHeight="1"/>
    <row r="62569" ht="12" customHeight="1"/>
    <row r="62570" ht="12" customHeight="1"/>
    <row r="62571" ht="12" customHeight="1"/>
    <row r="62572" ht="12" customHeight="1"/>
    <row r="62573" ht="12" customHeight="1"/>
    <row r="62574" ht="12" customHeight="1"/>
    <row r="62575" ht="12" customHeight="1"/>
    <row r="62576" ht="12" customHeight="1"/>
    <row r="62577" ht="12" customHeight="1"/>
    <row r="62578" ht="12" customHeight="1"/>
    <row r="62579" ht="12" customHeight="1"/>
    <row r="62580" ht="12" customHeight="1"/>
    <row r="62581" ht="12" customHeight="1"/>
    <row r="62582" ht="12" customHeight="1"/>
    <row r="62583" ht="12" customHeight="1"/>
    <row r="62584" ht="12" customHeight="1"/>
    <row r="62585" ht="12" customHeight="1"/>
    <row r="62586" ht="12" customHeight="1"/>
    <row r="62587" ht="12" customHeight="1"/>
    <row r="62588" ht="12" customHeight="1"/>
    <row r="62589" ht="12" customHeight="1"/>
    <row r="62590" ht="12" customHeight="1"/>
    <row r="62591" ht="12" customHeight="1"/>
    <row r="62592" ht="12" customHeight="1"/>
    <row r="62593" ht="12" customHeight="1"/>
    <row r="62594" ht="12" customHeight="1"/>
    <row r="62595" ht="12" customHeight="1"/>
    <row r="62596" ht="12" customHeight="1"/>
    <row r="62597" ht="12" customHeight="1"/>
    <row r="62598" ht="12" customHeight="1"/>
    <row r="62599" ht="12" customHeight="1"/>
    <row r="62600" ht="12" customHeight="1"/>
    <row r="62601" ht="12" customHeight="1"/>
    <row r="62602" ht="12" customHeight="1"/>
    <row r="62603" ht="12" customHeight="1"/>
    <row r="62604" ht="12" customHeight="1"/>
    <row r="62605" ht="12" customHeight="1"/>
    <row r="62606" ht="12" customHeight="1"/>
    <row r="62607" ht="12" customHeight="1"/>
    <row r="62608" ht="12" customHeight="1"/>
    <row r="62609" ht="12" customHeight="1"/>
    <row r="62610" ht="12" customHeight="1"/>
    <row r="62611" ht="12" customHeight="1"/>
    <row r="62612" ht="12" customHeight="1"/>
    <row r="62613" ht="12" customHeight="1"/>
    <row r="62614" ht="12" customHeight="1"/>
    <row r="62615" ht="12" customHeight="1"/>
    <row r="62616" ht="12" customHeight="1"/>
    <row r="62617" ht="12" customHeight="1"/>
    <row r="62618" ht="12" customHeight="1"/>
    <row r="62619" ht="12" customHeight="1"/>
    <row r="62620" ht="12" customHeight="1"/>
    <row r="62621" ht="12" customHeight="1"/>
    <row r="62622" ht="12" customHeight="1"/>
    <row r="62623" ht="12" customHeight="1"/>
    <row r="62624" ht="12" customHeight="1"/>
    <row r="62625" ht="12" customHeight="1"/>
    <row r="62626" ht="12" customHeight="1"/>
    <row r="62627" ht="12" customHeight="1"/>
    <row r="62628" ht="12" customHeight="1"/>
    <row r="62629" ht="12" customHeight="1"/>
    <row r="62630" ht="12" customHeight="1"/>
    <row r="62631" ht="12" customHeight="1"/>
    <row r="62632" ht="12" customHeight="1"/>
    <row r="62633" ht="12" customHeight="1"/>
    <row r="62634" ht="12" customHeight="1"/>
    <row r="62635" ht="12" customHeight="1"/>
    <row r="62636" ht="12" customHeight="1"/>
    <row r="62637" ht="12" customHeight="1"/>
    <row r="62638" ht="12" customHeight="1"/>
    <row r="62639" ht="12" customHeight="1"/>
    <row r="62640" ht="12" customHeight="1"/>
    <row r="62641" ht="12" customHeight="1"/>
    <row r="62642" ht="12" customHeight="1"/>
    <row r="62643" ht="12" customHeight="1"/>
    <row r="62644" ht="12" customHeight="1"/>
    <row r="62645" ht="12" customHeight="1"/>
    <row r="62646" ht="12" customHeight="1"/>
    <row r="62647" ht="12" customHeight="1"/>
    <row r="62648" ht="12" customHeight="1"/>
    <row r="62649" ht="12" customHeight="1"/>
    <row r="62650" ht="12" customHeight="1"/>
    <row r="62651" ht="12" customHeight="1"/>
    <row r="62652" ht="12" customHeight="1"/>
    <row r="62653" ht="12" customHeight="1"/>
    <row r="62654" ht="12" customHeight="1"/>
    <row r="62655" ht="12" customHeight="1"/>
    <row r="62656" ht="12" customHeight="1"/>
    <row r="62657" ht="12" customHeight="1"/>
    <row r="62658" ht="12" customHeight="1"/>
    <row r="62659" ht="12" customHeight="1"/>
    <row r="62660" ht="12" customHeight="1"/>
    <row r="62661" ht="12" customHeight="1"/>
    <row r="62662" ht="12" customHeight="1"/>
    <row r="62663" ht="12" customHeight="1"/>
    <row r="62664" ht="12" customHeight="1"/>
    <row r="62665" ht="12" customHeight="1"/>
    <row r="62666" ht="12" customHeight="1"/>
    <row r="62667" ht="12" customHeight="1"/>
    <row r="62668" ht="12" customHeight="1"/>
    <row r="62669" ht="12" customHeight="1"/>
    <row r="62670" ht="12" customHeight="1"/>
    <row r="62671" ht="12" customHeight="1"/>
    <row r="62672" ht="12" customHeight="1"/>
    <row r="62673" ht="12" customHeight="1"/>
    <row r="62674" ht="12" customHeight="1"/>
    <row r="62675" ht="12" customHeight="1"/>
    <row r="62676" ht="12" customHeight="1"/>
    <row r="62677" ht="12" customHeight="1"/>
    <row r="62678" ht="12" customHeight="1"/>
    <row r="62679" ht="12" customHeight="1"/>
    <row r="62680" ht="12" customHeight="1"/>
    <row r="62681" ht="12" customHeight="1"/>
    <row r="62682" ht="12" customHeight="1"/>
    <row r="62683" ht="12" customHeight="1"/>
    <row r="62684" ht="12" customHeight="1"/>
    <row r="62685" ht="12" customHeight="1"/>
    <row r="62686" ht="12" customHeight="1"/>
    <row r="62687" ht="12" customHeight="1"/>
    <row r="62688" ht="12" customHeight="1"/>
    <row r="62689" ht="12" customHeight="1"/>
    <row r="62690" ht="12" customHeight="1"/>
    <row r="62691" ht="12" customHeight="1"/>
    <row r="62692" ht="12" customHeight="1"/>
    <row r="62693" ht="12" customHeight="1"/>
    <row r="62694" ht="12" customHeight="1"/>
    <row r="62695" ht="12" customHeight="1"/>
    <row r="62696" ht="12" customHeight="1"/>
    <row r="62697" ht="12" customHeight="1"/>
    <row r="62698" ht="12" customHeight="1"/>
    <row r="62699" ht="12" customHeight="1"/>
    <row r="62700" ht="12" customHeight="1"/>
    <row r="62701" ht="12" customHeight="1"/>
    <row r="62702" ht="12" customHeight="1"/>
    <row r="62703" ht="12" customHeight="1"/>
    <row r="62704" ht="12" customHeight="1"/>
    <row r="62705" ht="12" customHeight="1"/>
    <row r="62706" ht="12" customHeight="1"/>
    <row r="62707" ht="12" customHeight="1"/>
    <row r="62708" ht="12" customHeight="1"/>
    <row r="62709" ht="12" customHeight="1"/>
    <row r="62710" ht="12" customHeight="1"/>
    <row r="62711" ht="12" customHeight="1"/>
    <row r="62712" ht="12" customHeight="1"/>
    <row r="62713" ht="12" customHeight="1"/>
    <row r="62714" ht="12" customHeight="1"/>
    <row r="62715" ht="12" customHeight="1"/>
    <row r="62716" ht="12" customHeight="1"/>
    <row r="62717" ht="12" customHeight="1"/>
    <row r="62718" ht="12" customHeight="1"/>
    <row r="62719" ht="12" customHeight="1"/>
    <row r="62720" ht="12" customHeight="1"/>
    <row r="62721" ht="12" customHeight="1"/>
    <row r="62722" ht="12" customHeight="1"/>
    <row r="62723" ht="12" customHeight="1"/>
    <row r="62724" ht="12" customHeight="1"/>
    <row r="62725" ht="12" customHeight="1"/>
    <row r="62726" ht="12" customHeight="1"/>
    <row r="62727" ht="12" customHeight="1"/>
    <row r="62728" ht="12" customHeight="1"/>
    <row r="62729" ht="12" customHeight="1"/>
    <row r="62730" ht="12" customHeight="1"/>
    <row r="62731" ht="12" customHeight="1"/>
    <row r="62732" ht="12" customHeight="1"/>
    <row r="62733" ht="12" customHeight="1"/>
    <row r="62734" ht="12" customHeight="1"/>
    <row r="62735" ht="12" customHeight="1"/>
    <row r="62736" ht="12" customHeight="1"/>
    <row r="62737" ht="12" customHeight="1"/>
    <row r="62738" ht="12" customHeight="1"/>
    <row r="62739" ht="12" customHeight="1"/>
    <row r="62740" ht="12" customHeight="1"/>
    <row r="62741" ht="12" customHeight="1"/>
    <row r="62742" ht="12" customHeight="1"/>
    <row r="62743" ht="12" customHeight="1"/>
    <row r="62744" ht="12" customHeight="1"/>
    <row r="62745" ht="12" customHeight="1"/>
    <row r="62746" ht="12" customHeight="1"/>
    <row r="62747" ht="12" customHeight="1"/>
    <row r="62748" ht="12" customHeight="1"/>
    <row r="62749" ht="12" customHeight="1"/>
    <row r="62750" ht="12" customHeight="1"/>
    <row r="62751" ht="12" customHeight="1"/>
    <row r="62752" ht="12" customHeight="1"/>
    <row r="62753" ht="12" customHeight="1"/>
    <row r="62754" ht="12" customHeight="1"/>
    <row r="62755" ht="12" customHeight="1"/>
    <row r="62756" ht="12" customHeight="1"/>
    <row r="62757" ht="12" customHeight="1"/>
    <row r="62758" ht="12" customHeight="1"/>
    <row r="62759" ht="12" customHeight="1"/>
    <row r="62760" ht="12" customHeight="1"/>
    <row r="62761" ht="12" customHeight="1"/>
    <row r="62762" ht="12" customHeight="1"/>
    <row r="62763" ht="12" customHeight="1"/>
    <row r="62764" ht="12" customHeight="1"/>
    <row r="62765" ht="12" customHeight="1"/>
    <row r="62766" ht="12" customHeight="1"/>
    <row r="62767" ht="12" customHeight="1"/>
    <row r="62768" ht="12" customHeight="1"/>
    <row r="62769" ht="12" customHeight="1"/>
    <row r="62770" ht="12" customHeight="1"/>
    <row r="62771" ht="12" customHeight="1"/>
    <row r="62772" ht="12" customHeight="1"/>
    <row r="62773" ht="12" customHeight="1"/>
    <row r="62774" ht="12" customHeight="1"/>
    <row r="62775" ht="12" customHeight="1"/>
    <row r="62776" ht="12" customHeight="1"/>
    <row r="62777" ht="12" customHeight="1"/>
    <row r="62778" ht="12" customHeight="1"/>
    <row r="62779" ht="12" customHeight="1"/>
    <row r="62780" ht="12" customHeight="1"/>
    <row r="62781" ht="12" customHeight="1"/>
    <row r="62782" ht="12" customHeight="1"/>
    <row r="62783" ht="12" customHeight="1"/>
    <row r="62784" ht="12" customHeight="1"/>
    <row r="62785" ht="12" customHeight="1"/>
    <row r="62786" ht="12" customHeight="1"/>
    <row r="62787" ht="12" customHeight="1"/>
    <row r="62788" ht="12" customHeight="1"/>
    <row r="62789" ht="12" customHeight="1"/>
    <row r="62790" ht="12" customHeight="1"/>
    <row r="62791" ht="12" customHeight="1"/>
    <row r="62792" ht="12" customHeight="1"/>
    <row r="62793" ht="12" customHeight="1"/>
    <row r="62794" ht="12" customHeight="1"/>
    <row r="62795" ht="12" customHeight="1"/>
    <row r="62796" ht="12" customHeight="1"/>
    <row r="62797" ht="12" customHeight="1"/>
    <row r="62798" ht="12" customHeight="1"/>
    <row r="62799" ht="12" customHeight="1"/>
    <row r="62800" ht="12" customHeight="1"/>
    <row r="62801" ht="12" customHeight="1"/>
    <row r="62802" ht="12" customHeight="1"/>
    <row r="62803" ht="12" customHeight="1"/>
    <row r="62804" ht="12" customHeight="1"/>
    <row r="62805" ht="12" customHeight="1"/>
    <row r="62806" ht="12" customHeight="1"/>
    <row r="62807" ht="12" customHeight="1"/>
    <row r="62808" ht="12" customHeight="1"/>
    <row r="62809" ht="12" customHeight="1"/>
    <row r="62810" ht="12" customHeight="1"/>
    <row r="62811" ht="12" customHeight="1"/>
    <row r="62812" ht="12" customHeight="1"/>
    <row r="62813" ht="12" customHeight="1"/>
    <row r="62814" ht="12" customHeight="1"/>
    <row r="62815" ht="12" customHeight="1"/>
    <row r="62816" ht="12" customHeight="1"/>
    <row r="62817" ht="12" customHeight="1"/>
    <row r="62818" ht="12" customHeight="1"/>
    <row r="62819" ht="12" customHeight="1"/>
    <row r="62820" ht="12" customHeight="1"/>
    <row r="62821" ht="12" customHeight="1"/>
    <row r="62822" ht="12" customHeight="1"/>
    <row r="62823" ht="12" customHeight="1"/>
    <row r="62824" ht="12" customHeight="1"/>
    <row r="62825" ht="12" customHeight="1"/>
    <row r="62826" ht="12" customHeight="1"/>
    <row r="62827" ht="12" customHeight="1"/>
    <row r="62828" ht="12" customHeight="1"/>
    <row r="62829" ht="12" customHeight="1"/>
    <row r="62830" ht="12" customHeight="1"/>
    <row r="62831" ht="12" customHeight="1"/>
    <row r="62832" ht="12" customHeight="1"/>
    <row r="62833" ht="12" customHeight="1"/>
    <row r="62834" ht="12" customHeight="1"/>
    <row r="62835" ht="12" customHeight="1"/>
    <row r="62836" ht="12" customHeight="1"/>
    <row r="62837" ht="12" customHeight="1"/>
    <row r="62838" ht="12" customHeight="1"/>
    <row r="62839" ht="12" customHeight="1"/>
    <row r="62840" ht="12" customHeight="1"/>
    <row r="62841" ht="12" customHeight="1"/>
    <row r="62842" ht="12" customHeight="1"/>
    <row r="62843" ht="12" customHeight="1"/>
    <row r="62844" ht="12" customHeight="1"/>
    <row r="62845" ht="12" customHeight="1"/>
    <row r="62846" ht="12" customHeight="1"/>
    <row r="62847" ht="12" customHeight="1"/>
    <row r="62848" ht="12" customHeight="1"/>
    <row r="62849" ht="12" customHeight="1"/>
    <row r="62850" ht="12" customHeight="1"/>
    <row r="62851" ht="12" customHeight="1"/>
    <row r="62852" ht="12" customHeight="1"/>
    <row r="62853" ht="12" customHeight="1"/>
    <row r="62854" ht="12" customHeight="1"/>
    <row r="62855" ht="12" customHeight="1"/>
    <row r="62856" ht="12" customHeight="1"/>
    <row r="62857" ht="12" customHeight="1"/>
    <row r="62858" ht="12" customHeight="1"/>
    <row r="62859" ht="12" customHeight="1"/>
    <row r="62860" ht="12" customHeight="1"/>
    <row r="62861" ht="12" customHeight="1"/>
    <row r="62862" ht="12" customHeight="1"/>
    <row r="62863" ht="12" customHeight="1"/>
    <row r="62864" ht="12" customHeight="1"/>
    <row r="62865" ht="12" customHeight="1"/>
    <row r="62866" ht="12" customHeight="1"/>
    <row r="62867" ht="12" customHeight="1"/>
    <row r="62868" ht="12" customHeight="1"/>
    <row r="62869" ht="12" customHeight="1"/>
    <row r="62870" ht="12" customHeight="1"/>
    <row r="62871" ht="12" customHeight="1"/>
    <row r="62872" ht="12" customHeight="1"/>
    <row r="62873" ht="12" customHeight="1"/>
    <row r="62874" ht="12" customHeight="1"/>
    <row r="62875" ht="12" customHeight="1"/>
    <row r="62876" ht="12" customHeight="1"/>
    <row r="62877" ht="12" customHeight="1"/>
    <row r="62878" ht="12" customHeight="1"/>
    <row r="62879" ht="12" customHeight="1"/>
    <row r="62880" ht="12" customHeight="1"/>
    <row r="62881" ht="12" customHeight="1"/>
    <row r="62882" ht="12" customHeight="1"/>
    <row r="62883" ht="12" customHeight="1"/>
    <row r="62884" ht="12" customHeight="1"/>
    <row r="62885" ht="12" customHeight="1"/>
    <row r="62886" ht="12" customHeight="1"/>
    <row r="62887" ht="12" customHeight="1"/>
    <row r="62888" ht="12" customHeight="1"/>
    <row r="62889" ht="12" customHeight="1"/>
    <row r="62890" ht="12" customHeight="1"/>
    <row r="62891" ht="12" customHeight="1"/>
    <row r="62892" ht="12" customHeight="1"/>
    <row r="62893" ht="12" customHeight="1"/>
    <row r="62894" ht="12" customHeight="1"/>
    <row r="62895" ht="12" customHeight="1"/>
    <row r="62896" ht="12" customHeight="1"/>
    <row r="62897" ht="12" customHeight="1"/>
    <row r="62898" ht="12" customHeight="1"/>
    <row r="62899" ht="12" customHeight="1"/>
    <row r="62900" ht="12" customHeight="1"/>
    <row r="62901" ht="12" customHeight="1"/>
    <row r="62902" ht="12" customHeight="1"/>
    <row r="62903" ht="12" customHeight="1"/>
    <row r="62904" ht="12" customHeight="1"/>
    <row r="62905" ht="12" customHeight="1"/>
    <row r="62906" ht="12" customHeight="1"/>
    <row r="62907" ht="12" customHeight="1"/>
    <row r="62908" ht="12" customHeight="1"/>
    <row r="62909" ht="12" customHeight="1"/>
    <row r="62910" ht="12" customHeight="1"/>
    <row r="62911" ht="12" customHeight="1"/>
    <row r="62912" ht="12" customHeight="1"/>
    <row r="62913" ht="12" customHeight="1"/>
    <row r="62914" ht="12" customHeight="1"/>
    <row r="62915" ht="12" customHeight="1"/>
    <row r="62916" ht="12" customHeight="1"/>
    <row r="62917" ht="12" customHeight="1"/>
    <row r="62918" ht="12" customHeight="1"/>
    <row r="62919" ht="12" customHeight="1"/>
    <row r="62920" ht="12" customHeight="1"/>
    <row r="62921" ht="12" customHeight="1"/>
    <row r="62922" ht="12" customHeight="1"/>
    <row r="62923" ht="12" customHeight="1"/>
    <row r="62924" ht="12" customHeight="1"/>
    <row r="62925" ht="12" customHeight="1"/>
    <row r="62926" ht="12" customHeight="1"/>
    <row r="62927" ht="12" customHeight="1"/>
    <row r="62928" ht="12" customHeight="1"/>
    <row r="62929" ht="12" customHeight="1"/>
    <row r="62930" ht="12" customHeight="1"/>
    <row r="62931" ht="12" customHeight="1"/>
    <row r="62932" ht="12" customHeight="1"/>
    <row r="62933" ht="12" customHeight="1"/>
    <row r="62934" ht="12" customHeight="1"/>
    <row r="62935" ht="12" customHeight="1"/>
    <row r="62936" ht="12" customHeight="1"/>
    <row r="62937" ht="12" customHeight="1"/>
    <row r="62938" ht="12" customHeight="1"/>
    <row r="62939" ht="12" customHeight="1"/>
    <row r="62940" ht="12" customHeight="1"/>
    <row r="62941" ht="12" customHeight="1"/>
    <row r="62942" ht="12" customHeight="1"/>
    <row r="62943" ht="12" customHeight="1"/>
    <row r="62944" ht="12" customHeight="1"/>
    <row r="62945" ht="12" customHeight="1"/>
    <row r="62946" ht="12" customHeight="1"/>
    <row r="62947" ht="12" customHeight="1"/>
    <row r="62948" ht="12" customHeight="1"/>
    <row r="62949" ht="12" customHeight="1"/>
    <row r="62950" ht="12" customHeight="1"/>
    <row r="62951" ht="12" customHeight="1"/>
    <row r="62952" ht="12" customHeight="1"/>
    <row r="62953" ht="12" customHeight="1"/>
    <row r="62954" ht="12" customHeight="1"/>
    <row r="62955" ht="12" customHeight="1"/>
    <row r="62956" ht="12" customHeight="1"/>
    <row r="62957" ht="12" customHeight="1"/>
    <row r="62958" ht="12" customHeight="1"/>
    <row r="62959" ht="12" customHeight="1"/>
    <row r="62960" ht="12" customHeight="1"/>
    <row r="62961" ht="12" customHeight="1"/>
    <row r="62962" ht="12" customHeight="1"/>
    <row r="62963" ht="12" customHeight="1"/>
    <row r="62964" ht="12" customHeight="1"/>
    <row r="62965" ht="12" customHeight="1"/>
    <row r="62966" ht="12" customHeight="1"/>
    <row r="62967" ht="12" customHeight="1"/>
    <row r="62968" ht="12" customHeight="1"/>
    <row r="62969" ht="12" customHeight="1"/>
    <row r="62970" ht="12" customHeight="1"/>
    <row r="62971" ht="12" customHeight="1"/>
    <row r="62972" ht="12" customHeight="1"/>
    <row r="62973" ht="12" customHeight="1"/>
    <row r="62974" ht="12" customHeight="1"/>
    <row r="62975" ht="12" customHeight="1"/>
    <row r="62976" ht="12" customHeight="1"/>
    <row r="62977" ht="12" customHeight="1"/>
    <row r="62978" ht="12" customHeight="1"/>
    <row r="62979" ht="12" customHeight="1"/>
    <row r="62980" ht="12" customHeight="1"/>
    <row r="62981" ht="12" customHeight="1"/>
    <row r="62982" ht="12" customHeight="1"/>
    <row r="62983" ht="12" customHeight="1"/>
    <row r="62984" ht="12" customHeight="1"/>
    <row r="62985" ht="12" customHeight="1"/>
    <row r="62986" ht="12" customHeight="1"/>
    <row r="62987" ht="12" customHeight="1"/>
    <row r="62988" ht="12" customHeight="1"/>
    <row r="62989" ht="12" customHeight="1"/>
    <row r="62990" ht="12" customHeight="1"/>
    <row r="62991" ht="12" customHeight="1"/>
    <row r="62992" ht="12" customHeight="1"/>
    <row r="62993" ht="12" customHeight="1"/>
    <row r="62994" ht="12" customHeight="1"/>
    <row r="62995" ht="12" customHeight="1"/>
    <row r="62996" ht="12" customHeight="1"/>
    <row r="62997" ht="12" customHeight="1"/>
    <row r="62998" ht="12" customHeight="1"/>
    <row r="62999" ht="12" customHeight="1"/>
    <row r="63000" ht="12" customHeight="1"/>
    <row r="63001" ht="12" customHeight="1"/>
    <row r="63002" ht="12" customHeight="1"/>
    <row r="63003" ht="12" customHeight="1"/>
    <row r="63004" ht="12" customHeight="1"/>
    <row r="63005" ht="12" customHeight="1"/>
    <row r="63006" ht="12" customHeight="1"/>
    <row r="63007" ht="12" customHeight="1"/>
    <row r="63008" ht="12" customHeight="1"/>
    <row r="63009" ht="12" customHeight="1"/>
    <row r="63010" ht="12" customHeight="1"/>
    <row r="63011" ht="12" customHeight="1"/>
    <row r="63012" ht="12" customHeight="1"/>
    <row r="63013" ht="12" customHeight="1"/>
    <row r="63014" ht="12" customHeight="1"/>
    <row r="63015" ht="12" customHeight="1"/>
    <row r="63016" ht="12" customHeight="1"/>
    <row r="63017" ht="12" customHeight="1"/>
    <row r="63018" ht="12" customHeight="1"/>
    <row r="63019" ht="12" customHeight="1"/>
    <row r="63020" ht="12" customHeight="1"/>
    <row r="63021" ht="12" customHeight="1"/>
    <row r="63022" ht="12" customHeight="1"/>
    <row r="63023" ht="12" customHeight="1"/>
    <row r="63024" ht="12" customHeight="1"/>
    <row r="63025" ht="12" customHeight="1"/>
    <row r="63026" ht="12" customHeight="1"/>
    <row r="63027" ht="12" customHeight="1"/>
    <row r="63028" ht="12" customHeight="1"/>
    <row r="63029" ht="12" customHeight="1"/>
    <row r="63030" ht="12" customHeight="1"/>
    <row r="63031" ht="12" customHeight="1"/>
    <row r="63032" ht="12" customHeight="1"/>
    <row r="63033" ht="12" customHeight="1"/>
    <row r="63034" ht="12" customHeight="1"/>
    <row r="63035" ht="12" customHeight="1"/>
    <row r="63036" ht="12" customHeight="1"/>
    <row r="63037" ht="12" customHeight="1"/>
    <row r="63038" ht="12" customHeight="1"/>
    <row r="63039" ht="12" customHeight="1"/>
    <row r="63040" ht="12" customHeight="1"/>
    <row r="63041" ht="12" customHeight="1"/>
    <row r="63042" ht="12" customHeight="1"/>
    <row r="63043" ht="12" customHeight="1"/>
    <row r="63044" ht="12" customHeight="1"/>
    <row r="63045" ht="12" customHeight="1"/>
    <row r="63046" ht="12" customHeight="1"/>
    <row r="63047" ht="12" customHeight="1"/>
    <row r="63048" ht="12" customHeight="1"/>
    <row r="63049" ht="12" customHeight="1"/>
    <row r="63050" ht="12" customHeight="1"/>
    <row r="63051" ht="12" customHeight="1"/>
    <row r="63052" ht="12" customHeight="1"/>
    <row r="63053" ht="12" customHeight="1"/>
    <row r="63054" ht="12" customHeight="1"/>
    <row r="63055" ht="12" customHeight="1"/>
    <row r="63056" ht="12" customHeight="1"/>
    <row r="63057" ht="12" customHeight="1"/>
    <row r="63058" ht="12" customHeight="1"/>
    <row r="63059" ht="12" customHeight="1"/>
    <row r="63060" ht="12" customHeight="1"/>
    <row r="63061" ht="12" customHeight="1"/>
    <row r="63062" ht="12" customHeight="1"/>
    <row r="63063" ht="12" customHeight="1"/>
    <row r="63064" ht="12" customHeight="1"/>
    <row r="63065" ht="12" customHeight="1"/>
    <row r="63066" ht="12" customHeight="1"/>
    <row r="63067" ht="12" customHeight="1"/>
    <row r="63068" ht="12" customHeight="1"/>
    <row r="63069" ht="12" customHeight="1"/>
    <row r="63070" ht="12" customHeight="1"/>
    <row r="63071" ht="12" customHeight="1"/>
    <row r="63072" ht="12" customHeight="1"/>
    <row r="63073" ht="12" customHeight="1"/>
    <row r="63074" ht="12" customHeight="1"/>
    <row r="63075" ht="12" customHeight="1"/>
    <row r="63076" ht="12" customHeight="1"/>
    <row r="63077" ht="12" customHeight="1"/>
    <row r="63078" ht="12" customHeight="1"/>
    <row r="63079" ht="12" customHeight="1"/>
    <row r="63080" ht="12" customHeight="1"/>
    <row r="63081" ht="12" customHeight="1"/>
    <row r="63082" ht="12" customHeight="1"/>
    <row r="63083" ht="12" customHeight="1"/>
    <row r="63084" ht="12" customHeight="1"/>
    <row r="63085" ht="12" customHeight="1"/>
    <row r="63086" ht="12" customHeight="1"/>
    <row r="63087" ht="12" customHeight="1"/>
    <row r="63088" ht="12" customHeight="1"/>
    <row r="63089" ht="12" customHeight="1"/>
    <row r="63090" ht="12" customHeight="1"/>
    <row r="63091" ht="12" customHeight="1"/>
    <row r="63092" ht="12" customHeight="1"/>
    <row r="63093" ht="12" customHeight="1"/>
    <row r="63094" ht="12" customHeight="1"/>
    <row r="63095" ht="12" customHeight="1"/>
    <row r="63096" ht="12" customHeight="1"/>
    <row r="63097" ht="12" customHeight="1"/>
    <row r="63098" ht="12" customHeight="1"/>
    <row r="63099" ht="12" customHeight="1"/>
    <row r="63100" ht="12" customHeight="1"/>
    <row r="63101" ht="12" customHeight="1"/>
    <row r="63102" ht="12" customHeight="1"/>
    <row r="63103" ht="12" customHeight="1"/>
    <row r="63104" ht="12" customHeight="1"/>
    <row r="63105" ht="12" customHeight="1"/>
    <row r="63106" ht="12" customHeight="1"/>
    <row r="63107" ht="12" customHeight="1"/>
    <row r="63108" ht="12" customHeight="1"/>
    <row r="63109" ht="12" customHeight="1"/>
    <row r="63110" ht="12" customHeight="1"/>
    <row r="63111" ht="12" customHeight="1"/>
    <row r="63112" ht="12" customHeight="1"/>
    <row r="63113" ht="12" customHeight="1"/>
    <row r="63114" ht="12" customHeight="1"/>
    <row r="63115" ht="12" customHeight="1"/>
    <row r="63116" ht="12" customHeight="1"/>
    <row r="63117" ht="12" customHeight="1"/>
    <row r="63118" ht="12" customHeight="1"/>
    <row r="63119" ht="12" customHeight="1"/>
    <row r="63120" ht="12" customHeight="1"/>
    <row r="63121" ht="12" customHeight="1"/>
    <row r="63122" ht="12" customHeight="1"/>
    <row r="63123" ht="12" customHeight="1"/>
    <row r="63124" ht="12" customHeight="1"/>
    <row r="63125" ht="12" customHeight="1"/>
    <row r="63126" ht="12" customHeight="1"/>
    <row r="63127" ht="12" customHeight="1"/>
    <row r="63128" ht="12" customHeight="1"/>
    <row r="63129" ht="12" customHeight="1"/>
    <row r="63130" ht="12" customHeight="1"/>
    <row r="63131" ht="12" customHeight="1"/>
    <row r="63132" ht="12" customHeight="1"/>
    <row r="63133" ht="12" customHeight="1"/>
    <row r="63134" ht="12" customHeight="1"/>
    <row r="63135" ht="12" customHeight="1"/>
    <row r="63136" ht="12" customHeight="1"/>
    <row r="63137" ht="12" customHeight="1"/>
    <row r="63138" ht="12" customHeight="1"/>
    <row r="63139" ht="12" customHeight="1"/>
    <row r="63140" ht="12" customHeight="1"/>
    <row r="63141" ht="12" customHeight="1"/>
    <row r="63142" ht="12" customHeight="1"/>
    <row r="63143" ht="12" customHeight="1"/>
    <row r="63144" ht="12" customHeight="1"/>
    <row r="63145" ht="12" customHeight="1"/>
    <row r="63146" ht="12" customHeight="1"/>
    <row r="63147" ht="12" customHeight="1"/>
    <row r="63148" ht="12" customHeight="1"/>
    <row r="63149" ht="12" customHeight="1"/>
    <row r="63150" ht="12" customHeight="1"/>
    <row r="63151" ht="12" customHeight="1"/>
    <row r="63152" ht="12" customHeight="1"/>
    <row r="63153" ht="12" customHeight="1"/>
    <row r="63154" ht="12" customHeight="1"/>
    <row r="63155" ht="12" customHeight="1"/>
    <row r="63156" ht="12" customHeight="1"/>
    <row r="63157" ht="12" customHeight="1"/>
    <row r="63158" ht="12" customHeight="1"/>
    <row r="63159" ht="12" customHeight="1"/>
    <row r="63160" ht="12" customHeight="1"/>
    <row r="63161" ht="12" customHeight="1"/>
    <row r="63162" ht="12" customHeight="1"/>
    <row r="63163" ht="12" customHeight="1"/>
    <row r="63164" ht="12" customHeight="1"/>
    <row r="63165" ht="12" customHeight="1"/>
    <row r="63166" ht="12" customHeight="1"/>
    <row r="63167" ht="12" customHeight="1"/>
    <row r="63168" ht="12" customHeight="1"/>
    <row r="63169" ht="12" customHeight="1"/>
    <row r="63170" ht="12" customHeight="1"/>
    <row r="63171" ht="12" customHeight="1"/>
    <row r="63172" ht="12" customHeight="1"/>
    <row r="63173" ht="12" customHeight="1"/>
    <row r="63174" ht="12" customHeight="1"/>
    <row r="63175" ht="12" customHeight="1"/>
    <row r="63176" ht="12" customHeight="1"/>
    <row r="63177" ht="12" customHeight="1"/>
    <row r="63178" ht="12" customHeight="1"/>
    <row r="63179" ht="12" customHeight="1"/>
    <row r="63180" ht="12" customHeight="1"/>
    <row r="63181" ht="12" customHeight="1"/>
    <row r="63182" ht="12" customHeight="1"/>
    <row r="63183" ht="12" customHeight="1"/>
    <row r="63184" ht="12" customHeight="1"/>
    <row r="63185" ht="12" customHeight="1"/>
    <row r="63186" ht="12" customHeight="1"/>
    <row r="63187" ht="12" customHeight="1"/>
    <row r="63188" ht="12" customHeight="1"/>
    <row r="63189" ht="12" customHeight="1"/>
    <row r="63190" ht="12" customHeight="1"/>
    <row r="63191" ht="12" customHeight="1"/>
    <row r="63192" ht="12" customHeight="1"/>
    <row r="63193" ht="12" customHeight="1"/>
    <row r="63194" ht="12" customHeight="1"/>
    <row r="63195" ht="12" customHeight="1"/>
    <row r="63196" ht="12" customHeight="1"/>
    <row r="63197" ht="12" customHeight="1"/>
    <row r="63198" ht="12" customHeight="1"/>
    <row r="63199" ht="12" customHeight="1"/>
    <row r="63200" ht="12" customHeight="1"/>
    <row r="63201" ht="12" customHeight="1"/>
    <row r="63202" ht="12" customHeight="1"/>
    <row r="63203" ht="12" customHeight="1"/>
    <row r="63204" ht="12" customHeight="1"/>
    <row r="63205" ht="12" customHeight="1"/>
    <row r="63206" ht="12" customHeight="1"/>
    <row r="63207" ht="12" customHeight="1"/>
    <row r="63208" ht="12" customHeight="1"/>
    <row r="63209" ht="12" customHeight="1"/>
    <row r="63210" ht="12" customHeight="1"/>
    <row r="63211" ht="12" customHeight="1"/>
    <row r="63212" ht="12" customHeight="1"/>
    <row r="63213" ht="12" customHeight="1"/>
    <row r="63214" ht="12" customHeight="1"/>
    <row r="63215" ht="12" customHeight="1"/>
    <row r="63216" ht="12" customHeight="1"/>
    <row r="63217" ht="12" customHeight="1"/>
    <row r="63218" ht="12" customHeight="1"/>
    <row r="63219" ht="12" customHeight="1"/>
    <row r="63220" ht="12" customHeight="1"/>
    <row r="63221" ht="12" customHeight="1"/>
    <row r="63222" ht="12" customHeight="1"/>
    <row r="63223" ht="12" customHeight="1"/>
    <row r="63224" ht="12" customHeight="1"/>
    <row r="63225" ht="12" customHeight="1"/>
    <row r="63226" ht="12" customHeight="1"/>
    <row r="63227" ht="12" customHeight="1"/>
    <row r="63228" ht="12" customHeight="1"/>
    <row r="63229" ht="12" customHeight="1"/>
    <row r="63230" ht="12" customHeight="1"/>
    <row r="63231" ht="12" customHeight="1"/>
    <row r="63232" ht="12" customHeight="1"/>
    <row r="63233" ht="12" customHeight="1"/>
    <row r="63234" ht="12" customHeight="1"/>
    <row r="63235" ht="12" customHeight="1"/>
    <row r="63236" ht="12" customHeight="1"/>
    <row r="63237" ht="12" customHeight="1"/>
    <row r="63238" ht="12" customHeight="1"/>
    <row r="63239" ht="12" customHeight="1"/>
    <row r="63240" ht="12" customHeight="1"/>
    <row r="63241" ht="12" customHeight="1"/>
    <row r="63242" ht="12" customHeight="1"/>
    <row r="63243" ht="12" customHeight="1"/>
    <row r="63244" ht="12" customHeight="1"/>
    <row r="63245" ht="12" customHeight="1"/>
    <row r="63246" ht="12" customHeight="1"/>
    <row r="63247" ht="12" customHeight="1"/>
    <row r="63248" ht="12" customHeight="1"/>
    <row r="63249" ht="12" customHeight="1"/>
    <row r="63250" ht="12" customHeight="1"/>
    <row r="63251" ht="12" customHeight="1"/>
    <row r="63252" ht="12" customHeight="1"/>
    <row r="63253" ht="12" customHeight="1"/>
    <row r="63254" ht="12" customHeight="1"/>
    <row r="63255" ht="12" customHeight="1"/>
    <row r="63256" ht="12" customHeight="1"/>
    <row r="63257" ht="12" customHeight="1"/>
    <row r="63258" ht="12" customHeight="1"/>
    <row r="63259" ht="12" customHeight="1"/>
    <row r="63260" ht="12" customHeight="1"/>
    <row r="63261" ht="12" customHeight="1"/>
    <row r="63262" ht="12" customHeight="1"/>
    <row r="63263" ht="12" customHeight="1"/>
    <row r="63264" ht="12" customHeight="1"/>
    <row r="63265" ht="12" customHeight="1"/>
    <row r="63266" ht="12" customHeight="1"/>
    <row r="63267" ht="12" customHeight="1"/>
    <row r="63268" ht="12" customHeight="1"/>
    <row r="63269" ht="12" customHeight="1"/>
    <row r="63270" ht="12" customHeight="1"/>
    <row r="63271" ht="12" customHeight="1"/>
    <row r="63272" ht="12" customHeight="1"/>
    <row r="63273" ht="12" customHeight="1"/>
    <row r="63274" ht="12" customHeight="1"/>
    <row r="63275" ht="12" customHeight="1"/>
    <row r="63276" ht="12" customHeight="1"/>
    <row r="63277" ht="12" customHeight="1"/>
    <row r="63278" ht="12" customHeight="1"/>
    <row r="63279" ht="12" customHeight="1"/>
    <row r="63280" ht="12" customHeight="1"/>
    <row r="63281" ht="12" customHeight="1"/>
    <row r="63282" ht="12" customHeight="1"/>
    <row r="63283" ht="12" customHeight="1"/>
    <row r="63284" ht="12" customHeight="1"/>
    <row r="63285" ht="12" customHeight="1"/>
    <row r="63286" ht="12" customHeight="1"/>
    <row r="63287" ht="12" customHeight="1"/>
    <row r="63288" ht="12" customHeight="1"/>
    <row r="63289" ht="12" customHeight="1"/>
    <row r="63290" ht="12" customHeight="1"/>
    <row r="63291" ht="12" customHeight="1"/>
    <row r="63292" ht="12" customHeight="1"/>
    <row r="63293" ht="12" customHeight="1"/>
    <row r="63294" ht="12" customHeight="1"/>
    <row r="63295" ht="12" customHeight="1"/>
    <row r="63296" ht="12" customHeight="1"/>
    <row r="63297" ht="12" customHeight="1"/>
    <row r="63298" ht="12" customHeight="1"/>
    <row r="63299" ht="12" customHeight="1"/>
    <row r="63300" ht="12" customHeight="1"/>
    <row r="63301" ht="12" customHeight="1"/>
    <row r="63302" ht="12" customHeight="1"/>
    <row r="63303" ht="12" customHeight="1"/>
    <row r="63304" ht="12" customHeight="1"/>
    <row r="63305" ht="12" customHeight="1"/>
    <row r="63306" ht="12" customHeight="1"/>
    <row r="63307" ht="12" customHeight="1"/>
    <row r="63308" ht="12" customHeight="1"/>
    <row r="63309" ht="12" customHeight="1"/>
    <row r="63310" ht="12" customHeight="1"/>
    <row r="63311" ht="12" customHeight="1"/>
    <row r="63312" ht="12" customHeight="1"/>
    <row r="63313" ht="12" customHeight="1"/>
    <row r="63314" ht="12" customHeight="1"/>
    <row r="63315" ht="12" customHeight="1"/>
    <row r="63316" ht="12" customHeight="1"/>
    <row r="63317" ht="12" customHeight="1"/>
    <row r="63318" ht="12" customHeight="1"/>
    <row r="63319" ht="12" customHeight="1"/>
    <row r="63320" ht="12" customHeight="1"/>
    <row r="63321" ht="12" customHeight="1"/>
    <row r="63322" ht="12" customHeight="1"/>
    <row r="63323" ht="12" customHeight="1"/>
    <row r="63324" ht="12" customHeight="1"/>
    <row r="63325" ht="12" customHeight="1"/>
    <row r="63326" ht="12" customHeight="1"/>
    <row r="63327" ht="12" customHeight="1"/>
    <row r="63328" ht="12" customHeight="1"/>
    <row r="63329" ht="12" customHeight="1"/>
    <row r="63330" ht="12" customHeight="1"/>
    <row r="63331" ht="12" customHeight="1"/>
    <row r="63332" ht="12" customHeight="1"/>
    <row r="63333" ht="12" customHeight="1"/>
    <row r="63334" ht="12" customHeight="1"/>
    <row r="63335" ht="12" customHeight="1"/>
    <row r="63336" ht="12" customHeight="1"/>
    <row r="63337" ht="12" customHeight="1"/>
    <row r="63338" ht="12" customHeight="1"/>
    <row r="63339" ht="12" customHeight="1"/>
    <row r="63340" ht="12" customHeight="1"/>
    <row r="63341" ht="12" customHeight="1"/>
    <row r="63342" ht="12" customHeight="1"/>
    <row r="63343" ht="12" customHeight="1"/>
    <row r="63344" ht="12" customHeight="1"/>
    <row r="63345" ht="12" customHeight="1"/>
    <row r="63346" ht="12" customHeight="1"/>
    <row r="63347" ht="12" customHeight="1"/>
    <row r="63348" ht="12" customHeight="1"/>
    <row r="63349" ht="12" customHeight="1"/>
    <row r="63350" ht="12" customHeight="1"/>
    <row r="63351" ht="12" customHeight="1"/>
    <row r="63352" ht="12" customHeight="1"/>
    <row r="63353" ht="12" customHeight="1"/>
    <row r="63354" ht="12" customHeight="1"/>
    <row r="63355" ht="12" customHeight="1"/>
    <row r="63356" ht="12" customHeight="1"/>
    <row r="63357" ht="12" customHeight="1"/>
    <row r="63358" ht="12" customHeight="1"/>
    <row r="63359" ht="12" customHeight="1"/>
    <row r="63360" ht="12" customHeight="1"/>
    <row r="63361" ht="12" customHeight="1"/>
    <row r="63362" ht="12" customHeight="1"/>
    <row r="63363" ht="12" customHeight="1"/>
    <row r="63364" ht="12" customHeight="1"/>
    <row r="63365" ht="12" customHeight="1"/>
    <row r="63366" ht="12" customHeight="1"/>
    <row r="63367" ht="12" customHeight="1"/>
    <row r="63368" ht="12" customHeight="1"/>
    <row r="63369" ht="12" customHeight="1"/>
    <row r="63370" ht="12" customHeight="1"/>
    <row r="63371" ht="12" customHeight="1"/>
    <row r="63372" ht="12" customHeight="1"/>
    <row r="63373" ht="12" customHeight="1"/>
    <row r="63374" ht="12" customHeight="1"/>
    <row r="63375" ht="12" customHeight="1"/>
    <row r="63376" ht="12" customHeight="1"/>
    <row r="63377" ht="12" customHeight="1"/>
    <row r="63378" ht="12" customHeight="1"/>
    <row r="63379" ht="12" customHeight="1"/>
    <row r="63380" ht="12" customHeight="1"/>
    <row r="63381" ht="12" customHeight="1"/>
    <row r="63382" ht="12" customHeight="1"/>
    <row r="63383" ht="12" customHeight="1"/>
    <row r="63384" ht="12" customHeight="1"/>
    <row r="63385" ht="12" customHeight="1"/>
    <row r="63386" ht="12" customHeight="1"/>
    <row r="63387" ht="12" customHeight="1"/>
    <row r="63388" ht="12" customHeight="1"/>
    <row r="63389" ht="12" customHeight="1"/>
    <row r="63390" ht="12" customHeight="1"/>
    <row r="63391" ht="12" customHeight="1"/>
    <row r="63392" ht="12" customHeight="1"/>
    <row r="63393" ht="12" customHeight="1"/>
    <row r="63394" ht="12" customHeight="1"/>
    <row r="63395" ht="12" customHeight="1"/>
    <row r="63396" ht="12" customHeight="1"/>
    <row r="63397" ht="12" customHeight="1"/>
    <row r="63398" ht="12" customHeight="1"/>
    <row r="63399" ht="12" customHeight="1"/>
    <row r="63400" ht="12" customHeight="1"/>
    <row r="63401" ht="12" customHeight="1"/>
    <row r="63402" ht="12" customHeight="1"/>
    <row r="63403" ht="12" customHeight="1"/>
    <row r="63404" ht="12" customHeight="1"/>
    <row r="63405" ht="12" customHeight="1"/>
    <row r="63406" ht="12" customHeight="1"/>
    <row r="63407" ht="12" customHeight="1"/>
    <row r="63408" ht="12" customHeight="1"/>
    <row r="63409" ht="12" customHeight="1"/>
    <row r="63410" ht="12" customHeight="1"/>
    <row r="63411" ht="12" customHeight="1"/>
    <row r="63412" ht="12" customHeight="1"/>
    <row r="63413" ht="12" customHeight="1"/>
    <row r="63414" ht="12" customHeight="1"/>
    <row r="63415" ht="12" customHeight="1"/>
    <row r="63416" ht="12" customHeight="1"/>
    <row r="63417" ht="12" customHeight="1"/>
    <row r="63418" ht="12" customHeight="1"/>
    <row r="63419" ht="12" customHeight="1"/>
    <row r="63420" ht="12" customHeight="1"/>
    <row r="63421" ht="12" customHeight="1"/>
    <row r="63422" ht="12" customHeight="1"/>
    <row r="63423" ht="12" customHeight="1"/>
    <row r="63424" ht="12" customHeight="1"/>
    <row r="63425" ht="12" customHeight="1"/>
    <row r="63426" ht="12" customHeight="1"/>
    <row r="63427" ht="12" customHeight="1"/>
    <row r="63428" ht="12" customHeight="1"/>
    <row r="63429" ht="12" customHeight="1"/>
    <row r="63430" ht="12" customHeight="1"/>
    <row r="63431" ht="12" customHeight="1"/>
    <row r="63432" ht="12" customHeight="1"/>
    <row r="63433" ht="12" customHeight="1"/>
    <row r="63434" ht="12" customHeight="1"/>
    <row r="63435" ht="12" customHeight="1"/>
    <row r="63436" ht="12" customHeight="1"/>
    <row r="63437" ht="12" customHeight="1"/>
    <row r="63438" ht="12" customHeight="1"/>
    <row r="63439" ht="12" customHeight="1"/>
    <row r="63440" ht="12" customHeight="1"/>
    <row r="63441" ht="12" customHeight="1"/>
    <row r="63442" ht="12" customHeight="1"/>
    <row r="63443" ht="12" customHeight="1"/>
    <row r="63444" ht="12" customHeight="1"/>
    <row r="63445" ht="12" customHeight="1"/>
    <row r="63446" ht="12" customHeight="1"/>
    <row r="63447" ht="12" customHeight="1"/>
    <row r="63448" ht="12" customHeight="1"/>
    <row r="63449" ht="12" customHeight="1"/>
    <row r="63450" ht="12" customHeight="1"/>
    <row r="63451" ht="12" customHeight="1"/>
    <row r="63452" ht="12" customHeight="1"/>
    <row r="63453" ht="12" customHeight="1"/>
    <row r="63454" ht="12" customHeight="1"/>
    <row r="63455" ht="12" customHeight="1"/>
    <row r="63456" ht="12" customHeight="1"/>
    <row r="63457" ht="12" customHeight="1"/>
    <row r="63458" ht="12" customHeight="1"/>
    <row r="63459" ht="12" customHeight="1"/>
    <row r="63460" ht="12" customHeight="1"/>
    <row r="63461" ht="12" customHeight="1"/>
    <row r="63462" ht="12" customHeight="1"/>
    <row r="63463" ht="12" customHeight="1"/>
    <row r="63464" ht="12" customHeight="1"/>
    <row r="63465" ht="12" customHeight="1"/>
    <row r="63466" ht="12" customHeight="1"/>
    <row r="63467" ht="12" customHeight="1"/>
    <row r="63468" ht="12" customHeight="1"/>
    <row r="63469" ht="12" customHeight="1"/>
    <row r="63470" ht="12" customHeight="1"/>
    <row r="63471" ht="12" customHeight="1"/>
    <row r="63472" ht="12" customHeight="1"/>
    <row r="63473" ht="12" customHeight="1"/>
    <row r="63474" ht="12" customHeight="1"/>
    <row r="63475" ht="12" customHeight="1"/>
    <row r="63476" ht="12" customHeight="1"/>
    <row r="63477" ht="12" customHeight="1"/>
    <row r="63478" ht="12" customHeight="1"/>
    <row r="63479" ht="12" customHeight="1"/>
    <row r="63480" ht="12" customHeight="1"/>
    <row r="63481" ht="12" customHeight="1"/>
    <row r="63482" ht="12" customHeight="1"/>
    <row r="63483" ht="12" customHeight="1"/>
    <row r="63484" ht="12" customHeight="1"/>
    <row r="63485" ht="12" customHeight="1"/>
    <row r="63486" ht="12" customHeight="1"/>
    <row r="63487" ht="12" customHeight="1"/>
    <row r="63488" ht="12" customHeight="1"/>
    <row r="63489" ht="12" customHeight="1"/>
    <row r="63490" ht="12" customHeight="1"/>
    <row r="63491" ht="12" customHeight="1"/>
    <row r="63492" ht="12" customHeight="1"/>
    <row r="63493" ht="12" customHeight="1"/>
    <row r="63494" ht="12" customHeight="1"/>
    <row r="63495" ht="12" customHeight="1"/>
    <row r="63496" ht="12" customHeight="1"/>
    <row r="63497" ht="12" customHeight="1"/>
    <row r="63498" ht="12" customHeight="1"/>
    <row r="63499" ht="12" customHeight="1"/>
    <row r="63500" ht="12" customHeight="1"/>
    <row r="63501" ht="12" customHeight="1"/>
    <row r="63502" ht="12" customHeight="1"/>
    <row r="63503" ht="12" customHeight="1"/>
    <row r="63504" ht="12" customHeight="1"/>
    <row r="63505" ht="12" customHeight="1"/>
    <row r="63506" ht="12" customHeight="1"/>
    <row r="63507" ht="12" customHeight="1"/>
    <row r="63508" ht="12" customHeight="1"/>
    <row r="63509" ht="12" customHeight="1"/>
    <row r="63510" ht="12" customHeight="1"/>
    <row r="63511" ht="12" customHeight="1"/>
    <row r="63512" ht="12" customHeight="1"/>
    <row r="63513" ht="12" customHeight="1"/>
    <row r="63514" ht="12" customHeight="1"/>
    <row r="63515" ht="12" customHeight="1"/>
    <row r="63516" ht="12" customHeight="1"/>
    <row r="63517" ht="12" customHeight="1"/>
    <row r="63518" ht="12" customHeight="1"/>
    <row r="63519" ht="12" customHeight="1"/>
    <row r="63520" ht="12" customHeight="1"/>
    <row r="63521" ht="12" customHeight="1"/>
    <row r="63522" ht="12" customHeight="1"/>
    <row r="63523" ht="12" customHeight="1"/>
    <row r="63524" ht="12" customHeight="1"/>
    <row r="63525" ht="12" customHeight="1"/>
    <row r="63526" ht="12" customHeight="1"/>
    <row r="63527" ht="12" customHeight="1"/>
    <row r="63528" ht="12" customHeight="1"/>
    <row r="63529" ht="12" customHeight="1"/>
    <row r="63530" ht="12" customHeight="1"/>
    <row r="63531" ht="12" customHeight="1"/>
    <row r="63532" ht="12" customHeight="1"/>
    <row r="63533" ht="12" customHeight="1"/>
    <row r="63534" ht="12" customHeight="1"/>
    <row r="63535" ht="12" customHeight="1"/>
    <row r="63536" ht="12" customHeight="1"/>
    <row r="63537" ht="12" customHeight="1"/>
    <row r="63538" ht="12" customHeight="1"/>
    <row r="63539" ht="12" customHeight="1"/>
    <row r="63540" ht="12" customHeight="1"/>
    <row r="63541" ht="12" customHeight="1"/>
    <row r="63542" ht="12" customHeight="1"/>
    <row r="63543" ht="12" customHeight="1"/>
    <row r="63544" ht="12" customHeight="1"/>
    <row r="63545" ht="12" customHeight="1"/>
    <row r="63546" ht="12" customHeight="1"/>
    <row r="63547" ht="12" customHeight="1"/>
    <row r="63548" ht="12" customHeight="1"/>
    <row r="63549" ht="12" customHeight="1"/>
    <row r="63550" ht="12" customHeight="1"/>
    <row r="63551" ht="12" customHeight="1"/>
    <row r="63552" ht="12" customHeight="1"/>
    <row r="63553" ht="12" customHeight="1"/>
    <row r="63554" ht="12" customHeight="1"/>
    <row r="63555" ht="12" customHeight="1"/>
    <row r="63556" ht="12" customHeight="1"/>
    <row r="63557" ht="12" customHeight="1"/>
    <row r="63558" ht="12" customHeight="1"/>
    <row r="63559" ht="12" customHeight="1"/>
    <row r="63560" ht="12" customHeight="1"/>
    <row r="63561" ht="12" customHeight="1"/>
    <row r="63562" ht="12" customHeight="1"/>
    <row r="63563" ht="12" customHeight="1"/>
    <row r="63564" ht="12" customHeight="1"/>
    <row r="63565" ht="12" customHeight="1"/>
    <row r="63566" ht="12" customHeight="1"/>
    <row r="63567" ht="12" customHeight="1"/>
    <row r="63568" ht="12" customHeight="1"/>
    <row r="63569" ht="12" customHeight="1"/>
    <row r="63570" ht="12" customHeight="1"/>
    <row r="63571" ht="12" customHeight="1"/>
    <row r="63572" ht="12" customHeight="1"/>
    <row r="63573" ht="12" customHeight="1"/>
    <row r="63574" ht="12" customHeight="1"/>
    <row r="63575" ht="12" customHeight="1"/>
    <row r="63576" ht="12" customHeight="1"/>
    <row r="63577" ht="12" customHeight="1"/>
    <row r="63578" ht="12" customHeight="1"/>
    <row r="63579" ht="12" customHeight="1"/>
    <row r="63580" ht="12" customHeight="1"/>
    <row r="63581" ht="12" customHeight="1"/>
    <row r="63582" ht="12" customHeight="1"/>
    <row r="63583" ht="12" customHeight="1"/>
    <row r="63584" ht="12" customHeight="1"/>
    <row r="63585" ht="12" customHeight="1"/>
    <row r="63586" ht="12" customHeight="1"/>
    <row r="63587" ht="12" customHeight="1"/>
    <row r="63588" ht="12" customHeight="1"/>
    <row r="63589" ht="12" customHeight="1"/>
    <row r="63590" ht="12" customHeight="1"/>
    <row r="63591" ht="12" customHeight="1"/>
    <row r="63592" ht="12" customHeight="1"/>
    <row r="63593" ht="12" customHeight="1"/>
    <row r="63594" ht="12" customHeight="1"/>
    <row r="63595" ht="12" customHeight="1"/>
    <row r="63596" ht="12" customHeight="1"/>
    <row r="63597" ht="12" customHeight="1"/>
    <row r="63598" ht="12" customHeight="1"/>
    <row r="63599" ht="12" customHeight="1"/>
    <row r="63600" ht="12" customHeight="1"/>
    <row r="63601" ht="12" customHeight="1"/>
    <row r="63602" ht="12" customHeight="1"/>
    <row r="63603" ht="12" customHeight="1"/>
    <row r="63604" ht="12" customHeight="1"/>
    <row r="63605" ht="12" customHeight="1"/>
    <row r="63606" ht="12" customHeight="1"/>
    <row r="63607" ht="12" customHeight="1"/>
    <row r="63608" ht="12" customHeight="1"/>
    <row r="63609" ht="12" customHeight="1"/>
    <row r="63610" ht="12" customHeight="1"/>
    <row r="63611" ht="12" customHeight="1"/>
    <row r="63612" ht="12" customHeight="1"/>
    <row r="63613" ht="12" customHeight="1"/>
    <row r="63614" ht="12" customHeight="1"/>
    <row r="63615" ht="12" customHeight="1"/>
    <row r="63616" ht="12" customHeight="1"/>
    <row r="63617" ht="12" customHeight="1"/>
    <row r="63618" ht="12" customHeight="1"/>
    <row r="63619" ht="12" customHeight="1"/>
    <row r="63620" ht="12" customHeight="1"/>
    <row r="63621" ht="12" customHeight="1"/>
    <row r="63622" ht="12" customHeight="1"/>
    <row r="63623" ht="12" customHeight="1"/>
    <row r="63624" ht="12" customHeight="1"/>
    <row r="63625" ht="12" customHeight="1"/>
    <row r="63626" ht="12" customHeight="1"/>
    <row r="63627" ht="12" customHeight="1"/>
    <row r="63628" ht="12" customHeight="1"/>
    <row r="63629" ht="12" customHeight="1"/>
    <row r="63630" ht="12" customHeight="1"/>
    <row r="63631" ht="12" customHeight="1"/>
    <row r="63632" ht="12" customHeight="1"/>
    <row r="63633" ht="12" customHeight="1"/>
    <row r="63634" ht="12" customHeight="1"/>
    <row r="63635" ht="12" customHeight="1"/>
    <row r="63636" ht="12" customHeight="1"/>
    <row r="63637" ht="12" customHeight="1"/>
    <row r="63638" ht="12" customHeight="1"/>
    <row r="63639" ht="12" customHeight="1"/>
    <row r="63640" ht="12" customHeight="1"/>
    <row r="63641" ht="12" customHeight="1"/>
    <row r="63642" ht="12" customHeight="1"/>
    <row r="63643" ht="12" customHeight="1"/>
    <row r="63644" ht="12" customHeight="1"/>
    <row r="63645" ht="12" customHeight="1"/>
    <row r="63646" ht="12" customHeight="1"/>
    <row r="63647" ht="12" customHeight="1"/>
    <row r="63648" ht="12" customHeight="1"/>
    <row r="63649" ht="12" customHeight="1"/>
    <row r="63650" ht="12" customHeight="1"/>
    <row r="63651" ht="12" customHeight="1"/>
    <row r="63652" ht="12" customHeight="1"/>
    <row r="63653" ht="12" customHeight="1"/>
    <row r="63654" ht="12" customHeight="1"/>
    <row r="63655" ht="12" customHeight="1"/>
    <row r="63656" ht="12" customHeight="1"/>
    <row r="63657" ht="12" customHeight="1"/>
    <row r="63658" ht="12" customHeight="1"/>
    <row r="63659" ht="12" customHeight="1"/>
    <row r="63660" ht="12" customHeight="1"/>
    <row r="63661" ht="12" customHeight="1"/>
    <row r="63662" ht="12" customHeight="1"/>
    <row r="63663" ht="12" customHeight="1"/>
    <row r="63664" ht="12" customHeight="1"/>
    <row r="63665" ht="12" customHeight="1"/>
    <row r="63666" ht="12" customHeight="1"/>
    <row r="63667" ht="12" customHeight="1"/>
    <row r="63668" ht="12" customHeight="1"/>
    <row r="63669" ht="12" customHeight="1"/>
    <row r="63670" ht="12" customHeight="1"/>
    <row r="63671" ht="12" customHeight="1"/>
    <row r="63672" ht="12" customHeight="1"/>
    <row r="63673" ht="12" customHeight="1"/>
    <row r="63674" ht="12" customHeight="1"/>
    <row r="63675" ht="12" customHeight="1"/>
    <row r="63676" ht="12" customHeight="1"/>
    <row r="63677" ht="12" customHeight="1"/>
    <row r="63678" ht="12" customHeight="1"/>
    <row r="63679" ht="12" customHeight="1"/>
    <row r="63680" ht="12" customHeight="1"/>
    <row r="63681" ht="12" customHeight="1"/>
    <row r="63682" ht="12" customHeight="1"/>
    <row r="63683" ht="12" customHeight="1"/>
    <row r="63684" ht="12" customHeight="1"/>
    <row r="63685" ht="12" customHeight="1"/>
    <row r="63686" ht="12" customHeight="1"/>
    <row r="63687" ht="12" customHeight="1"/>
    <row r="63688" ht="12" customHeight="1"/>
    <row r="63689" ht="12" customHeight="1"/>
    <row r="63690" ht="12" customHeight="1"/>
    <row r="63691" ht="12" customHeight="1"/>
    <row r="63692" ht="12" customHeight="1"/>
    <row r="63693" ht="12" customHeight="1"/>
    <row r="63694" ht="12" customHeight="1"/>
    <row r="63695" ht="12" customHeight="1"/>
    <row r="63696" ht="12" customHeight="1"/>
    <row r="63697" ht="12" customHeight="1"/>
    <row r="63698" ht="12" customHeight="1"/>
    <row r="63699" ht="12" customHeight="1"/>
    <row r="63700" ht="12" customHeight="1"/>
    <row r="63701" ht="12" customHeight="1"/>
    <row r="63702" ht="12" customHeight="1"/>
    <row r="63703" ht="12" customHeight="1"/>
    <row r="63704" ht="12" customHeight="1"/>
    <row r="63705" ht="12" customHeight="1"/>
    <row r="63706" ht="12" customHeight="1"/>
    <row r="63707" ht="12" customHeight="1"/>
    <row r="63708" ht="12" customHeight="1"/>
    <row r="63709" ht="12" customHeight="1"/>
    <row r="63710" ht="12" customHeight="1"/>
    <row r="63711" ht="12" customHeight="1"/>
    <row r="63712" ht="12" customHeight="1"/>
    <row r="63713" ht="12" customHeight="1"/>
    <row r="63714" ht="12" customHeight="1"/>
    <row r="63715" ht="12" customHeight="1"/>
    <row r="63716" ht="12" customHeight="1"/>
    <row r="63717" ht="12" customHeight="1"/>
    <row r="63718" ht="12" customHeight="1"/>
    <row r="63719" ht="12" customHeight="1"/>
    <row r="63720" ht="12" customHeight="1"/>
    <row r="63721" ht="12" customHeight="1"/>
    <row r="63722" ht="12" customHeight="1"/>
    <row r="63723" ht="12" customHeight="1"/>
    <row r="63724" ht="12" customHeight="1"/>
    <row r="63725" ht="12" customHeight="1"/>
    <row r="63726" ht="12" customHeight="1"/>
    <row r="63727" ht="12" customHeight="1"/>
    <row r="63728" ht="12" customHeight="1"/>
    <row r="63729" ht="12" customHeight="1"/>
    <row r="63730" ht="12" customHeight="1"/>
    <row r="63731" ht="12" customHeight="1"/>
    <row r="63732" ht="12" customHeight="1"/>
    <row r="63733" ht="12" customHeight="1"/>
    <row r="63734" ht="12" customHeight="1"/>
    <row r="63735" ht="12" customHeight="1"/>
    <row r="63736" ht="12" customHeight="1"/>
    <row r="63737" ht="12" customHeight="1"/>
    <row r="63738" ht="12" customHeight="1"/>
    <row r="63739" ht="12" customHeight="1"/>
    <row r="63740" ht="12" customHeight="1"/>
    <row r="63741" ht="12" customHeight="1"/>
    <row r="63742" ht="12" customHeight="1"/>
    <row r="63743" ht="12" customHeight="1"/>
    <row r="63744" ht="12" customHeight="1"/>
    <row r="63745" ht="12" customHeight="1"/>
    <row r="63746" ht="12" customHeight="1"/>
    <row r="63747" ht="12" customHeight="1"/>
    <row r="63748" ht="12" customHeight="1"/>
    <row r="63749" ht="12" customHeight="1"/>
    <row r="63750" ht="12" customHeight="1"/>
    <row r="63751" ht="12" customHeight="1"/>
    <row r="63752" ht="12" customHeight="1"/>
    <row r="63753" ht="12" customHeight="1"/>
    <row r="63754" ht="12" customHeight="1"/>
    <row r="63755" ht="12" customHeight="1"/>
    <row r="63756" ht="12" customHeight="1"/>
    <row r="63757" ht="12" customHeight="1"/>
    <row r="63758" ht="12" customHeight="1"/>
    <row r="63759" ht="12" customHeight="1"/>
    <row r="63760" ht="12" customHeight="1"/>
    <row r="63761" ht="12" customHeight="1"/>
    <row r="63762" ht="12" customHeight="1"/>
    <row r="63763" ht="12" customHeight="1"/>
    <row r="63764" ht="12" customHeight="1"/>
    <row r="63765" ht="12" customHeight="1"/>
    <row r="63766" ht="12" customHeight="1"/>
    <row r="63767" ht="12" customHeight="1"/>
    <row r="63768" ht="12" customHeight="1"/>
    <row r="63769" ht="12" customHeight="1"/>
    <row r="63770" ht="12" customHeight="1"/>
    <row r="63771" ht="12" customHeight="1"/>
    <row r="63772" ht="12" customHeight="1"/>
    <row r="63773" ht="12" customHeight="1"/>
    <row r="63774" ht="12" customHeight="1"/>
    <row r="63775" ht="12" customHeight="1"/>
    <row r="63776" ht="12" customHeight="1"/>
    <row r="63777" ht="12" customHeight="1"/>
    <row r="63778" ht="12" customHeight="1"/>
    <row r="63779" ht="12" customHeight="1"/>
    <row r="63780" ht="12" customHeight="1"/>
    <row r="63781" ht="12" customHeight="1"/>
    <row r="63782" ht="12" customHeight="1"/>
    <row r="63783" ht="12" customHeight="1"/>
    <row r="63784" ht="12" customHeight="1"/>
    <row r="63785" ht="12" customHeight="1"/>
    <row r="63786" ht="12" customHeight="1"/>
    <row r="63787" ht="12" customHeight="1"/>
    <row r="63788" ht="12" customHeight="1"/>
    <row r="63789" ht="12" customHeight="1"/>
    <row r="63790" ht="12" customHeight="1"/>
    <row r="63791" ht="12" customHeight="1"/>
    <row r="63792" ht="12" customHeight="1"/>
    <row r="63793" ht="12" customHeight="1"/>
    <row r="63794" ht="12" customHeight="1"/>
    <row r="63795" ht="12" customHeight="1"/>
    <row r="63796" ht="12" customHeight="1"/>
    <row r="63797" ht="12" customHeight="1"/>
    <row r="63798" ht="12" customHeight="1"/>
    <row r="63799" ht="12" customHeight="1"/>
    <row r="63800" ht="12" customHeight="1"/>
    <row r="63801" ht="12" customHeight="1"/>
    <row r="63802" ht="12" customHeight="1"/>
    <row r="63803" ht="12" customHeight="1"/>
    <row r="63804" ht="12" customHeight="1"/>
    <row r="63805" ht="12" customHeight="1"/>
    <row r="63806" ht="12" customHeight="1"/>
    <row r="63807" ht="12" customHeight="1"/>
    <row r="63808" ht="12" customHeight="1"/>
    <row r="63809" ht="12" customHeight="1"/>
    <row r="63810" ht="12" customHeight="1"/>
    <row r="63811" ht="12" customHeight="1"/>
    <row r="63812" ht="12" customHeight="1"/>
    <row r="63813" ht="12" customHeight="1"/>
    <row r="63814" ht="12" customHeight="1"/>
    <row r="63815" ht="12" customHeight="1"/>
    <row r="63816" ht="12" customHeight="1"/>
    <row r="63817" ht="12" customHeight="1"/>
    <row r="63818" ht="12" customHeight="1"/>
    <row r="63819" ht="12" customHeight="1"/>
    <row r="63820" ht="12" customHeight="1"/>
    <row r="63821" ht="12" customHeight="1"/>
    <row r="63822" ht="12" customHeight="1"/>
    <row r="63823" ht="12" customHeight="1"/>
    <row r="63824" ht="12" customHeight="1"/>
    <row r="63825" ht="12" customHeight="1"/>
    <row r="63826" ht="12" customHeight="1"/>
    <row r="63827" ht="12" customHeight="1"/>
    <row r="63828" ht="12" customHeight="1"/>
    <row r="63829" ht="12" customHeight="1"/>
    <row r="63830" ht="12" customHeight="1"/>
    <row r="63831" ht="12" customHeight="1"/>
    <row r="63832" ht="12" customHeight="1"/>
    <row r="63833" ht="12" customHeight="1"/>
    <row r="63834" ht="12" customHeight="1"/>
    <row r="63835" ht="12" customHeight="1"/>
    <row r="63836" ht="12" customHeight="1"/>
    <row r="63837" ht="12" customHeight="1"/>
    <row r="63838" ht="12" customHeight="1"/>
    <row r="63839" ht="12" customHeight="1"/>
    <row r="63840" ht="12" customHeight="1"/>
    <row r="63841" ht="12" customHeight="1"/>
    <row r="63842" ht="12" customHeight="1"/>
    <row r="63843" ht="12" customHeight="1"/>
    <row r="63844" ht="12" customHeight="1"/>
    <row r="63845" ht="12" customHeight="1"/>
    <row r="63846" ht="12" customHeight="1"/>
    <row r="63847" ht="12" customHeight="1"/>
    <row r="63848" ht="12" customHeight="1"/>
    <row r="63849" ht="12" customHeight="1"/>
    <row r="63850" ht="12" customHeight="1"/>
    <row r="63851" ht="12" customHeight="1"/>
    <row r="63852" ht="12" customHeight="1"/>
    <row r="63853" ht="12" customHeight="1"/>
    <row r="63854" ht="12" customHeight="1"/>
    <row r="63855" ht="12" customHeight="1"/>
    <row r="63856" ht="12" customHeight="1"/>
    <row r="63857" ht="12" customHeight="1"/>
    <row r="63858" ht="12" customHeight="1"/>
    <row r="63859" ht="12" customHeight="1"/>
    <row r="63860" ht="12" customHeight="1"/>
    <row r="63861" ht="12" customHeight="1"/>
    <row r="63862" ht="12" customHeight="1"/>
    <row r="63863" ht="12" customHeight="1"/>
    <row r="63864" ht="12" customHeight="1"/>
    <row r="63865" ht="12" customHeight="1"/>
    <row r="63866" ht="12" customHeight="1"/>
    <row r="63867" ht="12" customHeight="1"/>
    <row r="63868" ht="12" customHeight="1"/>
    <row r="63869" ht="12" customHeight="1"/>
    <row r="63870" ht="12" customHeight="1"/>
    <row r="63871" ht="12" customHeight="1"/>
    <row r="63872" ht="12" customHeight="1"/>
    <row r="63873" ht="12" customHeight="1"/>
    <row r="63874" ht="12" customHeight="1"/>
    <row r="63875" ht="12" customHeight="1"/>
    <row r="63876" ht="12" customHeight="1"/>
    <row r="63877" ht="12" customHeight="1"/>
    <row r="63878" ht="12" customHeight="1"/>
    <row r="63879" ht="12" customHeight="1"/>
    <row r="63880" ht="12" customHeight="1"/>
    <row r="63881" ht="12" customHeight="1"/>
    <row r="63882" ht="12" customHeight="1"/>
    <row r="63883" ht="12" customHeight="1"/>
    <row r="63884" ht="12" customHeight="1"/>
    <row r="63885" ht="12" customHeight="1"/>
    <row r="63886" ht="12" customHeight="1"/>
    <row r="63887" ht="12" customHeight="1"/>
    <row r="63888" ht="12" customHeight="1"/>
    <row r="63889" ht="12" customHeight="1"/>
    <row r="63890" ht="12" customHeight="1"/>
    <row r="63891" ht="12" customHeight="1"/>
    <row r="63892" ht="12" customHeight="1"/>
    <row r="63893" ht="12" customHeight="1"/>
    <row r="63894" ht="12" customHeight="1"/>
    <row r="63895" ht="12" customHeight="1"/>
    <row r="63896" ht="12" customHeight="1"/>
    <row r="63897" ht="12" customHeight="1"/>
    <row r="63898" ht="12" customHeight="1"/>
    <row r="63899" ht="12" customHeight="1"/>
    <row r="63900" ht="12" customHeight="1"/>
    <row r="63901" ht="12" customHeight="1"/>
    <row r="63902" ht="12" customHeight="1"/>
    <row r="63903" ht="12" customHeight="1"/>
    <row r="63904" ht="12" customHeight="1"/>
    <row r="63905" ht="12" customHeight="1"/>
    <row r="63906" ht="12" customHeight="1"/>
    <row r="63907" ht="12" customHeight="1"/>
    <row r="63908" ht="12" customHeight="1"/>
    <row r="63909" ht="12" customHeight="1"/>
    <row r="63910" ht="12" customHeight="1"/>
    <row r="63911" ht="12" customHeight="1"/>
    <row r="63912" ht="12" customHeight="1"/>
    <row r="63913" ht="12" customHeight="1"/>
    <row r="63914" ht="12" customHeight="1"/>
    <row r="63915" ht="12" customHeight="1"/>
    <row r="63916" ht="12" customHeight="1"/>
    <row r="63917" ht="12" customHeight="1"/>
    <row r="63918" ht="12" customHeight="1"/>
    <row r="63919" ht="12" customHeight="1"/>
    <row r="63920" ht="12" customHeight="1"/>
    <row r="63921" ht="12" customHeight="1"/>
    <row r="63922" ht="12" customHeight="1"/>
    <row r="63923" ht="12" customHeight="1"/>
    <row r="63924" ht="12" customHeight="1"/>
    <row r="63925" ht="12" customHeight="1"/>
    <row r="63926" ht="12" customHeight="1"/>
    <row r="63927" ht="12" customHeight="1"/>
    <row r="63928" ht="12" customHeight="1"/>
    <row r="63929" ht="12" customHeight="1"/>
    <row r="63930" ht="12" customHeight="1"/>
    <row r="63931" ht="12" customHeight="1"/>
    <row r="63932" ht="12" customHeight="1"/>
    <row r="63933" ht="12" customHeight="1"/>
    <row r="63934" ht="12" customHeight="1"/>
    <row r="63935" ht="12" customHeight="1"/>
    <row r="63936" ht="12" customHeight="1"/>
    <row r="63937" ht="12" customHeight="1"/>
    <row r="63938" ht="12" customHeight="1"/>
    <row r="63939" ht="12" customHeight="1"/>
    <row r="63940" ht="12" customHeight="1"/>
    <row r="63941" ht="12" customHeight="1"/>
    <row r="63942" ht="12" customHeight="1"/>
    <row r="63943" ht="12" customHeight="1"/>
    <row r="63944" ht="12" customHeight="1"/>
    <row r="63945" ht="12" customHeight="1"/>
    <row r="63946" ht="12" customHeight="1"/>
    <row r="63947" ht="12" customHeight="1"/>
    <row r="63948" ht="12" customHeight="1"/>
    <row r="63949" ht="12" customHeight="1"/>
    <row r="63950" ht="12" customHeight="1"/>
    <row r="63951" ht="12" customHeight="1"/>
    <row r="63952" ht="12" customHeight="1"/>
    <row r="63953" ht="12" customHeight="1"/>
    <row r="63954" ht="12" customHeight="1"/>
    <row r="63955" ht="12" customHeight="1"/>
    <row r="63956" ht="12" customHeight="1"/>
    <row r="63957" ht="12" customHeight="1"/>
    <row r="63958" ht="12" customHeight="1"/>
    <row r="63959" ht="12" customHeight="1"/>
    <row r="63960" ht="12" customHeight="1"/>
    <row r="63961" ht="12" customHeight="1"/>
    <row r="63962" ht="12" customHeight="1"/>
    <row r="63963" ht="12" customHeight="1"/>
    <row r="63964" ht="12" customHeight="1"/>
    <row r="63965" ht="12" customHeight="1"/>
    <row r="63966" ht="12" customHeight="1"/>
    <row r="63967" ht="12" customHeight="1"/>
    <row r="63968" ht="12" customHeight="1"/>
    <row r="63969" ht="12" customHeight="1"/>
    <row r="63970" ht="12" customHeight="1"/>
    <row r="63971" ht="12" customHeight="1"/>
    <row r="63972" ht="12" customHeight="1"/>
    <row r="63973" ht="12" customHeight="1"/>
    <row r="63974" ht="12" customHeight="1"/>
    <row r="63975" ht="12" customHeight="1"/>
    <row r="63976" ht="12" customHeight="1"/>
    <row r="63977" ht="12" customHeight="1"/>
    <row r="63978" ht="12" customHeight="1"/>
    <row r="63979" ht="12" customHeight="1"/>
    <row r="63980" ht="12" customHeight="1"/>
    <row r="63981" ht="12" customHeight="1"/>
    <row r="63982" ht="12" customHeight="1"/>
    <row r="63983" ht="12" customHeight="1"/>
    <row r="63984" ht="12" customHeight="1"/>
    <row r="63985" ht="12" customHeight="1"/>
    <row r="63986" ht="12" customHeight="1"/>
    <row r="63987" ht="12" customHeight="1"/>
    <row r="63988" ht="12" customHeight="1"/>
    <row r="63989" ht="12" customHeight="1"/>
    <row r="63990" ht="12" customHeight="1"/>
    <row r="63991" ht="12" customHeight="1"/>
    <row r="63992" ht="12" customHeight="1"/>
    <row r="63993" ht="12" customHeight="1"/>
    <row r="63994" ht="12" customHeight="1"/>
    <row r="63995" ht="12" customHeight="1"/>
    <row r="63996" ht="12" customHeight="1"/>
    <row r="63997" ht="12" customHeight="1"/>
    <row r="63998" ht="12" customHeight="1"/>
    <row r="63999" ht="12" customHeight="1"/>
    <row r="64000" ht="12" customHeight="1"/>
    <row r="64001" ht="12" customHeight="1"/>
    <row r="64002" ht="12" customHeight="1"/>
    <row r="64003" ht="12" customHeight="1"/>
    <row r="64004" ht="12" customHeight="1"/>
    <row r="64005" ht="12" customHeight="1"/>
    <row r="64006" ht="12" customHeight="1"/>
    <row r="64007" ht="12" customHeight="1"/>
    <row r="64008" ht="12" customHeight="1"/>
    <row r="64009" ht="12" customHeight="1"/>
    <row r="64010" ht="12" customHeight="1"/>
    <row r="64011" ht="12" customHeight="1"/>
    <row r="64012" ht="12" customHeight="1"/>
    <row r="64013" ht="12" customHeight="1"/>
    <row r="64014" ht="12" customHeight="1"/>
    <row r="64015" ht="12" customHeight="1"/>
    <row r="64016" ht="12" customHeight="1"/>
    <row r="64017" ht="12" customHeight="1"/>
    <row r="64018" ht="12" customHeight="1"/>
    <row r="64019" ht="12" customHeight="1"/>
    <row r="64020" ht="12" customHeight="1"/>
    <row r="64021" ht="12" customHeight="1"/>
    <row r="64022" ht="12" customHeight="1"/>
    <row r="64023" ht="12" customHeight="1"/>
    <row r="64024" ht="12" customHeight="1"/>
    <row r="64025" ht="12" customHeight="1"/>
    <row r="64026" ht="12" customHeight="1"/>
    <row r="64027" ht="12" customHeight="1"/>
    <row r="64028" ht="12" customHeight="1"/>
    <row r="64029" ht="12" customHeight="1"/>
    <row r="64030" ht="12" customHeight="1"/>
    <row r="64031" ht="12" customHeight="1"/>
    <row r="64032" ht="12" customHeight="1"/>
    <row r="64033" ht="12" customHeight="1"/>
    <row r="64034" ht="12" customHeight="1"/>
    <row r="64035" ht="12" customHeight="1"/>
    <row r="64036" ht="12" customHeight="1"/>
    <row r="64037" ht="12" customHeight="1"/>
    <row r="64038" ht="12" customHeight="1"/>
    <row r="64039" ht="12" customHeight="1"/>
    <row r="64040" ht="12" customHeight="1"/>
    <row r="64041" ht="12" customHeight="1"/>
    <row r="64042" ht="12" customHeight="1"/>
    <row r="64043" ht="12" customHeight="1"/>
    <row r="64044" ht="12" customHeight="1"/>
    <row r="64045" ht="12" customHeight="1"/>
    <row r="64046" ht="12" customHeight="1"/>
    <row r="64047" ht="12" customHeight="1"/>
    <row r="64048" ht="12" customHeight="1"/>
    <row r="64049" ht="12" customHeight="1"/>
    <row r="64050" ht="12" customHeight="1"/>
    <row r="64051" ht="12" customHeight="1"/>
    <row r="64052" ht="12" customHeight="1"/>
    <row r="64053" ht="12" customHeight="1"/>
    <row r="64054" ht="12" customHeight="1"/>
    <row r="64055" ht="12" customHeight="1"/>
    <row r="64056" ht="12" customHeight="1"/>
    <row r="64057" ht="12" customHeight="1"/>
    <row r="64058" ht="12" customHeight="1"/>
    <row r="64059" ht="12" customHeight="1"/>
    <row r="64060" ht="12" customHeight="1"/>
    <row r="64061" ht="12" customHeight="1"/>
    <row r="64062" ht="12" customHeight="1"/>
    <row r="64063" ht="12" customHeight="1"/>
    <row r="64064" ht="12" customHeight="1"/>
    <row r="64065" ht="12" customHeight="1"/>
    <row r="64066" ht="12" customHeight="1"/>
    <row r="64067" ht="12" customHeight="1"/>
    <row r="64068" ht="12" customHeight="1"/>
    <row r="64069" ht="12" customHeight="1"/>
    <row r="64070" ht="12" customHeight="1"/>
    <row r="64071" ht="12" customHeight="1"/>
    <row r="64072" ht="12" customHeight="1"/>
    <row r="64073" ht="12" customHeight="1"/>
    <row r="64074" ht="12" customHeight="1"/>
    <row r="64075" ht="12" customHeight="1"/>
    <row r="64076" ht="12" customHeight="1"/>
    <row r="64077" ht="12" customHeight="1"/>
    <row r="64078" ht="12" customHeight="1"/>
    <row r="64079" ht="12" customHeight="1"/>
    <row r="64080" ht="12" customHeight="1"/>
    <row r="64081" ht="12" customHeight="1"/>
    <row r="64082" ht="12" customHeight="1"/>
    <row r="64083" ht="12" customHeight="1"/>
    <row r="64084" ht="12" customHeight="1"/>
    <row r="64085" ht="12" customHeight="1"/>
    <row r="64086" ht="12" customHeight="1"/>
    <row r="64087" ht="12" customHeight="1"/>
    <row r="64088" ht="12" customHeight="1"/>
    <row r="64089" ht="12" customHeight="1"/>
    <row r="64090" ht="12" customHeight="1"/>
    <row r="64091" ht="12" customHeight="1"/>
    <row r="64092" ht="12" customHeight="1"/>
    <row r="64093" ht="12" customHeight="1"/>
    <row r="64094" ht="12" customHeight="1"/>
    <row r="64095" ht="12" customHeight="1"/>
    <row r="64096" ht="12" customHeight="1"/>
    <row r="64097" ht="12" customHeight="1"/>
    <row r="64098" ht="12" customHeight="1"/>
    <row r="64099" ht="12" customHeight="1"/>
    <row r="64100" ht="12" customHeight="1"/>
    <row r="64101" ht="12" customHeight="1"/>
    <row r="64102" ht="12" customHeight="1"/>
    <row r="64103" ht="12" customHeight="1"/>
    <row r="64104" ht="12" customHeight="1"/>
    <row r="64105" ht="12" customHeight="1"/>
    <row r="64106" ht="12" customHeight="1"/>
    <row r="64107" ht="12" customHeight="1"/>
    <row r="64108" ht="12" customHeight="1"/>
    <row r="64109" ht="12" customHeight="1"/>
    <row r="64110" ht="12" customHeight="1"/>
    <row r="64111" ht="12" customHeight="1"/>
    <row r="64112" ht="12" customHeight="1"/>
    <row r="64113" ht="12" customHeight="1"/>
    <row r="64114" ht="12" customHeight="1"/>
    <row r="64115" ht="12" customHeight="1"/>
    <row r="64116" ht="12" customHeight="1"/>
    <row r="64117" ht="12" customHeight="1"/>
    <row r="64118" ht="12" customHeight="1"/>
    <row r="64119" ht="12" customHeight="1"/>
    <row r="64120" ht="12" customHeight="1"/>
    <row r="64121" ht="12" customHeight="1"/>
    <row r="64122" ht="12" customHeight="1"/>
    <row r="64123" ht="12" customHeight="1"/>
    <row r="64124" ht="12" customHeight="1"/>
    <row r="64125" ht="12" customHeight="1"/>
    <row r="64126" ht="12" customHeight="1"/>
    <row r="64127" ht="12" customHeight="1"/>
    <row r="64128" ht="12" customHeight="1"/>
    <row r="64129" ht="12" customHeight="1"/>
    <row r="64130" ht="12" customHeight="1"/>
    <row r="64131" ht="12" customHeight="1"/>
    <row r="64132" ht="12" customHeight="1"/>
    <row r="64133" ht="12" customHeight="1"/>
    <row r="64134" ht="12" customHeight="1"/>
    <row r="64135" ht="12" customHeight="1"/>
    <row r="64136" ht="12" customHeight="1"/>
    <row r="64137" ht="12" customHeight="1"/>
    <row r="64138" ht="12" customHeight="1"/>
    <row r="64139" ht="12" customHeight="1"/>
    <row r="64140" ht="12" customHeight="1"/>
    <row r="64141" ht="12" customHeight="1"/>
    <row r="64142" ht="12" customHeight="1"/>
    <row r="64143" ht="12" customHeight="1"/>
    <row r="64144" ht="12" customHeight="1"/>
    <row r="64145" ht="12" customHeight="1"/>
    <row r="64146" ht="12" customHeight="1"/>
    <row r="64147" ht="12" customHeight="1"/>
    <row r="64148" ht="12" customHeight="1"/>
    <row r="64149" ht="12" customHeight="1"/>
    <row r="64150" ht="12" customHeight="1"/>
    <row r="64151" ht="12" customHeight="1"/>
    <row r="64152" ht="12" customHeight="1"/>
    <row r="64153" ht="12" customHeight="1"/>
    <row r="64154" ht="12" customHeight="1"/>
    <row r="64155" ht="12" customHeight="1"/>
    <row r="64156" ht="12" customHeight="1"/>
    <row r="64157" ht="12" customHeight="1"/>
    <row r="64158" ht="12" customHeight="1"/>
    <row r="64159" ht="12" customHeight="1"/>
    <row r="64160" ht="12" customHeight="1"/>
    <row r="64161" ht="12" customHeight="1"/>
    <row r="64162" ht="12" customHeight="1"/>
    <row r="64163" ht="12" customHeight="1"/>
    <row r="64164" ht="12" customHeight="1"/>
    <row r="64165" ht="12" customHeight="1"/>
    <row r="64166" ht="12" customHeight="1"/>
    <row r="64167" ht="12" customHeight="1"/>
    <row r="64168" ht="12" customHeight="1"/>
    <row r="64169" ht="12" customHeight="1"/>
    <row r="64170" ht="12" customHeight="1"/>
    <row r="64171" ht="12" customHeight="1"/>
    <row r="64172" ht="12" customHeight="1"/>
    <row r="64173" ht="12" customHeight="1"/>
    <row r="64174" ht="12" customHeight="1"/>
    <row r="64175" ht="12" customHeight="1"/>
    <row r="64176" ht="12" customHeight="1"/>
    <row r="64177" ht="12" customHeight="1"/>
    <row r="64178" ht="12" customHeight="1"/>
    <row r="64179" ht="12" customHeight="1"/>
    <row r="64180" ht="12" customHeight="1"/>
    <row r="64181" ht="12" customHeight="1"/>
    <row r="64182" ht="12" customHeight="1"/>
    <row r="64183" ht="12" customHeight="1"/>
    <row r="64184" ht="12" customHeight="1"/>
    <row r="64185" ht="12" customHeight="1"/>
    <row r="64186" ht="12" customHeight="1"/>
    <row r="64187" ht="12" customHeight="1"/>
    <row r="64188" ht="12" customHeight="1"/>
    <row r="64189" ht="12" customHeight="1"/>
    <row r="64190" ht="12" customHeight="1"/>
    <row r="64191" ht="12" customHeight="1"/>
    <row r="64192" ht="12" customHeight="1"/>
    <row r="64193" ht="12" customHeight="1"/>
    <row r="64194" ht="12" customHeight="1"/>
    <row r="64195" ht="12" customHeight="1"/>
    <row r="64196" ht="12" customHeight="1"/>
    <row r="64197" ht="12" customHeight="1"/>
    <row r="64198" ht="12" customHeight="1"/>
    <row r="64199" ht="12" customHeight="1"/>
    <row r="64200" ht="12" customHeight="1"/>
    <row r="64201" ht="12" customHeight="1"/>
    <row r="64202" ht="12" customHeight="1"/>
    <row r="64203" ht="12" customHeight="1"/>
    <row r="64204" ht="12" customHeight="1"/>
    <row r="64205" ht="12" customHeight="1"/>
    <row r="64206" ht="12" customHeight="1"/>
    <row r="64207" ht="12" customHeight="1"/>
    <row r="64208" ht="12" customHeight="1"/>
    <row r="64209" ht="12" customHeight="1"/>
    <row r="64210" ht="12" customHeight="1"/>
    <row r="64211" ht="12" customHeight="1"/>
    <row r="64212" ht="12" customHeight="1"/>
    <row r="64213" ht="12" customHeight="1"/>
    <row r="64214" ht="12" customHeight="1"/>
    <row r="64215" ht="12" customHeight="1"/>
    <row r="64216" ht="12" customHeight="1"/>
    <row r="64217" ht="12" customHeight="1"/>
    <row r="64218" ht="12" customHeight="1"/>
    <row r="64219" ht="12" customHeight="1"/>
    <row r="64220" ht="12" customHeight="1"/>
    <row r="64221" ht="12" customHeight="1"/>
    <row r="64222" ht="12" customHeight="1"/>
    <row r="64223" ht="12" customHeight="1"/>
    <row r="64224" ht="12" customHeight="1"/>
    <row r="64225" ht="12" customHeight="1"/>
    <row r="64226" ht="12" customHeight="1"/>
    <row r="64227" ht="12" customHeight="1"/>
    <row r="64228" ht="12" customHeight="1"/>
    <row r="64229" ht="12" customHeight="1"/>
    <row r="64230" ht="12" customHeight="1"/>
    <row r="64231" ht="12" customHeight="1"/>
    <row r="64232" ht="12" customHeight="1"/>
    <row r="64233" ht="12" customHeight="1"/>
    <row r="64234" ht="12" customHeight="1"/>
    <row r="64235" ht="12" customHeight="1"/>
    <row r="64236" ht="12" customHeight="1"/>
    <row r="64237" ht="12" customHeight="1"/>
    <row r="64238" ht="12" customHeight="1"/>
    <row r="64239" ht="12" customHeight="1"/>
    <row r="64240" ht="12" customHeight="1"/>
    <row r="64241" ht="12" customHeight="1"/>
    <row r="64242" ht="12" customHeight="1"/>
    <row r="64243" ht="12" customHeight="1"/>
    <row r="64244" ht="12" customHeight="1"/>
    <row r="64245" ht="12" customHeight="1"/>
    <row r="64246" ht="12" customHeight="1"/>
    <row r="64247" ht="12" customHeight="1"/>
    <row r="64248" ht="12" customHeight="1"/>
    <row r="64249" ht="12" customHeight="1"/>
    <row r="64250" ht="12" customHeight="1"/>
    <row r="64251" ht="12" customHeight="1"/>
    <row r="64252" ht="12" customHeight="1"/>
    <row r="64253" ht="12" customHeight="1"/>
    <row r="64254" ht="12" customHeight="1"/>
    <row r="64255" ht="12" customHeight="1"/>
    <row r="64256" ht="12" customHeight="1"/>
    <row r="64257" ht="12" customHeight="1"/>
    <row r="64258" ht="12" customHeight="1"/>
    <row r="64259" ht="12" customHeight="1"/>
    <row r="64260" ht="12" customHeight="1"/>
    <row r="64261" ht="12" customHeight="1"/>
    <row r="64262" ht="12" customHeight="1"/>
    <row r="64263" ht="12" customHeight="1"/>
    <row r="64264" ht="12" customHeight="1"/>
    <row r="64265" ht="12" customHeight="1"/>
    <row r="64266" ht="12" customHeight="1"/>
    <row r="64267" ht="12" customHeight="1"/>
    <row r="64268" ht="12" customHeight="1"/>
    <row r="64269" ht="12" customHeight="1"/>
    <row r="64270" ht="12" customHeight="1"/>
    <row r="64271" ht="12" customHeight="1"/>
    <row r="64272" ht="12" customHeight="1"/>
    <row r="64273" ht="12" customHeight="1"/>
    <row r="64274" ht="12" customHeight="1"/>
    <row r="64275" ht="12" customHeight="1"/>
    <row r="64276" ht="12" customHeight="1"/>
    <row r="64277" ht="12" customHeight="1"/>
    <row r="64278" ht="12" customHeight="1"/>
    <row r="64279" ht="12" customHeight="1"/>
    <row r="64280" ht="12" customHeight="1"/>
    <row r="64281" ht="12" customHeight="1"/>
    <row r="64282" ht="12" customHeight="1"/>
    <row r="64283" ht="12" customHeight="1"/>
    <row r="64284" ht="12" customHeight="1"/>
    <row r="64285" ht="12" customHeight="1"/>
    <row r="64286" ht="12" customHeight="1"/>
    <row r="64287" ht="12" customHeight="1"/>
    <row r="64288" ht="12" customHeight="1"/>
    <row r="64289" ht="12" customHeight="1"/>
    <row r="64290" ht="12" customHeight="1"/>
    <row r="64291" ht="12" customHeight="1"/>
    <row r="64292" ht="12" customHeight="1"/>
    <row r="64293" ht="12" customHeight="1"/>
    <row r="64294" ht="12" customHeight="1"/>
    <row r="64295" ht="12" customHeight="1"/>
    <row r="64296" ht="12" customHeight="1"/>
    <row r="64297" ht="12" customHeight="1"/>
    <row r="64298" ht="12" customHeight="1"/>
    <row r="64299" ht="12" customHeight="1"/>
    <row r="64300" ht="12" customHeight="1"/>
    <row r="64301" ht="12" customHeight="1"/>
    <row r="64302" ht="12" customHeight="1"/>
    <row r="64303" ht="12" customHeight="1"/>
    <row r="64304" ht="12" customHeight="1"/>
    <row r="64305" ht="12" customHeight="1"/>
    <row r="64306" ht="12" customHeight="1"/>
    <row r="64307" ht="12" customHeight="1"/>
    <row r="64308" ht="12" customHeight="1"/>
    <row r="64309" ht="12" customHeight="1"/>
    <row r="64310" ht="12" customHeight="1"/>
    <row r="64311" ht="12" customHeight="1"/>
    <row r="64312" ht="12" customHeight="1"/>
    <row r="64313" ht="12" customHeight="1"/>
    <row r="64314" ht="12" customHeight="1"/>
    <row r="64315" ht="12" customHeight="1"/>
    <row r="64316" ht="12" customHeight="1"/>
    <row r="64317" ht="12" customHeight="1"/>
    <row r="64318" ht="12" customHeight="1"/>
    <row r="64319" ht="12" customHeight="1"/>
    <row r="64320" ht="12" customHeight="1"/>
    <row r="64321" ht="12" customHeight="1"/>
    <row r="64322" ht="12" customHeight="1"/>
    <row r="64323" ht="12" customHeight="1"/>
    <row r="64324" ht="12" customHeight="1"/>
    <row r="64325" ht="12" customHeight="1"/>
    <row r="64326" ht="12" customHeight="1"/>
    <row r="64327" ht="12" customHeight="1"/>
    <row r="64328" ht="12" customHeight="1"/>
    <row r="64329" ht="12" customHeight="1"/>
    <row r="64330" ht="12" customHeight="1"/>
    <row r="64331" ht="12" customHeight="1"/>
    <row r="64332" ht="12" customHeight="1"/>
    <row r="64333" ht="12" customHeight="1"/>
    <row r="64334" ht="12" customHeight="1"/>
    <row r="64335" ht="12" customHeight="1"/>
    <row r="64336" ht="12" customHeight="1"/>
    <row r="64337" ht="12" customHeight="1"/>
    <row r="64338" ht="12" customHeight="1"/>
    <row r="64339" ht="12" customHeight="1"/>
    <row r="64340" ht="12" customHeight="1"/>
    <row r="64341" ht="12" customHeight="1"/>
    <row r="64342" ht="12" customHeight="1"/>
    <row r="64343" ht="12" customHeight="1"/>
    <row r="64344" ht="12" customHeight="1"/>
    <row r="64345" ht="12" customHeight="1"/>
    <row r="64346" ht="12" customHeight="1"/>
    <row r="64347" ht="12" customHeight="1"/>
    <row r="64348" ht="12" customHeight="1"/>
    <row r="64349" ht="12" customHeight="1"/>
    <row r="64350" ht="12" customHeight="1"/>
    <row r="64351" ht="12" customHeight="1"/>
    <row r="64352" ht="12" customHeight="1"/>
    <row r="64353" ht="12" customHeight="1"/>
    <row r="64354" ht="12" customHeight="1"/>
    <row r="64355" ht="12" customHeight="1"/>
    <row r="64356" ht="12" customHeight="1"/>
    <row r="64357" ht="12" customHeight="1"/>
    <row r="64358" ht="12" customHeight="1"/>
    <row r="64359" ht="12" customHeight="1"/>
    <row r="64360" ht="12" customHeight="1"/>
    <row r="64361" ht="12" customHeight="1"/>
    <row r="64362" ht="12" customHeight="1"/>
    <row r="64363" ht="12" customHeight="1"/>
    <row r="64364" ht="12" customHeight="1"/>
    <row r="64365" ht="12" customHeight="1"/>
    <row r="64366" ht="12" customHeight="1"/>
    <row r="64367" ht="12" customHeight="1"/>
    <row r="64368" ht="12" customHeight="1"/>
    <row r="64369" ht="12" customHeight="1"/>
    <row r="64370" ht="12" customHeight="1"/>
    <row r="64371" ht="12" customHeight="1"/>
    <row r="64372" ht="12" customHeight="1"/>
    <row r="64373" ht="12" customHeight="1"/>
    <row r="64374" ht="12" customHeight="1"/>
    <row r="64375" ht="12" customHeight="1"/>
    <row r="64376" ht="12" customHeight="1"/>
    <row r="64377" ht="12" customHeight="1"/>
    <row r="64378" ht="12" customHeight="1"/>
    <row r="64379" ht="12" customHeight="1"/>
    <row r="64380" ht="12" customHeight="1"/>
    <row r="64381" ht="12" customHeight="1"/>
    <row r="64382" ht="12" customHeight="1"/>
    <row r="64383" ht="12" customHeight="1"/>
    <row r="64384" ht="12" customHeight="1"/>
    <row r="64385" ht="12" customHeight="1"/>
    <row r="64386" ht="12" customHeight="1"/>
    <row r="64387" ht="12" customHeight="1"/>
    <row r="64388" ht="12" customHeight="1"/>
    <row r="64389" ht="12" customHeight="1"/>
    <row r="64390" ht="12" customHeight="1"/>
    <row r="64391" ht="12" customHeight="1"/>
    <row r="64392" ht="12" customHeight="1"/>
    <row r="64393" ht="12" customHeight="1"/>
    <row r="64394" ht="12" customHeight="1"/>
    <row r="64395" ht="12" customHeight="1"/>
    <row r="64396" ht="12" customHeight="1"/>
    <row r="64397" ht="12" customHeight="1"/>
    <row r="64398" ht="12" customHeight="1"/>
    <row r="64399" ht="12" customHeight="1"/>
    <row r="64400" ht="12" customHeight="1"/>
    <row r="64401" ht="12" customHeight="1"/>
    <row r="64402" ht="12" customHeight="1"/>
    <row r="64403" ht="12" customHeight="1"/>
    <row r="64404" ht="12" customHeight="1"/>
    <row r="64405" ht="12" customHeight="1"/>
    <row r="64406" ht="12" customHeight="1"/>
    <row r="64407" ht="12" customHeight="1"/>
    <row r="64408" ht="12" customHeight="1"/>
    <row r="64409" ht="12" customHeight="1"/>
    <row r="64410" ht="12" customHeight="1"/>
    <row r="64411" ht="12" customHeight="1"/>
    <row r="64412" ht="12" customHeight="1"/>
    <row r="64413" ht="12" customHeight="1"/>
    <row r="64414" ht="12" customHeight="1"/>
    <row r="64415" ht="12" customHeight="1"/>
    <row r="64416" ht="12" customHeight="1"/>
    <row r="64417" ht="12" customHeight="1"/>
    <row r="64418" ht="12" customHeight="1"/>
    <row r="64419" ht="12" customHeight="1"/>
    <row r="64420" ht="12" customHeight="1"/>
    <row r="64421" ht="12" customHeight="1"/>
    <row r="64422" ht="12" customHeight="1"/>
    <row r="64423" ht="12" customHeight="1"/>
    <row r="64424" ht="12" customHeight="1"/>
    <row r="64425" ht="12" customHeight="1"/>
    <row r="64426" ht="12" customHeight="1"/>
    <row r="64427" ht="12" customHeight="1"/>
    <row r="64428" ht="12" customHeight="1"/>
    <row r="64429" ht="12" customHeight="1"/>
    <row r="64430" ht="12" customHeight="1"/>
    <row r="64431" ht="12" customHeight="1"/>
    <row r="64432" ht="12" customHeight="1"/>
    <row r="64433" ht="12" customHeight="1"/>
    <row r="64434" ht="12" customHeight="1"/>
    <row r="64435" ht="12" customHeight="1"/>
    <row r="64436" ht="12" customHeight="1"/>
    <row r="64437" ht="12" customHeight="1"/>
    <row r="64438" ht="12" customHeight="1"/>
    <row r="64439" ht="12" customHeight="1"/>
    <row r="64440" ht="12" customHeight="1"/>
    <row r="64441" ht="12" customHeight="1"/>
    <row r="64442" ht="12" customHeight="1"/>
    <row r="64443" ht="12" customHeight="1"/>
    <row r="64444" ht="12" customHeight="1"/>
    <row r="64445" ht="12" customHeight="1"/>
    <row r="64446" ht="12" customHeight="1"/>
    <row r="64447" ht="12" customHeight="1"/>
    <row r="64448" ht="12" customHeight="1"/>
    <row r="64449" ht="12" customHeight="1"/>
    <row r="64450" ht="12" customHeight="1"/>
    <row r="64451" ht="12" customHeight="1"/>
    <row r="64452" ht="12" customHeight="1"/>
    <row r="64453" ht="12" customHeight="1"/>
    <row r="64454" ht="12" customHeight="1"/>
    <row r="64455" ht="12" customHeight="1"/>
    <row r="64456" ht="12" customHeight="1"/>
    <row r="64457" ht="12" customHeight="1"/>
    <row r="64458" ht="12" customHeight="1"/>
    <row r="64459" ht="12" customHeight="1"/>
    <row r="64460" ht="12" customHeight="1"/>
    <row r="64461" ht="12" customHeight="1"/>
    <row r="64462" ht="12" customHeight="1"/>
    <row r="64463" ht="12" customHeight="1"/>
    <row r="64464" ht="12" customHeight="1"/>
    <row r="64465" ht="12" customHeight="1"/>
    <row r="64466" ht="12" customHeight="1"/>
    <row r="64467" ht="12" customHeight="1"/>
    <row r="64468" ht="12" customHeight="1"/>
    <row r="64469" ht="12" customHeight="1"/>
    <row r="64470" ht="12" customHeight="1"/>
    <row r="64471" ht="12" customHeight="1"/>
    <row r="64472" ht="12" customHeight="1"/>
    <row r="64473" ht="12" customHeight="1"/>
    <row r="64474" ht="12" customHeight="1"/>
    <row r="64475" ht="12" customHeight="1"/>
    <row r="64476" ht="12" customHeight="1"/>
    <row r="64477" ht="12" customHeight="1"/>
    <row r="64478" ht="12" customHeight="1"/>
    <row r="64479" ht="12" customHeight="1"/>
    <row r="64480" ht="12" customHeight="1"/>
    <row r="64481" ht="12" customHeight="1"/>
    <row r="64482" ht="12" customHeight="1"/>
    <row r="64483" ht="12" customHeight="1"/>
    <row r="64484" ht="12" customHeight="1"/>
    <row r="64485" ht="12" customHeight="1"/>
    <row r="64486" ht="12" customHeight="1"/>
    <row r="64487" ht="12" customHeight="1"/>
    <row r="64488" ht="12" customHeight="1"/>
    <row r="64489" ht="12" customHeight="1"/>
    <row r="64490" ht="12" customHeight="1"/>
    <row r="64491" ht="12" customHeight="1"/>
    <row r="64492" ht="12" customHeight="1"/>
    <row r="64493" ht="12" customHeight="1"/>
    <row r="64494" ht="12" customHeight="1"/>
    <row r="64495" ht="12" customHeight="1"/>
    <row r="64496" ht="12" customHeight="1"/>
    <row r="64497" ht="12" customHeight="1"/>
    <row r="64498" ht="12" customHeight="1"/>
    <row r="64499" ht="12" customHeight="1"/>
    <row r="64500" ht="12" customHeight="1"/>
    <row r="64501" ht="12" customHeight="1"/>
    <row r="64502" ht="12" customHeight="1"/>
    <row r="64503" ht="12" customHeight="1"/>
    <row r="64504" ht="12" customHeight="1"/>
    <row r="64505" ht="12" customHeight="1"/>
    <row r="64506" ht="12" customHeight="1"/>
    <row r="64507" ht="12" customHeight="1"/>
    <row r="64508" ht="12" customHeight="1"/>
    <row r="64509" ht="12" customHeight="1"/>
    <row r="64510" ht="12" customHeight="1"/>
    <row r="64511" ht="12" customHeight="1"/>
    <row r="64512" ht="12" customHeight="1"/>
    <row r="64513" ht="12" customHeight="1"/>
    <row r="64514" ht="12" customHeight="1"/>
    <row r="64515" ht="12" customHeight="1"/>
    <row r="64516" ht="12" customHeight="1"/>
    <row r="64517" ht="12" customHeight="1"/>
    <row r="64518" ht="12" customHeight="1"/>
    <row r="64519" ht="12" customHeight="1"/>
    <row r="64520" ht="12" customHeight="1"/>
    <row r="64521" ht="12" customHeight="1"/>
    <row r="64522" ht="12" customHeight="1"/>
    <row r="64523" ht="12" customHeight="1"/>
    <row r="64524" ht="12" customHeight="1"/>
    <row r="64525" ht="12" customHeight="1"/>
    <row r="64526" ht="12" customHeight="1"/>
    <row r="64527" ht="12" customHeight="1"/>
    <row r="64528" ht="12" customHeight="1"/>
    <row r="64529" ht="12" customHeight="1"/>
    <row r="64530" ht="12" customHeight="1"/>
    <row r="64531" ht="12" customHeight="1"/>
    <row r="64532" ht="12" customHeight="1"/>
    <row r="64533" ht="12" customHeight="1"/>
    <row r="64534" ht="12" customHeight="1"/>
    <row r="64535" ht="12" customHeight="1"/>
    <row r="64536" ht="12" customHeight="1"/>
    <row r="64537" ht="12" customHeight="1"/>
    <row r="64538" ht="12" customHeight="1"/>
    <row r="64539" ht="12" customHeight="1"/>
    <row r="64540" ht="12" customHeight="1"/>
    <row r="64541" ht="12" customHeight="1"/>
    <row r="64542" ht="12" customHeight="1"/>
    <row r="64543" ht="12" customHeight="1"/>
    <row r="64544" ht="12" customHeight="1"/>
    <row r="64545" ht="12" customHeight="1"/>
    <row r="64546" ht="12" customHeight="1"/>
    <row r="64547" ht="12" customHeight="1"/>
    <row r="64548" ht="12" customHeight="1"/>
    <row r="64549" ht="12" customHeight="1"/>
    <row r="64550" ht="12" customHeight="1"/>
    <row r="64551" ht="12" customHeight="1"/>
    <row r="64552" ht="12" customHeight="1"/>
    <row r="64553" ht="12" customHeight="1"/>
    <row r="64554" ht="12" customHeight="1"/>
    <row r="64555" ht="12" customHeight="1"/>
    <row r="64556" ht="12" customHeight="1"/>
    <row r="64557" ht="12" customHeight="1"/>
    <row r="64558" ht="12" customHeight="1"/>
    <row r="64559" ht="12" customHeight="1"/>
    <row r="64560" ht="12" customHeight="1"/>
    <row r="64561" ht="12" customHeight="1"/>
    <row r="64562" ht="12" customHeight="1"/>
    <row r="64563" ht="12" customHeight="1"/>
    <row r="64564" ht="12" customHeight="1"/>
    <row r="64565" ht="12" customHeight="1"/>
    <row r="64566" ht="12" customHeight="1"/>
    <row r="64567" ht="12" customHeight="1"/>
    <row r="64568" ht="12" customHeight="1"/>
    <row r="64569" ht="12" customHeight="1"/>
    <row r="64570" ht="12" customHeight="1"/>
    <row r="64571" ht="12" customHeight="1"/>
    <row r="64572" ht="12" customHeight="1"/>
    <row r="64573" ht="12" customHeight="1"/>
    <row r="64574" ht="12" customHeight="1"/>
    <row r="64575" ht="12" customHeight="1"/>
    <row r="64576" ht="12" customHeight="1"/>
    <row r="64577" ht="12" customHeight="1"/>
    <row r="64578" ht="12" customHeight="1"/>
    <row r="64579" ht="12" customHeight="1"/>
    <row r="64580" ht="12" customHeight="1"/>
    <row r="64581" ht="12" customHeight="1"/>
    <row r="64582" ht="12" customHeight="1"/>
    <row r="64583" ht="12" customHeight="1"/>
    <row r="64584" ht="12" customHeight="1"/>
    <row r="64585" ht="12" customHeight="1"/>
    <row r="64586" ht="12" customHeight="1"/>
    <row r="64587" ht="12" customHeight="1"/>
    <row r="64588" ht="12" customHeight="1"/>
    <row r="64589" ht="12" customHeight="1"/>
    <row r="64590" ht="12" customHeight="1"/>
    <row r="64591" ht="12" customHeight="1"/>
    <row r="64592" ht="12" customHeight="1"/>
    <row r="64593" ht="12" customHeight="1"/>
    <row r="64594" ht="12" customHeight="1"/>
    <row r="64595" ht="12" customHeight="1"/>
    <row r="64596" ht="12" customHeight="1"/>
    <row r="64597" ht="12" customHeight="1"/>
    <row r="64598" ht="12" customHeight="1"/>
    <row r="64599" ht="12" customHeight="1"/>
    <row r="64600" ht="12" customHeight="1"/>
    <row r="64601" ht="12" customHeight="1"/>
    <row r="64602" ht="12" customHeight="1"/>
    <row r="64603" ht="12" customHeight="1"/>
    <row r="64604" ht="12" customHeight="1"/>
    <row r="64605" ht="12" customHeight="1"/>
    <row r="64606" ht="12" customHeight="1"/>
    <row r="64607" ht="12" customHeight="1"/>
    <row r="64608" ht="12" customHeight="1"/>
    <row r="64609" ht="12" customHeight="1"/>
    <row r="64610" ht="12" customHeight="1"/>
    <row r="64611" ht="12" customHeight="1"/>
    <row r="64612" ht="12" customHeight="1"/>
    <row r="64613" ht="12" customHeight="1"/>
    <row r="64614" ht="12" customHeight="1"/>
    <row r="64615" ht="12" customHeight="1"/>
    <row r="64616" ht="12" customHeight="1"/>
    <row r="64617" ht="12" customHeight="1"/>
    <row r="64618" ht="12" customHeight="1"/>
    <row r="64619" ht="12" customHeight="1"/>
    <row r="64620" ht="12" customHeight="1"/>
    <row r="64621" ht="12" customHeight="1"/>
    <row r="64622" ht="12" customHeight="1"/>
    <row r="64623" ht="12" customHeight="1"/>
    <row r="64624" ht="12" customHeight="1"/>
    <row r="64625" ht="12" customHeight="1"/>
    <row r="64626" ht="12" customHeight="1"/>
    <row r="64627" ht="12" customHeight="1"/>
    <row r="64628" ht="12" customHeight="1"/>
    <row r="64629" ht="12" customHeight="1"/>
    <row r="64630" ht="12" customHeight="1"/>
    <row r="64631" ht="12" customHeight="1"/>
    <row r="64632" ht="12" customHeight="1"/>
    <row r="64633" ht="12" customHeight="1"/>
    <row r="64634" ht="12" customHeight="1"/>
    <row r="64635" ht="12" customHeight="1"/>
    <row r="64636" ht="12" customHeight="1"/>
    <row r="64637" ht="12" customHeight="1"/>
    <row r="64638" ht="12" customHeight="1"/>
    <row r="64639" ht="12" customHeight="1"/>
    <row r="64640" ht="12" customHeight="1"/>
    <row r="64641" ht="12" customHeight="1"/>
    <row r="64642" ht="12" customHeight="1"/>
    <row r="64643" ht="12" customHeight="1"/>
    <row r="64644" ht="12" customHeight="1"/>
    <row r="64645" ht="12" customHeight="1"/>
    <row r="64646" ht="12" customHeight="1"/>
    <row r="64647" ht="12" customHeight="1"/>
    <row r="64648" ht="12" customHeight="1"/>
    <row r="64649" ht="12" customHeight="1"/>
    <row r="64650" ht="12" customHeight="1"/>
    <row r="64651" ht="12" customHeight="1"/>
    <row r="64652" ht="12" customHeight="1"/>
    <row r="64653" ht="12" customHeight="1"/>
    <row r="64654" ht="12" customHeight="1"/>
    <row r="64655" ht="12" customHeight="1"/>
    <row r="64656" ht="12" customHeight="1"/>
    <row r="64657" ht="12" customHeight="1"/>
    <row r="64658" ht="12" customHeight="1"/>
    <row r="64659" ht="12" customHeight="1"/>
    <row r="64660" ht="12" customHeight="1"/>
    <row r="64661" ht="12" customHeight="1"/>
    <row r="64662" ht="12" customHeight="1"/>
    <row r="64663" ht="12" customHeight="1"/>
    <row r="64664" ht="12" customHeight="1"/>
    <row r="64665" ht="12" customHeight="1"/>
    <row r="64666" ht="12" customHeight="1"/>
    <row r="64667" ht="12" customHeight="1"/>
    <row r="64668" ht="12" customHeight="1"/>
    <row r="64669" ht="12" customHeight="1"/>
    <row r="64670" ht="12" customHeight="1"/>
    <row r="64671" ht="12" customHeight="1"/>
    <row r="64672" ht="12" customHeight="1"/>
    <row r="64673" ht="12" customHeight="1"/>
    <row r="64674" ht="12" customHeight="1"/>
    <row r="64675" ht="12" customHeight="1"/>
    <row r="64676" ht="12" customHeight="1"/>
    <row r="64677" ht="12" customHeight="1"/>
    <row r="64678" ht="12" customHeight="1"/>
    <row r="64679" ht="12" customHeight="1"/>
    <row r="64680" ht="12" customHeight="1"/>
    <row r="64681" ht="12" customHeight="1"/>
    <row r="64682" ht="12" customHeight="1"/>
    <row r="64683" ht="12" customHeight="1"/>
    <row r="64684" ht="12" customHeight="1"/>
    <row r="64685" ht="12" customHeight="1"/>
    <row r="64686" ht="12" customHeight="1"/>
    <row r="64687" ht="12" customHeight="1"/>
    <row r="64688" ht="12" customHeight="1"/>
    <row r="64689" ht="12" customHeight="1"/>
    <row r="64690" ht="12" customHeight="1"/>
    <row r="64691" ht="12" customHeight="1"/>
    <row r="64692" ht="12" customHeight="1"/>
    <row r="64693" ht="12" customHeight="1"/>
    <row r="64694" ht="12" customHeight="1"/>
    <row r="64695" ht="12" customHeight="1"/>
    <row r="64696" ht="12" customHeight="1"/>
    <row r="64697" ht="12" customHeight="1"/>
    <row r="64698" ht="12" customHeight="1"/>
    <row r="64699" ht="12" customHeight="1"/>
    <row r="64700" ht="12" customHeight="1"/>
    <row r="64701" ht="12" customHeight="1"/>
    <row r="64702" ht="12" customHeight="1"/>
    <row r="64703" ht="12" customHeight="1"/>
    <row r="64704" ht="12" customHeight="1"/>
    <row r="64705" ht="12" customHeight="1"/>
    <row r="64706" ht="12" customHeight="1"/>
    <row r="64707" ht="12" customHeight="1"/>
    <row r="64708" ht="12" customHeight="1"/>
    <row r="64709" ht="12" customHeight="1"/>
    <row r="64710" ht="12" customHeight="1"/>
    <row r="64711" ht="12" customHeight="1"/>
    <row r="64712" ht="12" customHeight="1"/>
    <row r="64713" ht="12" customHeight="1"/>
    <row r="64714" ht="12" customHeight="1"/>
    <row r="64715" ht="12" customHeight="1"/>
    <row r="64716" ht="12" customHeight="1"/>
    <row r="64717" ht="12" customHeight="1"/>
    <row r="64718" ht="12" customHeight="1"/>
    <row r="64719" ht="12" customHeight="1"/>
    <row r="64720" ht="12" customHeight="1"/>
    <row r="64721" ht="12" customHeight="1"/>
    <row r="64722" ht="12" customHeight="1"/>
    <row r="64723" ht="12" customHeight="1"/>
    <row r="64724" ht="12" customHeight="1"/>
    <row r="64725" ht="12" customHeight="1"/>
    <row r="64726" ht="12" customHeight="1"/>
    <row r="64727" ht="12" customHeight="1"/>
    <row r="64728" ht="12" customHeight="1"/>
    <row r="64729" ht="12" customHeight="1"/>
    <row r="64730" ht="12" customHeight="1"/>
    <row r="64731" ht="12" customHeight="1"/>
    <row r="64732" ht="12" customHeight="1"/>
    <row r="64733" ht="12" customHeight="1"/>
    <row r="64734" ht="12" customHeight="1"/>
    <row r="64735" ht="12" customHeight="1"/>
    <row r="64736" ht="12" customHeight="1"/>
    <row r="64737" ht="12" customHeight="1"/>
    <row r="64738" ht="12" customHeight="1"/>
    <row r="64739" ht="12" customHeight="1"/>
    <row r="64740" ht="12" customHeight="1"/>
    <row r="64741" ht="12" customHeight="1"/>
    <row r="64742" ht="12" customHeight="1"/>
    <row r="64743" ht="12" customHeight="1"/>
    <row r="64744" ht="12" customHeight="1"/>
    <row r="64745" ht="12" customHeight="1"/>
    <row r="64746" ht="12" customHeight="1"/>
    <row r="64747" ht="12" customHeight="1"/>
    <row r="64748" ht="12" customHeight="1"/>
    <row r="64749" ht="12" customHeight="1"/>
    <row r="64750" ht="12" customHeight="1"/>
    <row r="64751" ht="12" customHeight="1"/>
    <row r="64752" ht="12" customHeight="1"/>
    <row r="64753" ht="12" customHeight="1"/>
    <row r="64754" ht="12" customHeight="1"/>
    <row r="64755" ht="12" customHeight="1"/>
    <row r="64756" ht="12" customHeight="1"/>
    <row r="64757" ht="12" customHeight="1"/>
    <row r="64758" ht="12" customHeight="1"/>
    <row r="64759" ht="12" customHeight="1"/>
    <row r="64760" ht="12" customHeight="1"/>
    <row r="64761" ht="12" customHeight="1"/>
    <row r="64762" ht="12" customHeight="1"/>
    <row r="64763" ht="12" customHeight="1"/>
    <row r="64764" ht="12" customHeight="1"/>
    <row r="64765" ht="12" customHeight="1"/>
    <row r="64766" ht="12" customHeight="1"/>
    <row r="64767" ht="12" customHeight="1"/>
    <row r="64768" ht="12" customHeight="1"/>
    <row r="64769" ht="12" customHeight="1"/>
    <row r="64770" ht="12" customHeight="1"/>
    <row r="64771" ht="12" customHeight="1"/>
    <row r="64772" ht="12" customHeight="1"/>
    <row r="64773" ht="12" customHeight="1"/>
    <row r="64774" ht="12" customHeight="1"/>
    <row r="64775" ht="12" customHeight="1"/>
    <row r="64776" ht="12" customHeight="1"/>
    <row r="64777" ht="12" customHeight="1"/>
    <row r="64778" ht="12" customHeight="1"/>
    <row r="64779" ht="12" customHeight="1"/>
    <row r="64780" ht="12" customHeight="1"/>
    <row r="64781" ht="12" customHeight="1"/>
    <row r="64782" ht="12" customHeight="1"/>
    <row r="64783" ht="12" customHeight="1"/>
    <row r="64784" ht="12" customHeight="1"/>
    <row r="64785" ht="12" customHeight="1"/>
    <row r="64786" ht="12" customHeight="1"/>
    <row r="64787" ht="12" customHeight="1"/>
    <row r="64788" ht="12" customHeight="1"/>
    <row r="64789" ht="12" customHeight="1"/>
    <row r="64790" ht="12" customHeight="1"/>
    <row r="64791" ht="12" customHeight="1"/>
    <row r="64792" ht="12" customHeight="1"/>
    <row r="64793" ht="12" customHeight="1"/>
    <row r="64794" ht="12" customHeight="1"/>
    <row r="64795" ht="12" customHeight="1"/>
    <row r="64796" ht="12" customHeight="1"/>
    <row r="64797" ht="12" customHeight="1"/>
    <row r="64798" ht="12" customHeight="1"/>
    <row r="64799" ht="12" customHeight="1"/>
    <row r="64800" ht="12" customHeight="1"/>
    <row r="64801" ht="12" customHeight="1"/>
    <row r="64802" ht="12" customHeight="1"/>
    <row r="64803" ht="12" customHeight="1"/>
    <row r="64804" ht="12" customHeight="1"/>
    <row r="64805" ht="12" customHeight="1"/>
    <row r="64806" ht="12" customHeight="1"/>
    <row r="64807" ht="12" customHeight="1"/>
    <row r="64808" ht="12" customHeight="1"/>
    <row r="64809" ht="12" customHeight="1"/>
    <row r="64810" ht="12" customHeight="1"/>
    <row r="64811" ht="12" customHeight="1"/>
    <row r="64812" ht="12" customHeight="1"/>
    <row r="64813" ht="12" customHeight="1"/>
    <row r="64814" ht="12" customHeight="1"/>
    <row r="64815" ht="12" customHeight="1"/>
    <row r="64816" ht="12" customHeight="1"/>
    <row r="64817" ht="12" customHeight="1"/>
    <row r="64818" ht="12" customHeight="1"/>
    <row r="64819" ht="12" customHeight="1"/>
    <row r="64820" ht="12" customHeight="1"/>
    <row r="64821" ht="12" customHeight="1"/>
    <row r="64822" ht="12" customHeight="1"/>
    <row r="64823" ht="12" customHeight="1"/>
    <row r="64824" ht="12" customHeight="1"/>
    <row r="64825" ht="12" customHeight="1"/>
    <row r="64826" ht="12" customHeight="1"/>
    <row r="64827" ht="12" customHeight="1"/>
    <row r="64828" ht="12" customHeight="1"/>
    <row r="64829" ht="12" customHeight="1"/>
    <row r="64830" ht="12" customHeight="1"/>
    <row r="64831" ht="12" customHeight="1"/>
    <row r="64832" ht="12" customHeight="1"/>
    <row r="64833" ht="12" customHeight="1"/>
    <row r="64834" ht="12" customHeight="1"/>
    <row r="64835" ht="12" customHeight="1"/>
    <row r="64836" ht="12" customHeight="1"/>
    <row r="64837" ht="12" customHeight="1"/>
    <row r="64838" ht="12" customHeight="1"/>
    <row r="64839" ht="12" customHeight="1"/>
    <row r="64840" ht="12" customHeight="1"/>
    <row r="64841" ht="12" customHeight="1"/>
    <row r="64842" ht="12" customHeight="1"/>
    <row r="64843" ht="12" customHeight="1"/>
    <row r="64844" ht="12" customHeight="1"/>
    <row r="64845" ht="12" customHeight="1"/>
    <row r="64846" ht="12" customHeight="1"/>
    <row r="64847" ht="12" customHeight="1"/>
    <row r="64848" ht="12" customHeight="1"/>
    <row r="64849" ht="12" customHeight="1"/>
    <row r="64850" ht="12" customHeight="1"/>
    <row r="64851" ht="12" customHeight="1"/>
    <row r="64852" ht="12" customHeight="1"/>
    <row r="64853" ht="12" customHeight="1"/>
    <row r="64854" ht="12" customHeight="1"/>
    <row r="64855" ht="12" customHeight="1"/>
    <row r="64856" ht="12" customHeight="1"/>
    <row r="64857" ht="12" customHeight="1"/>
    <row r="64858" ht="12" customHeight="1"/>
    <row r="64859" ht="12" customHeight="1"/>
    <row r="64860" ht="12" customHeight="1"/>
    <row r="64861" ht="12" customHeight="1"/>
    <row r="64862" ht="12" customHeight="1"/>
    <row r="64863" ht="12" customHeight="1"/>
    <row r="64864" ht="12" customHeight="1"/>
    <row r="64865" ht="12" customHeight="1"/>
    <row r="64866" ht="12" customHeight="1"/>
    <row r="64867" ht="12" customHeight="1"/>
    <row r="64868" ht="12" customHeight="1"/>
    <row r="64869" ht="12" customHeight="1"/>
    <row r="64870" ht="12" customHeight="1"/>
    <row r="64871" ht="12" customHeight="1"/>
    <row r="64872" ht="12" customHeight="1"/>
    <row r="64873" ht="12" customHeight="1"/>
    <row r="64874" ht="12" customHeight="1"/>
    <row r="64875" ht="12" customHeight="1"/>
    <row r="64876" ht="12" customHeight="1"/>
    <row r="64877" ht="12" customHeight="1"/>
    <row r="64878" ht="12" customHeight="1"/>
    <row r="64879" ht="12" customHeight="1"/>
    <row r="64880" ht="12" customHeight="1"/>
    <row r="64881" ht="12" customHeight="1"/>
    <row r="64882" ht="12" customHeight="1"/>
    <row r="64883" ht="12" customHeight="1"/>
    <row r="64884" ht="12" customHeight="1"/>
    <row r="64885" ht="12" customHeight="1"/>
    <row r="64886" ht="12" customHeight="1"/>
    <row r="64887" ht="12" customHeight="1"/>
    <row r="64888" ht="12" customHeight="1"/>
    <row r="64889" ht="12" customHeight="1"/>
    <row r="64890" ht="12" customHeight="1"/>
    <row r="64891" ht="12" customHeight="1"/>
    <row r="64892" ht="12" customHeight="1"/>
    <row r="64893" ht="12" customHeight="1"/>
    <row r="64894" ht="12" customHeight="1"/>
    <row r="64895" ht="12" customHeight="1"/>
    <row r="64896" ht="12" customHeight="1"/>
    <row r="64897" ht="12" customHeight="1"/>
    <row r="64898" ht="12" customHeight="1"/>
    <row r="64899" ht="12" customHeight="1"/>
    <row r="64900" ht="12" customHeight="1"/>
    <row r="64901" ht="12" customHeight="1"/>
    <row r="64902" ht="12" customHeight="1"/>
    <row r="64903" ht="12" customHeight="1"/>
    <row r="64904" ht="12" customHeight="1"/>
    <row r="64905" ht="12" customHeight="1"/>
    <row r="64906" ht="12" customHeight="1"/>
    <row r="64907" ht="12" customHeight="1"/>
    <row r="64908" ht="12" customHeight="1"/>
    <row r="64909" ht="12" customHeight="1"/>
    <row r="64910" ht="12" customHeight="1"/>
    <row r="64911" ht="12" customHeight="1"/>
    <row r="64912" ht="12" customHeight="1"/>
    <row r="64913" ht="12" customHeight="1"/>
    <row r="64914" ht="12" customHeight="1"/>
    <row r="64915" ht="12" customHeight="1"/>
    <row r="64916" ht="12" customHeight="1"/>
    <row r="64917" ht="12" customHeight="1"/>
    <row r="64918" ht="12" customHeight="1"/>
    <row r="64919" ht="12" customHeight="1"/>
    <row r="64920" ht="12" customHeight="1"/>
    <row r="64921" ht="12" customHeight="1"/>
    <row r="64922" ht="12" customHeight="1"/>
    <row r="64923" ht="12" customHeight="1"/>
    <row r="64924" ht="12" customHeight="1"/>
    <row r="64925" ht="12" customHeight="1"/>
    <row r="64926" ht="12" customHeight="1"/>
    <row r="64927" ht="12" customHeight="1"/>
    <row r="64928" ht="12" customHeight="1"/>
    <row r="64929" ht="12" customHeight="1"/>
    <row r="64930" ht="12" customHeight="1"/>
    <row r="64931" ht="12" customHeight="1"/>
    <row r="64932" ht="12" customHeight="1"/>
    <row r="64933" ht="12" customHeight="1"/>
    <row r="64934" ht="12" customHeight="1"/>
    <row r="64935" ht="12" customHeight="1"/>
    <row r="64936" ht="12" customHeight="1"/>
    <row r="64937" ht="12" customHeight="1"/>
    <row r="64938" ht="12" customHeight="1"/>
    <row r="64939" ht="12" customHeight="1"/>
    <row r="64940" ht="12" customHeight="1"/>
    <row r="64941" ht="12" customHeight="1"/>
    <row r="64942" ht="12" customHeight="1"/>
    <row r="64943" ht="12" customHeight="1"/>
    <row r="64944" ht="12" customHeight="1"/>
    <row r="64945" ht="12" customHeight="1"/>
    <row r="64946" ht="12" customHeight="1"/>
    <row r="64947" ht="12" customHeight="1"/>
    <row r="64948" ht="12" customHeight="1"/>
    <row r="64949" ht="12" customHeight="1"/>
    <row r="64950" ht="12" customHeight="1"/>
    <row r="64951" ht="12" customHeight="1"/>
    <row r="64952" ht="12" customHeight="1"/>
    <row r="64953" ht="12" customHeight="1"/>
    <row r="64954" ht="12" customHeight="1"/>
    <row r="64955" ht="12" customHeight="1"/>
    <row r="64956" ht="12" customHeight="1"/>
    <row r="64957" ht="12" customHeight="1"/>
    <row r="64958" ht="12" customHeight="1"/>
    <row r="64959" ht="12" customHeight="1"/>
    <row r="64960" ht="12" customHeight="1"/>
    <row r="64961" ht="12" customHeight="1"/>
    <row r="64962" ht="12" customHeight="1"/>
    <row r="64963" ht="12" customHeight="1"/>
    <row r="64964" ht="12" customHeight="1"/>
    <row r="64965" ht="12" customHeight="1"/>
    <row r="64966" ht="12" customHeight="1"/>
    <row r="64967" ht="12" customHeight="1"/>
    <row r="64968" ht="12" customHeight="1"/>
    <row r="64969" ht="12" customHeight="1"/>
    <row r="64970" ht="12" customHeight="1"/>
    <row r="64971" ht="12" customHeight="1"/>
    <row r="64972" ht="12" customHeight="1"/>
    <row r="64973" ht="12" customHeight="1"/>
    <row r="64974" ht="12" customHeight="1"/>
    <row r="64975" ht="12" customHeight="1"/>
    <row r="64976" ht="12" customHeight="1"/>
    <row r="64977" ht="12" customHeight="1"/>
    <row r="64978" ht="12" customHeight="1"/>
    <row r="64979" ht="12" customHeight="1"/>
    <row r="64980" ht="12" customHeight="1"/>
    <row r="64981" ht="12" customHeight="1"/>
    <row r="64982" ht="12" customHeight="1"/>
    <row r="64983" ht="12" customHeight="1"/>
    <row r="64984" ht="12" customHeight="1"/>
    <row r="64985" ht="12" customHeight="1"/>
    <row r="64986" ht="12" customHeight="1"/>
    <row r="64987" ht="12" customHeight="1"/>
    <row r="64988" ht="12" customHeight="1"/>
    <row r="64989" ht="12" customHeight="1"/>
    <row r="64990" ht="12" customHeight="1"/>
    <row r="64991" ht="12" customHeight="1"/>
    <row r="64992" ht="12" customHeight="1"/>
    <row r="64993" ht="12" customHeight="1"/>
    <row r="64994" ht="12" customHeight="1"/>
    <row r="64995" ht="12" customHeight="1"/>
    <row r="64996" ht="12" customHeight="1"/>
    <row r="64997" ht="12" customHeight="1"/>
    <row r="64998" ht="12" customHeight="1"/>
    <row r="64999" ht="12" customHeight="1"/>
    <row r="65000" ht="12" customHeight="1"/>
    <row r="65001" ht="12" customHeight="1"/>
    <row r="65002" ht="12" customHeight="1"/>
    <row r="65003" ht="12" customHeight="1"/>
    <row r="65004" ht="12" customHeight="1"/>
    <row r="65005" ht="12" customHeight="1"/>
    <row r="65006" ht="12" customHeight="1"/>
    <row r="65007" ht="12" customHeight="1"/>
    <row r="65008" ht="12" customHeight="1"/>
    <row r="65009" ht="12" customHeight="1"/>
    <row r="65010" ht="12" customHeight="1"/>
    <row r="65011" ht="12" customHeight="1"/>
    <row r="65012" ht="12" customHeight="1"/>
    <row r="65013" ht="12" customHeight="1"/>
    <row r="65014" ht="12" customHeight="1"/>
    <row r="65015" ht="12" customHeight="1"/>
    <row r="65016" ht="12" customHeight="1"/>
    <row r="65017" ht="12" customHeight="1"/>
    <row r="65018" ht="12" customHeight="1"/>
    <row r="65019" ht="12" customHeight="1"/>
    <row r="65020" ht="12" customHeight="1"/>
    <row r="65021" ht="12" customHeight="1"/>
    <row r="65022" ht="12" customHeight="1"/>
    <row r="65023" ht="12" customHeight="1"/>
    <row r="65024" ht="12" customHeight="1"/>
    <row r="65025" ht="12" customHeight="1"/>
    <row r="65026" ht="12" customHeight="1"/>
    <row r="65027" ht="12" customHeight="1"/>
    <row r="65028" ht="12" customHeight="1"/>
    <row r="65029" ht="12" customHeight="1"/>
    <row r="65030" ht="12" customHeight="1"/>
    <row r="65031" ht="12" customHeight="1"/>
    <row r="65032" ht="12" customHeight="1"/>
    <row r="65033" ht="12" customHeight="1"/>
    <row r="65034" ht="12" customHeight="1"/>
    <row r="65035" ht="12" customHeight="1"/>
    <row r="65036" ht="12" customHeight="1"/>
    <row r="65037" ht="12" customHeight="1"/>
    <row r="65038" ht="12" customHeight="1"/>
    <row r="65039" ht="12" customHeight="1"/>
    <row r="65040" ht="12" customHeight="1"/>
    <row r="65041" ht="12" customHeight="1"/>
    <row r="65042" ht="12" customHeight="1"/>
    <row r="65043" ht="12" customHeight="1"/>
    <row r="65044" ht="12" customHeight="1"/>
    <row r="65045" ht="12" customHeight="1"/>
    <row r="65046" ht="12" customHeight="1"/>
    <row r="65047" ht="12" customHeight="1"/>
    <row r="65048" ht="12" customHeight="1"/>
    <row r="65049" ht="12" customHeight="1"/>
    <row r="65050" ht="12" customHeight="1"/>
    <row r="65051" ht="12" customHeight="1"/>
    <row r="65052" ht="12" customHeight="1"/>
    <row r="65053" ht="12" customHeight="1"/>
    <row r="65054" ht="12" customHeight="1"/>
    <row r="65055" ht="12" customHeight="1"/>
    <row r="65056" ht="12" customHeight="1"/>
    <row r="65057" ht="12" customHeight="1"/>
    <row r="65058" ht="12" customHeight="1"/>
    <row r="65059" ht="12" customHeight="1"/>
    <row r="65060" ht="12" customHeight="1"/>
    <row r="65061" ht="12" customHeight="1"/>
    <row r="65062" ht="12" customHeight="1"/>
    <row r="65063" ht="12" customHeight="1"/>
    <row r="65064" ht="12" customHeight="1"/>
    <row r="65065" ht="12" customHeight="1"/>
    <row r="65066" ht="12" customHeight="1"/>
    <row r="65067" ht="12" customHeight="1"/>
    <row r="65068" ht="12" customHeight="1"/>
    <row r="65069" ht="12" customHeight="1"/>
    <row r="65070" ht="12" customHeight="1"/>
    <row r="65071" ht="12" customHeight="1"/>
    <row r="65072" ht="12" customHeight="1"/>
    <row r="65073" ht="12" customHeight="1"/>
    <row r="65074" ht="12" customHeight="1"/>
    <row r="65075" ht="12" customHeight="1"/>
    <row r="65076" ht="12" customHeight="1"/>
    <row r="65077" ht="12" customHeight="1"/>
    <row r="65078" ht="12" customHeight="1"/>
    <row r="65079" ht="12" customHeight="1"/>
    <row r="65080" ht="12" customHeight="1"/>
    <row r="65081" ht="12" customHeight="1"/>
    <row r="65082" ht="12" customHeight="1"/>
    <row r="65083" ht="12" customHeight="1"/>
    <row r="65084" ht="12" customHeight="1"/>
    <row r="65085" ht="12" customHeight="1"/>
    <row r="65086" ht="12" customHeight="1"/>
    <row r="65087" ht="12" customHeight="1"/>
    <row r="65088" ht="12" customHeight="1"/>
    <row r="65089" ht="12" customHeight="1"/>
    <row r="65090" ht="12" customHeight="1"/>
    <row r="65091" ht="12" customHeight="1"/>
    <row r="65092" ht="12" customHeight="1"/>
    <row r="65093" ht="12" customHeight="1"/>
    <row r="65094" ht="12" customHeight="1"/>
    <row r="65095" ht="12" customHeight="1"/>
    <row r="65096" ht="12" customHeight="1"/>
    <row r="65097" ht="12" customHeight="1"/>
    <row r="65098" ht="12" customHeight="1"/>
    <row r="65099" ht="12" customHeight="1"/>
    <row r="65100" ht="12" customHeight="1"/>
    <row r="65101" ht="12" customHeight="1"/>
    <row r="65102" ht="12" customHeight="1"/>
    <row r="65103" ht="12" customHeight="1"/>
    <row r="65104" ht="12" customHeight="1"/>
    <row r="65105" ht="12" customHeight="1"/>
    <row r="65106" ht="12" customHeight="1"/>
    <row r="65107" ht="12" customHeight="1"/>
    <row r="65108" ht="12" customHeight="1"/>
    <row r="65109" ht="12" customHeight="1"/>
    <row r="65110" ht="12" customHeight="1"/>
    <row r="65111" ht="12" customHeight="1"/>
    <row r="65112" ht="12" customHeight="1"/>
    <row r="65113" ht="12" customHeight="1"/>
    <row r="65114" ht="12" customHeight="1"/>
    <row r="65115" ht="12" customHeight="1"/>
    <row r="65116" ht="12" customHeight="1"/>
    <row r="65117" ht="12" customHeight="1"/>
    <row r="65118" ht="12" customHeight="1"/>
    <row r="65119" ht="12" customHeight="1"/>
    <row r="65120" ht="12" customHeight="1"/>
    <row r="65121" ht="12" customHeight="1"/>
    <row r="65122" ht="12" customHeight="1"/>
    <row r="65123" ht="12" customHeight="1"/>
    <row r="65124" ht="12" customHeight="1"/>
    <row r="65125" ht="12" customHeight="1"/>
    <row r="65126" ht="12" customHeight="1"/>
    <row r="65127" ht="12" customHeight="1"/>
    <row r="65128" ht="12" customHeight="1"/>
    <row r="65129" ht="12" customHeight="1"/>
    <row r="65130" ht="12" customHeight="1"/>
    <row r="65131" ht="12" customHeight="1"/>
    <row r="65132" ht="12" customHeight="1"/>
    <row r="65133" ht="12" customHeight="1"/>
    <row r="65134" ht="12" customHeight="1"/>
    <row r="65135" ht="12" customHeight="1"/>
    <row r="65136" ht="12" customHeight="1"/>
    <row r="65137" ht="12" customHeight="1"/>
    <row r="65138" ht="12" customHeight="1"/>
    <row r="65139" ht="12" customHeight="1"/>
    <row r="65140" ht="12" customHeight="1"/>
    <row r="65141" ht="12" customHeight="1"/>
    <row r="65142" ht="12" customHeight="1"/>
    <row r="65143" ht="12" customHeight="1"/>
    <row r="65144" ht="12" customHeight="1"/>
    <row r="65145" ht="12" customHeight="1"/>
    <row r="65146" ht="12" customHeight="1"/>
    <row r="65147" ht="12" customHeight="1"/>
    <row r="65148" ht="12" customHeight="1"/>
    <row r="65149" ht="12" customHeight="1"/>
    <row r="65150" ht="12" customHeight="1"/>
    <row r="65151" ht="12" customHeight="1"/>
    <row r="65152" ht="12" customHeight="1"/>
    <row r="65153" ht="12" customHeight="1"/>
    <row r="65154" ht="12" customHeight="1"/>
    <row r="65155" ht="12" customHeight="1"/>
    <row r="65156" ht="12" customHeight="1"/>
    <row r="65157" ht="12" customHeight="1"/>
    <row r="65158" ht="12" customHeight="1"/>
    <row r="65159" ht="12" customHeight="1"/>
    <row r="65160" ht="12" customHeight="1"/>
    <row r="65161" ht="12" customHeight="1"/>
    <row r="65162" ht="12" customHeight="1"/>
    <row r="65163" ht="12" customHeight="1"/>
    <row r="65164" ht="12" customHeight="1"/>
    <row r="65165" ht="12" customHeight="1"/>
    <row r="65166" ht="12" customHeight="1"/>
    <row r="65167" ht="12" customHeight="1"/>
    <row r="65168" ht="12" customHeight="1"/>
    <row r="65169" ht="12" customHeight="1"/>
    <row r="65170" ht="12" customHeight="1"/>
    <row r="65171" ht="12" customHeight="1"/>
    <row r="65172" ht="12" customHeight="1"/>
    <row r="65173" ht="12" customHeight="1"/>
    <row r="65174" ht="12" customHeight="1"/>
    <row r="65175" ht="12" customHeight="1"/>
    <row r="65176" ht="12" customHeight="1"/>
    <row r="65177" ht="12" customHeight="1"/>
    <row r="65178" ht="12" customHeight="1"/>
    <row r="65179" ht="12" customHeight="1"/>
    <row r="65180" ht="12" customHeight="1"/>
    <row r="65181" ht="12" customHeight="1"/>
    <row r="65182" ht="12" customHeight="1"/>
    <row r="65183" ht="12" customHeight="1"/>
    <row r="65184" ht="12" customHeight="1"/>
    <row r="65185" ht="12" customHeight="1"/>
    <row r="65186" ht="12" customHeight="1"/>
    <row r="65187" ht="12" customHeight="1"/>
    <row r="65188" ht="12" customHeight="1"/>
    <row r="65189" ht="12" customHeight="1"/>
    <row r="65190" ht="12" customHeight="1"/>
    <row r="65191" ht="12" customHeight="1"/>
    <row r="65192" ht="12" customHeight="1"/>
    <row r="65193" ht="12" customHeight="1"/>
    <row r="65194" ht="12" customHeight="1"/>
    <row r="65195" ht="12" customHeight="1"/>
    <row r="65196" ht="12" customHeight="1"/>
    <row r="65197" ht="12" customHeight="1"/>
    <row r="65198" ht="12" customHeight="1"/>
    <row r="65199" ht="12" customHeight="1"/>
    <row r="65200" ht="12" customHeight="1"/>
    <row r="65201" ht="12" customHeight="1"/>
    <row r="65202" ht="12" customHeight="1"/>
    <row r="65203" ht="12" customHeight="1"/>
    <row r="65204" ht="12" customHeight="1"/>
    <row r="65205" ht="12" customHeight="1"/>
    <row r="65206" ht="12" customHeight="1"/>
    <row r="65207" ht="12" customHeight="1"/>
    <row r="65208" ht="12" customHeight="1"/>
    <row r="65209" ht="12" customHeight="1"/>
    <row r="65210" ht="12" customHeight="1"/>
    <row r="65211" ht="12" customHeight="1"/>
    <row r="65212" ht="12" customHeight="1"/>
    <row r="65213" ht="12" customHeight="1"/>
    <row r="65214" ht="12" customHeight="1"/>
    <row r="65215" ht="12" customHeight="1"/>
    <row r="65216" ht="12" customHeight="1"/>
    <row r="65217" ht="12" customHeight="1"/>
    <row r="65218" ht="12" customHeight="1"/>
    <row r="65219" ht="12" customHeight="1"/>
    <row r="65220" ht="12" customHeight="1"/>
    <row r="65221" ht="12" customHeight="1"/>
    <row r="65222" ht="12" customHeight="1"/>
    <row r="65223" ht="12" customHeight="1"/>
    <row r="65224" ht="12" customHeight="1"/>
    <row r="65225" ht="12" customHeight="1"/>
    <row r="65226" ht="12" customHeight="1"/>
    <row r="65227" ht="12" customHeight="1"/>
    <row r="65228" ht="12" customHeight="1"/>
    <row r="65229" ht="12" customHeight="1"/>
    <row r="65230" ht="12" customHeight="1"/>
    <row r="65231" ht="12" customHeight="1"/>
    <row r="65232" ht="12" customHeight="1"/>
    <row r="65233" ht="12" customHeight="1"/>
    <row r="65234" ht="12" customHeight="1"/>
    <row r="65235" ht="12" customHeight="1"/>
    <row r="65236" ht="12" customHeight="1"/>
    <row r="65237" ht="12" customHeight="1"/>
    <row r="65238" ht="12" customHeight="1"/>
    <row r="65239" ht="12" customHeight="1"/>
    <row r="65240" ht="12" customHeight="1"/>
    <row r="65241" ht="12" customHeight="1"/>
    <row r="65242" ht="12" customHeight="1"/>
    <row r="65243" ht="12" customHeight="1"/>
    <row r="65244" ht="12" customHeight="1"/>
    <row r="65245" ht="12" customHeight="1"/>
    <row r="65246" ht="12" customHeight="1"/>
    <row r="65247" ht="12" customHeight="1"/>
    <row r="65248" ht="12" customHeight="1"/>
    <row r="65249" ht="12" customHeight="1"/>
    <row r="65250" ht="12" customHeight="1"/>
    <row r="65251" ht="12" customHeight="1"/>
    <row r="65252" ht="12" customHeight="1"/>
    <row r="65253" ht="12" customHeight="1"/>
    <row r="65254" ht="12" customHeight="1"/>
    <row r="65255" ht="12" customHeight="1"/>
    <row r="65256" ht="12" customHeight="1"/>
    <row r="65257" ht="12" customHeight="1"/>
    <row r="65258" ht="12" customHeight="1"/>
    <row r="65259" ht="12" customHeight="1"/>
    <row r="65260" ht="12" customHeight="1"/>
    <row r="65261" ht="12" customHeight="1"/>
    <row r="65262" ht="12" customHeight="1"/>
    <row r="65263" ht="12" customHeight="1"/>
    <row r="65264" ht="12" customHeight="1"/>
    <row r="65265" ht="12" customHeight="1"/>
    <row r="65266" ht="12" customHeight="1"/>
    <row r="65267" ht="12" customHeight="1"/>
    <row r="65268" ht="12" customHeight="1"/>
    <row r="65269" ht="12" customHeight="1"/>
    <row r="65270" ht="12" customHeight="1"/>
    <row r="65271" ht="12" customHeight="1"/>
    <row r="65272" ht="12" customHeight="1"/>
    <row r="65273" ht="12" customHeight="1"/>
    <row r="65274" ht="12" customHeight="1"/>
    <row r="65275" ht="12" customHeight="1"/>
    <row r="65276" ht="12" customHeight="1"/>
    <row r="65277" ht="12" customHeight="1"/>
    <row r="65278" ht="12" customHeight="1"/>
    <row r="65279" ht="12" customHeight="1"/>
    <row r="65280" ht="12" customHeight="1"/>
    <row r="65281" ht="12" customHeight="1"/>
    <row r="65282" ht="12" customHeight="1"/>
    <row r="65283" ht="12" customHeight="1"/>
    <row r="65284" ht="12" customHeight="1"/>
    <row r="65285" ht="12" customHeight="1"/>
    <row r="65286" ht="12" customHeight="1"/>
    <row r="65287" ht="12" customHeight="1"/>
    <row r="65288" ht="12" customHeight="1"/>
    <row r="65289" ht="12" customHeight="1"/>
    <row r="65290" ht="12" customHeight="1"/>
    <row r="65291" ht="12" customHeight="1"/>
    <row r="65292" ht="12" customHeight="1"/>
    <row r="65293" ht="12" customHeight="1"/>
    <row r="65294" ht="12" customHeight="1"/>
    <row r="65295" ht="12" customHeight="1"/>
    <row r="65296" ht="12" customHeight="1"/>
    <row r="65297" ht="12" customHeight="1"/>
    <row r="65298" ht="12" customHeight="1"/>
    <row r="65299" ht="12" customHeight="1"/>
    <row r="65300" ht="12" customHeight="1"/>
    <row r="65301" ht="12" customHeight="1"/>
    <row r="65302" ht="12" customHeight="1"/>
    <row r="65303" ht="12" customHeight="1"/>
    <row r="65304" ht="12" customHeight="1"/>
    <row r="65305" ht="12" customHeight="1"/>
    <row r="65306" ht="12" customHeight="1"/>
    <row r="65307" ht="12" customHeight="1"/>
    <row r="65308" ht="12" customHeight="1"/>
    <row r="65309" ht="12" customHeight="1"/>
    <row r="65310" ht="12" customHeight="1"/>
    <row r="65311" ht="12" customHeight="1"/>
    <row r="65312" ht="12" customHeight="1"/>
    <row r="65313" ht="12" customHeight="1"/>
    <row r="65314" ht="12" customHeight="1"/>
    <row r="65315" ht="12" customHeight="1"/>
    <row r="65316" ht="12" customHeight="1"/>
    <row r="65317" ht="12" customHeight="1"/>
    <row r="65318" ht="12" customHeight="1"/>
    <row r="65319" ht="12" customHeight="1"/>
    <row r="65320" ht="12" customHeight="1"/>
    <row r="65321" ht="12" customHeight="1"/>
    <row r="65322" ht="12" customHeight="1"/>
    <row r="65323" ht="12" customHeight="1"/>
    <row r="65324" ht="12" customHeight="1"/>
    <row r="65325" ht="12" customHeight="1"/>
    <row r="65326" ht="12" customHeight="1"/>
    <row r="65327" ht="12" customHeight="1"/>
    <row r="65328" ht="12" customHeight="1"/>
    <row r="65329" ht="12" customHeight="1"/>
    <row r="65330" ht="12" customHeight="1"/>
    <row r="65331" ht="12" customHeight="1"/>
    <row r="65332" ht="12" customHeight="1"/>
    <row r="65333" ht="12" customHeight="1"/>
    <row r="65334" ht="12" customHeight="1"/>
    <row r="65335" ht="12" customHeight="1"/>
    <row r="65336" ht="12" customHeight="1"/>
    <row r="65337" ht="12" customHeight="1"/>
    <row r="65338" ht="12" customHeight="1"/>
    <row r="65339" ht="12" customHeight="1"/>
    <row r="65340" ht="12" customHeight="1"/>
    <row r="65341" ht="12" customHeight="1"/>
    <row r="65342" ht="12" customHeight="1"/>
    <row r="65343" ht="12" customHeight="1"/>
    <row r="65344" ht="12" customHeight="1"/>
    <row r="65345" ht="12" customHeight="1"/>
    <row r="65346" ht="12" customHeight="1"/>
    <row r="65347" ht="12" customHeight="1"/>
    <row r="65348" ht="12" customHeight="1"/>
    <row r="65349" ht="12" customHeight="1"/>
    <row r="65350" ht="12" customHeight="1"/>
    <row r="65351" ht="12" customHeight="1"/>
    <row r="65352" ht="12" customHeight="1"/>
    <row r="65353" ht="12" customHeight="1"/>
    <row r="65354" ht="12" customHeight="1"/>
    <row r="65355" ht="12" customHeight="1"/>
    <row r="65356" ht="12" customHeight="1"/>
    <row r="65357" ht="12" customHeight="1"/>
    <row r="65358" ht="12" customHeight="1"/>
    <row r="65359" ht="12" customHeight="1"/>
    <row r="65360" ht="12" customHeight="1"/>
    <row r="65361" ht="12" customHeight="1"/>
    <row r="65362" ht="12" customHeight="1"/>
    <row r="65363" ht="12" customHeight="1"/>
    <row r="65364" ht="12" customHeight="1"/>
    <row r="65365" ht="12" customHeight="1"/>
    <row r="65366" ht="12" customHeight="1"/>
    <row r="65367" ht="12" customHeight="1"/>
    <row r="65368" ht="12" customHeight="1"/>
    <row r="65369" ht="12" customHeight="1"/>
    <row r="65370" ht="12" customHeight="1"/>
    <row r="65371" ht="12" customHeight="1"/>
    <row r="65372" ht="12" customHeight="1"/>
    <row r="65373" ht="12" customHeight="1"/>
    <row r="65374" ht="12" customHeight="1"/>
    <row r="65375" ht="12" customHeight="1"/>
    <row r="65376" ht="12" customHeight="1"/>
    <row r="65377" ht="12" customHeight="1"/>
    <row r="65378" ht="12" customHeight="1"/>
    <row r="65379" ht="12" customHeight="1"/>
    <row r="65380" ht="12" customHeight="1"/>
    <row r="65381" ht="12" customHeight="1"/>
    <row r="65382" ht="12" customHeight="1"/>
    <row r="65383" ht="12" customHeight="1"/>
    <row r="65384" ht="12" customHeight="1"/>
    <row r="65385" ht="12" customHeight="1"/>
    <row r="65386" ht="12" customHeight="1"/>
    <row r="65387" ht="12" customHeight="1"/>
    <row r="65388" ht="12" customHeight="1"/>
    <row r="65389" ht="12" customHeight="1"/>
    <row r="65390" ht="12" customHeight="1"/>
    <row r="65391" ht="12" customHeight="1"/>
    <row r="65392" ht="12" customHeight="1"/>
    <row r="65393" ht="12" customHeight="1"/>
    <row r="65394" ht="12" customHeight="1"/>
    <row r="65395" ht="12" customHeight="1"/>
    <row r="65396" ht="12" customHeight="1"/>
    <row r="65397" ht="12" customHeight="1"/>
    <row r="65398" ht="12" customHeight="1"/>
    <row r="65399" ht="12" customHeight="1"/>
    <row r="65400" ht="12" customHeight="1"/>
    <row r="65401" ht="12" customHeight="1"/>
    <row r="65402" ht="12" customHeight="1"/>
    <row r="65403" ht="12" customHeight="1"/>
    <row r="65404" ht="12" customHeight="1"/>
    <row r="65405" ht="12" customHeight="1"/>
    <row r="65406" ht="12" customHeight="1"/>
    <row r="65407" ht="12" customHeight="1"/>
    <row r="65408" ht="12" customHeight="1"/>
    <row r="65409" ht="12" customHeight="1"/>
    <row r="65410" ht="12" customHeight="1"/>
    <row r="65411" ht="12" customHeight="1"/>
    <row r="65412" ht="12" customHeight="1"/>
    <row r="65413" ht="12" customHeight="1"/>
    <row r="65414" ht="12" customHeight="1"/>
    <row r="65415" ht="12" customHeight="1"/>
    <row r="65416" ht="12" customHeight="1"/>
    <row r="65417" ht="12" customHeight="1"/>
    <row r="65418" ht="12" customHeight="1"/>
    <row r="65419" ht="12" customHeight="1"/>
    <row r="65420" ht="12" customHeight="1"/>
    <row r="65421" ht="12" customHeight="1"/>
    <row r="65422" ht="12" customHeight="1"/>
    <row r="65423" ht="12" customHeight="1"/>
    <row r="65424" ht="12" customHeight="1"/>
    <row r="65425" ht="12" customHeight="1"/>
    <row r="65426" ht="12" customHeight="1"/>
    <row r="65427" ht="12" customHeight="1"/>
    <row r="65428" ht="12" customHeight="1"/>
    <row r="65429" ht="12" customHeight="1"/>
    <row r="65430" ht="12" customHeight="1"/>
    <row r="65431" ht="12" customHeight="1"/>
    <row r="65432" ht="12" customHeight="1"/>
    <row r="65433" ht="12" customHeight="1"/>
    <row r="65434" ht="12" customHeight="1"/>
    <row r="65435" ht="12" customHeight="1"/>
    <row r="65436" ht="12" customHeight="1"/>
    <row r="65437" ht="12" customHeight="1"/>
    <row r="65438" ht="12" customHeight="1"/>
    <row r="65439" ht="12" customHeight="1"/>
    <row r="65440" ht="12" customHeight="1"/>
    <row r="65441" ht="12" customHeight="1"/>
    <row r="65442" ht="12" customHeight="1"/>
    <row r="65443" ht="12" customHeight="1"/>
    <row r="65444" ht="12" customHeight="1"/>
    <row r="65445" ht="12" customHeight="1"/>
    <row r="65446" ht="12" customHeight="1"/>
    <row r="65447" ht="12" customHeight="1"/>
    <row r="65448" ht="12" customHeight="1"/>
    <row r="65449" ht="12" customHeight="1"/>
    <row r="65450" ht="12" customHeight="1"/>
    <row r="65451" ht="12" customHeight="1"/>
    <row r="65452" ht="12" customHeight="1"/>
    <row r="65453" ht="12" customHeight="1"/>
    <row r="65454" ht="12" customHeight="1"/>
    <row r="65455" ht="12" customHeight="1"/>
    <row r="65456" ht="12" customHeight="1"/>
    <row r="65457" ht="12" customHeight="1"/>
    <row r="65458" ht="12" customHeight="1"/>
    <row r="65459" ht="12" customHeight="1"/>
    <row r="65460" ht="12" customHeight="1"/>
    <row r="65461" ht="12" customHeight="1"/>
    <row r="65462" ht="12" customHeight="1"/>
    <row r="65463" ht="12" customHeight="1"/>
    <row r="65464" ht="12" customHeight="1"/>
    <row r="65465" ht="12" customHeight="1"/>
    <row r="65466" ht="12" customHeight="1"/>
    <row r="65467" ht="12" customHeight="1"/>
    <row r="65468" ht="12" customHeight="1"/>
    <row r="65469" ht="12" customHeight="1"/>
    <row r="65470" ht="12" customHeight="1"/>
    <row r="65471" ht="12" customHeight="1"/>
    <row r="65472" ht="12" customHeight="1"/>
    <row r="65473" ht="12" customHeight="1"/>
    <row r="65474" ht="12" customHeight="1"/>
    <row r="65475" ht="12" customHeight="1"/>
    <row r="65476" ht="12" customHeight="1"/>
    <row r="65477" ht="12" customHeight="1"/>
    <row r="65478" ht="12" customHeight="1"/>
    <row r="65479" ht="12" customHeight="1"/>
    <row r="65480" ht="12" customHeight="1"/>
    <row r="65481" ht="12" customHeight="1"/>
    <row r="65482" ht="12" customHeight="1"/>
    <row r="65483" ht="12" customHeight="1"/>
    <row r="65484" ht="12" customHeight="1"/>
    <row r="65485" ht="12" customHeight="1"/>
    <row r="65486" ht="12" customHeight="1"/>
    <row r="65487" ht="12" customHeight="1"/>
    <row r="65488" ht="12" customHeight="1"/>
    <row r="65489" ht="12" customHeight="1"/>
    <row r="65490" ht="12" customHeight="1"/>
    <row r="65491" ht="12" customHeight="1"/>
    <row r="65492" ht="12" customHeight="1"/>
    <row r="65493" ht="12" customHeight="1"/>
    <row r="65494" ht="12" customHeight="1"/>
    <row r="65495" ht="12" customHeight="1"/>
    <row r="65496" ht="12" customHeight="1"/>
    <row r="65497" ht="12" customHeight="1"/>
    <row r="65498" ht="12" customHeight="1"/>
    <row r="65499" ht="12" customHeight="1"/>
    <row r="65500" ht="12" customHeight="1"/>
    <row r="65501" ht="12" customHeight="1"/>
    <row r="65502" ht="12" customHeight="1"/>
    <row r="65503" ht="12" customHeight="1"/>
    <row r="65504" ht="12" customHeight="1"/>
    <row r="65505" ht="12" customHeight="1"/>
    <row r="65506" ht="12" customHeight="1"/>
    <row r="65507" ht="12" customHeight="1"/>
    <row r="65508" ht="12" customHeight="1"/>
    <row r="65509" ht="12" customHeight="1"/>
    <row r="65510" ht="12" customHeight="1"/>
    <row r="65511" ht="12" customHeight="1"/>
    <row r="65512" ht="12" customHeight="1"/>
    <row r="65513" ht="12" customHeight="1"/>
    <row r="65514" ht="12" customHeight="1"/>
    <row r="65515" ht="12" customHeight="1"/>
    <row r="65516" ht="12" customHeight="1"/>
    <row r="65517" ht="12" customHeight="1"/>
    <row r="65518" ht="12" customHeight="1"/>
    <row r="65519" ht="12" customHeight="1"/>
    <row r="65520" ht="12" customHeight="1"/>
    <row r="65521" ht="12" customHeight="1"/>
    <row r="65522" ht="12" customHeight="1"/>
    <row r="65523" ht="12" customHeight="1"/>
    <row r="65524" ht="12" customHeight="1"/>
    <row r="65525" ht="12" customHeight="1"/>
    <row r="65526" ht="12" customHeight="1"/>
    <row r="65527" ht="12" customHeight="1"/>
    <row r="65528" ht="12" customHeight="1"/>
    <row r="65529" ht="12" customHeight="1"/>
    <row r="65530" ht="12" customHeight="1"/>
    <row r="65531" ht="12" customHeight="1"/>
    <row r="65532" ht="12" customHeight="1"/>
    <row r="65533" ht="12" customHeight="1"/>
    <row r="65534" ht="12" customHeight="1"/>
    <row r="65535" ht="12" customHeight="1"/>
    <row r="65536" ht="12" customHeight="1"/>
    <row r="65537" ht="12" customHeight="1"/>
    <row r="65538" ht="12" customHeight="1"/>
    <row r="65539" ht="12" customHeight="1"/>
    <row r="65540" ht="12" customHeight="1"/>
    <row r="65541" ht="12" customHeight="1"/>
    <row r="65542" ht="12" customHeight="1"/>
    <row r="65543" ht="12" customHeight="1"/>
  </sheetData>
  <dataConsolidate/>
  <mergeCells count="57">
    <mergeCell ref="P77:AD77"/>
    <mergeCell ref="C131:U132"/>
    <mergeCell ref="Y131:AG132"/>
    <mergeCell ref="H75:M77"/>
    <mergeCell ref="A87:AH87"/>
    <mergeCell ref="V94:AA94"/>
    <mergeCell ref="Q106:AF106"/>
    <mergeCell ref="E110:P111"/>
    <mergeCell ref="Z110:AG111"/>
    <mergeCell ref="E112:AG113"/>
    <mergeCell ref="G115:P116"/>
    <mergeCell ref="X115:AG116"/>
    <mergeCell ref="E126:L127"/>
    <mergeCell ref="R126:AG127"/>
    <mergeCell ref="C75:E76"/>
    <mergeCell ref="L73:U74"/>
    <mergeCell ref="AA73:AG74"/>
    <mergeCell ref="I52:N53"/>
    <mergeCell ref="AB52:AF53"/>
    <mergeCell ref="L55:Q56"/>
    <mergeCell ref="AA55:AF56"/>
    <mergeCell ref="H58:M59"/>
    <mergeCell ref="J62:O63"/>
    <mergeCell ref="Z62:AF63"/>
    <mergeCell ref="R64:W65"/>
    <mergeCell ref="AC64:AF65"/>
    <mergeCell ref="F68:V69"/>
    <mergeCell ref="AA70:AG71"/>
    <mergeCell ref="F70:V71"/>
    <mergeCell ref="V47:X48"/>
    <mergeCell ref="G5:AG6"/>
    <mergeCell ref="F8:R9"/>
    <mergeCell ref="Y8:AG9"/>
    <mergeCell ref="V11:Z12"/>
    <mergeCell ref="U19:Z19"/>
    <mergeCell ref="G21:L22"/>
    <mergeCell ref="X21:Z22"/>
    <mergeCell ref="AB21:AC22"/>
    <mergeCell ref="AE21:AF22"/>
    <mergeCell ref="B25:AG25"/>
    <mergeCell ref="AB47:AC48"/>
    <mergeCell ref="AL16:AO16"/>
    <mergeCell ref="N75:N76"/>
    <mergeCell ref="P76:AD76"/>
    <mergeCell ref="X28:AC28"/>
    <mergeCell ref="D29:Q30"/>
    <mergeCell ref="T29:AG30"/>
    <mergeCell ref="F32:R33"/>
    <mergeCell ref="G34:I35"/>
    <mergeCell ref="M34:N35"/>
    <mergeCell ref="V34:X35"/>
    <mergeCell ref="AB34:AC35"/>
    <mergeCell ref="F36:AG37"/>
    <mergeCell ref="F38:AG39"/>
    <mergeCell ref="F45:R46"/>
    <mergeCell ref="G47:I48"/>
    <mergeCell ref="M47:N48"/>
  </mergeCells>
  <phoneticPr fontId="5"/>
  <dataValidations count="2">
    <dataValidation type="list" allowBlank="1" showInputMessage="1" showErrorMessage="1" sqref="H15 C17 M15 R15 Q17 V17 AB17 X15 J19 J17 Q19 C19">
      <formula1>$AV$2:$AV$3</formula1>
    </dataValidation>
    <dataValidation type="list" allowBlank="1" showInputMessage="1" showErrorMessage="1" sqref="V11:Z12">
      <formula1>"12,13,14,15,16,17,18,19,20"</formula1>
    </dataValidation>
  </dataValidations>
  <printOptions horizontalCentered="1"/>
  <pageMargins left="0.31496062992125984" right="0.31496062992125984" top="0.39370078740157483" bottom="0.39370078740157483" header="0" footer="0"/>
  <pageSetup paperSize="9" scale="95" fitToHeight="2" orientation="portrait" r:id="rId1"/>
  <rowBreaks count="1" manualBreakCount="1">
    <brk id="79" max="3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3:BE199"/>
  <sheetViews>
    <sheetView view="pageBreakPreview" topLeftCell="A85" zoomScale="115" zoomScaleSheetLayoutView="115" workbookViewId="0">
      <selection activeCell="AU39" sqref="AU39"/>
    </sheetView>
  </sheetViews>
  <sheetFormatPr defaultColWidth="2.375" defaultRowHeight="15"/>
  <cols>
    <col min="1" max="38" width="2.75" style="189" customWidth="1"/>
    <col min="39" max="16384" width="2.375" style="189"/>
  </cols>
  <sheetData>
    <row r="3" spans="1:40" s="287" customFormat="1" ht="14.25">
      <c r="A3" s="458" t="s">
        <v>698</v>
      </c>
      <c r="AC3" s="288" t="s">
        <v>488</v>
      </c>
      <c r="AD3" s="288"/>
      <c r="AE3" s="288"/>
      <c r="AF3" s="288"/>
      <c r="AG3" s="288"/>
      <c r="AH3" s="288"/>
      <c r="AI3" s="288"/>
    </row>
    <row r="4" spans="1:40" s="288" customFormat="1" ht="12" customHeight="1">
      <c r="A4" s="289" t="s">
        <v>699</v>
      </c>
      <c r="J4" s="289"/>
      <c r="AC4" s="289" t="s">
        <v>700</v>
      </c>
    </row>
    <row r="5" spans="1:40" s="288" customFormat="1" ht="3" customHeight="1">
      <c r="A5" s="291"/>
      <c r="B5" s="292"/>
      <c r="C5" s="292"/>
      <c r="D5" s="292"/>
      <c r="E5" s="292"/>
      <c r="F5" s="292"/>
      <c r="G5" s="292"/>
      <c r="H5" s="292"/>
      <c r="I5" s="292"/>
      <c r="J5" s="292"/>
      <c r="K5" s="292"/>
      <c r="L5" s="292"/>
      <c r="M5" s="292"/>
      <c r="N5" s="292"/>
      <c r="O5" s="292"/>
      <c r="P5" s="292"/>
      <c r="Q5" s="292"/>
      <c r="R5" s="292"/>
      <c r="S5" s="292"/>
      <c r="T5" s="292"/>
      <c r="U5" s="292"/>
      <c r="V5" s="292"/>
      <c r="W5" s="292"/>
      <c r="X5" s="292"/>
      <c r="Y5" s="292"/>
      <c r="Z5" s="292"/>
      <c r="AA5" s="292"/>
      <c r="AB5" s="292"/>
      <c r="AC5" s="292"/>
      <c r="AD5" s="292"/>
      <c r="AE5" s="292"/>
      <c r="AF5" s="292"/>
      <c r="AG5" s="292"/>
      <c r="AH5" s="292"/>
      <c r="AI5" s="292"/>
      <c r="AJ5" s="292"/>
      <c r="AK5" s="292"/>
      <c r="AL5" s="294"/>
    </row>
    <row r="6" spans="1:40" s="422" customFormat="1" ht="16.5" customHeight="1">
      <c r="A6" s="300" t="s">
        <v>701</v>
      </c>
      <c r="B6" s="459"/>
      <c r="C6" s="459"/>
      <c r="D6" s="459"/>
      <c r="E6" s="459"/>
      <c r="F6" s="459"/>
      <c r="G6" s="459"/>
      <c r="H6" s="459"/>
      <c r="I6" s="459"/>
      <c r="J6" s="459"/>
      <c r="L6" s="460"/>
      <c r="M6" s="1392" t="str">
        <f>'01.入学願書'!AM11&amp;" "&amp;'01.入学願書'!AV11</f>
        <v>BUI VAN HAI</v>
      </c>
      <c r="N6" s="1392"/>
      <c r="O6" s="1392"/>
      <c r="P6" s="1392"/>
      <c r="Q6" s="1392"/>
      <c r="R6" s="1392"/>
      <c r="S6" s="1392"/>
      <c r="T6" s="1392"/>
      <c r="U6" s="1392"/>
      <c r="V6" s="1392"/>
      <c r="W6" s="1392"/>
      <c r="X6" s="1392"/>
      <c r="Y6" s="1392"/>
      <c r="Z6" s="1392"/>
      <c r="AA6" s="1392"/>
      <c r="AB6" s="1392"/>
      <c r="AC6" s="1392"/>
      <c r="AD6" s="1392"/>
      <c r="AE6" s="1392"/>
      <c r="AF6" s="1392"/>
      <c r="AG6" s="1392"/>
      <c r="AH6" s="1392"/>
      <c r="AI6" s="1392"/>
      <c r="AJ6" s="1392"/>
      <c r="AK6" s="1392"/>
      <c r="AL6" s="461"/>
    </row>
    <row r="7" spans="1:40" s="422" customFormat="1" ht="14.25" customHeight="1">
      <c r="A7" s="462"/>
      <c r="B7" s="297" t="s">
        <v>702</v>
      </c>
      <c r="C7" s="459"/>
      <c r="D7" s="463"/>
      <c r="E7" s="459"/>
      <c r="F7" s="459"/>
      <c r="G7" s="459"/>
      <c r="H7" s="459"/>
      <c r="I7" s="459"/>
      <c r="J7" s="459"/>
      <c r="K7" s="460"/>
      <c r="L7" s="460"/>
      <c r="M7" s="1413"/>
      <c r="N7" s="1413"/>
      <c r="O7" s="1413"/>
      <c r="P7" s="1413"/>
      <c r="Q7" s="1413"/>
      <c r="R7" s="1413"/>
      <c r="S7" s="1413"/>
      <c r="T7" s="1413"/>
      <c r="U7" s="1413"/>
      <c r="V7" s="1413"/>
      <c r="W7" s="1413"/>
      <c r="X7" s="1413"/>
      <c r="Y7" s="1413"/>
      <c r="Z7" s="1413"/>
      <c r="AA7" s="1413"/>
      <c r="AB7" s="1413"/>
      <c r="AC7" s="1413"/>
      <c r="AD7" s="1413"/>
      <c r="AE7" s="1413"/>
      <c r="AF7" s="1413"/>
      <c r="AG7" s="1413"/>
      <c r="AH7" s="1413"/>
      <c r="AI7" s="1413"/>
      <c r="AJ7" s="1413"/>
      <c r="AK7" s="1413"/>
      <c r="AL7" s="461"/>
    </row>
    <row r="8" spans="1:40" s="288" customFormat="1" ht="3" customHeight="1">
      <c r="A8" s="310"/>
      <c r="B8" s="311"/>
      <c r="C8" s="297"/>
      <c r="D8" s="311"/>
      <c r="E8" s="311"/>
      <c r="F8" s="311"/>
      <c r="G8" s="311"/>
      <c r="H8" s="311"/>
      <c r="I8" s="311"/>
      <c r="J8" s="311"/>
      <c r="K8" s="311"/>
      <c r="L8" s="311"/>
      <c r="M8" s="311"/>
      <c r="N8" s="311"/>
      <c r="O8" s="311"/>
      <c r="P8" s="311"/>
      <c r="Q8" s="311"/>
      <c r="R8" s="311"/>
      <c r="S8" s="311"/>
      <c r="T8" s="311"/>
      <c r="U8" s="311"/>
      <c r="V8" s="311"/>
      <c r="W8" s="311"/>
      <c r="X8" s="311"/>
      <c r="Y8" s="311"/>
      <c r="Z8" s="311"/>
      <c r="AA8" s="311"/>
      <c r="AB8" s="311"/>
      <c r="AC8" s="311"/>
      <c r="AD8" s="311"/>
      <c r="AE8" s="311"/>
      <c r="AF8" s="311"/>
      <c r="AG8" s="311"/>
      <c r="AH8" s="311"/>
      <c r="AI8" s="311"/>
      <c r="AJ8" s="311"/>
      <c r="AK8" s="311"/>
      <c r="AL8" s="312"/>
    </row>
    <row r="9" spans="1:40" s="422" customFormat="1" ht="16.5" customHeight="1">
      <c r="A9" s="295" t="s">
        <v>703</v>
      </c>
      <c r="B9" s="464"/>
      <c r="C9" s="464"/>
      <c r="D9" s="464"/>
      <c r="E9" s="459"/>
      <c r="F9" s="297" t="s">
        <v>704</v>
      </c>
      <c r="G9" s="459"/>
      <c r="H9" s="459"/>
      <c r="I9" s="459"/>
      <c r="J9" s="459"/>
      <c r="K9" s="459"/>
      <c r="L9" s="459"/>
      <c r="M9" s="459"/>
      <c r="N9" s="459"/>
      <c r="O9" s="459"/>
      <c r="P9" s="459"/>
      <c r="Q9" s="459"/>
      <c r="R9" s="459"/>
      <c r="S9" s="459"/>
      <c r="T9" s="459"/>
      <c r="U9" s="459"/>
      <c r="V9" s="459"/>
      <c r="W9" s="459"/>
      <c r="X9" s="459"/>
      <c r="Y9" s="459"/>
      <c r="Z9" s="459"/>
      <c r="AA9" s="459"/>
      <c r="AB9" s="459"/>
      <c r="AC9" s="459"/>
      <c r="AD9" s="459"/>
      <c r="AE9" s="459"/>
      <c r="AF9" s="459"/>
      <c r="AG9" s="459"/>
      <c r="AH9" s="459"/>
      <c r="AI9" s="459"/>
      <c r="AJ9" s="459"/>
      <c r="AK9" s="459"/>
      <c r="AL9" s="461"/>
      <c r="AM9" s="459"/>
    </row>
    <row r="10" spans="1:40" s="422" customFormat="1" ht="16.5" customHeight="1">
      <c r="A10" s="462"/>
      <c r="B10" s="296" t="s">
        <v>705</v>
      </c>
      <c r="C10" s="464"/>
      <c r="D10" s="464"/>
      <c r="E10" s="459"/>
      <c r="F10" s="459"/>
      <c r="G10" s="460"/>
      <c r="H10" s="460"/>
      <c r="I10" s="1392" t="s">
        <v>1261</v>
      </c>
      <c r="J10" s="1392"/>
      <c r="K10" s="1392"/>
      <c r="L10" s="1392"/>
      <c r="M10" s="1392"/>
      <c r="N10" s="1392"/>
      <c r="O10" s="1392"/>
      <c r="P10" s="1392"/>
      <c r="Q10" s="1392"/>
      <c r="R10" s="1392"/>
      <c r="S10" s="1392"/>
      <c r="T10" s="1392"/>
      <c r="U10" s="1392"/>
      <c r="V10" s="1392"/>
      <c r="W10" s="1392"/>
      <c r="X10" s="1392"/>
      <c r="Y10" s="1392"/>
      <c r="Z10" s="1392"/>
      <c r="AA10" s="1392"/>
      <c r="AB10" s="1392"/>
      <c r="AC10" s="1392"/>
      <c r="AD10" s="1392"/>
      <c r="AE10" s="1392"/>
      <c r="AF10" s="1392"/>
      <c r="AG10" s="1392"/>
      <c r="AH10" s="1392"/>
      <c r="AI10" s="1392"/>
      <c r="AJ10" s="1392"/>
      <c r="AK10" s="1392"/>
      <c r="AL10" s="461"/>
      <c r="AM10" s="459"/>
    </row>
    <row r="11" spans="1:40" s="422" customFormat="1" ht="14.25">
      <c r="A11" s="462"/>
      <c r="B11" s="459"/>
      <c r="C11" s="297" t="s">
        <v>706</v>
      </c>
      <c r="D11" s="459"/>
      <c r="E11" s="459"/>
      <c r="F11" s="459"/>
      <c r="G11" s="465"/>
      <c r="H11" s="465"/>
      <c r="I11" s="1413"/>
      <c r="J11" s="1413"/>
      <c r="K11" s="1413"/>
      <c r="L11" s="1413"/>
      <c r="M11" s="1413"/>
      <c r="N11" s="1413"/>
      <c r="O11" s="1413"/>
      <c r="P11" s="1413"/>
      <c r="Q11" s="1413"/>
      <c r="R11" s="1413"/>
      <c r="S11" s="1413"/>
      <c r="T11" s="1413"/>
      <c r="U11" s="1413"/>
      <c r="V11" s="1413"/>
      <c r="W11" s="1413"/>
      <c r="X11" s="1413"/>
      <c r="Y11" s="1413"/>
      <c r="Z11" s="1413"/>
      <c r="AA11" s="1413"/>
      <c r="AB11" s="1413"/>
      <c r="AC11" s="1413"/>
      <c r="AD11" s="1413"/>
      <c r="AE11" s="1413"/>
      <c r="AF11" s="1413"/>
      <c r="AG11" s="1413"/>
      <c r="AH11" s="1413"/>
      <c r="AI11" s="1413"/>
      <c r="AJ11" s="1413"/>
      <c r="AK11" s="1413"/>
      <c r="AL11" s="461"/>
      <c r="AM11" s="459"/>
    </row>
    <row r="12" spans="1:40" s="422" customFormat="1" ht="16.5" customHeight="1">
      <c r="A12" s="462"/>
      <c r="B12" s="296" t="s">
        <v>495</v>
      </c>
      <c r="C12" s="464"/>
      <c r="D12" s="464"/>
      <c r="E12" s="459"/>
      <c r="F12" s="459"/>
      <c r="G12" s="466"/>
      <c r="H12" s="467"/>
      <c r="I12" s="1421" t="s">
        <v>1275</v>
      </c>
      <c r="J12" s="1421"/>
      <c r="K12" s="1421"/>
      <c r="L12" s="1421"/>
      <c r="M12" s="1421"/>
      <c r="N12" s="1421"/>
      <c r="O12" s="1421"/>
      <c r="P12" s="1421"/>
      <c r="Q12" s="1421"/>
      <c r="R12" s="1421"/>
      <c r="S12" s="1421"/>
      <c r="T12" s="1421"/>
      <c r="U12" s="1421"/>
      <c r="V12" s="1421"/>
      <c r="W12" s="1421"/>
      <c r="X12" s="1421"/>
      <c r="Y12" s="1421"/>
      <c r="Z12" s="1421"/>
      <c r="AA12" s="1421"/>
      <c r="AB12" s="1421"/>
      <c r="AC12" s="1421"/>
      <c r="AD12" s="1421"/>
      <c r="AE12" s="1421"/>
      <c r="AF12" s="1421"/>
      <c r="AG12" s="1421"/>
      <c r="AH12" s="1421"/>
      <c r="AI12" s="1421"/>
      <c r="AJ12" s="1421"/>
      <c r="AK12" s="1421"/>
      <c r="AL12" s="461"/>
    </row>
    <row r="13" spans="1:40" s="422" customFormat="1" ht="14.25">
      <c r="A13" s="462"/>
      <c r="B13" s="459"/>
      <c r="C13" s="297" t="s">
        <v>707</v>
      </c>
      <c r="D13" s="459"/>
      <c r="E13" s="459"/>
      <c r="F13" s="459"/>
      <c r="G13" s="465"/>
      <c r="H13" s="465"/>
      <c r="I13" s="1413"/>
      <c r="J13" s="1413"/>
      <c r="K13" s="1413"/>
      <c r="L13" s="1413"/>
      <c r="M13" s="1413"/>
      <c r="N13" s="1413"/>
      <c r="O13" s="1413"/>
      <c r="P13" s="1413"/>
      <c r="Q13" s="1413"/>
      <c r="R13" s="1413"/>
      <c r="S13" s="1413"/>
      <c r="T13" s="1413"/>
      <c r="U13" s="1413"/>
      <c r="V13" s="1413"/>
      <c r="W13" s="1413"/>
      <c r="X13" s="1413"/>
      <c r="Y13" s="1413"/>
      <c r="Z13" s="1413"/>
      <c r="AA13" s="1413"/>
      <c r="AB13" s="1413"/>
      <c r="AC13" s="1413"/>
      <c r="AD13" s="1413"/>
      <c r="AE13" s="1413"/>
      <c r="AF13" s="1413"/>
      <c r="AG13" s="1413"/>
      <c r="AH13" s="1413"/>
      <c r="AI13" s="1413"/>
      <c r="AJ13" s="1413"/>
      <c r="AK13" s="1413"/>
      <c r="AL13" s="461"/>
    </row>
    <row r="14" spans="1:40" s="422" customFormat="1" ht="16.5" customHeight="1">
      <c r="A14" s="462"/>
      <c r="B14" s="459"/>
      <c r="C14" s="296" t="s">
        <v>356</v>
      </c>
      <c r="D14" s="464"/>
      <c r="E14" s="464"/>
      <c r="F14" s="459"/>
      <c r="H14" s="460"/>
      <c r="I14" s="1421" t="s">
        <v>1268</v>
      </c>
      <c r="J14" s="1421"/>
      <c r="K14" s="1421"/>
      <c r="L14" s="1421"/>
      <c r="M14" s="1421"/>
      <c r="N14" s="1421"/>
      <c r="O14" s="1421"/>
      <c r="P14" s="1421"/>
      <c r="Q14" s="1421"/>
      <c r="R14" s="459"/>
      <c r="S14" s="459"/>
      <c r="T14" s="459"/>
      <c r="U14" s="459"/>
      <c r="V14" s="459"/>
      <c r="W14" s="459"/>
      <c r="X14" s="459"/>
      <c r="Y14" s="459"/>
      <c r="Z14" s="459"/>
      <c r="AA14" s="459"/>
      <c r="AB14" s="459"/>
      <c r="AC14" s="459"/>
      <c r="AD14" s="459"/>
      <c r="AE14" s="459"/>
      <c r="AF14" s="459"/>
      <c r="AG14" s="459"/>
      <c r="AH14" s="459"/>
      <c r="AI14" s="459"/>
      <c r="AJ14" s="459"/>
      <c r="AK14" s="459"/>
      <c r="AL14" s="461"/>
    </row>
    <row r="15" spans="1:40" s="422" customFormat="1" ht="14.25">
      <c r="A15" s="462"/>
      <c r="B15" s="459"/>
      <c r="C15" s="297" t="s">
        <v>708</v>
      </c>
      <c r="D15" s="459"/>
      <c r="E15" s="459"/>
      <c r="F15" s="459"/>
      <c r="G15" s="460"/>
      <c r="H15" s="460"/>
      <c r="I15" s="1413"/>
      <c r="J15" s="1413"/>
      <c r="K15" s="1413"/>
      <c r="L15" s="1413"/>
      <c r="M15" s="1413"/>
      <c r="N15" s="1413"/>
      <c r="O15" s="1413"/>
      <c r="P15" s="1413"/>
      <c r="Q15" s="1413"/>
      <c r="R15" s="459"/>
      <c r="S15" s="459"/>
      <c r="T15" s="459"/>
      <c r="U15" s="459"/>
      <c r="V15" s="459"/>
      <c r="W15" s="459"/>
      <c r="X15" s="459"/>
      <c r="Y15" s="459"/>
      <c r="Z15" s="459"/>
      <c r="AA15" s="459"/>
      <c r="AB15" s="459"/>
      <c r="AC15" s="459"/>
      <c r="AD15" s="459"/>
      <c r="AE15" s="459"/>
      <c r="AF15" s="459"/>
      <c r="AG15" s="459"/>
      <c r="AH15" s="459"/>
      <c r="AI15" s="459"/>
      <c r="AJ15" s="459"/>
      <c r="AK15" s="459"/>
      <c r="AL15" s="461"/>
      <c r="AM15" s="459"/>
      <c r="AN15" s="459"/>
    </row>
    <row r="16" spans="1:40" s="422" customFormat="1" ht="3" customHeight="1">
      <c r="A16" s="462"/>
      <c r="B16" s="459"/>
      <c r="C16" s="297"/>
      <c r="D16" s="459"/>
      <c r="E16" s="459"/>
      <c r="F16" s="459"/>
      <c r="G16" s="459"/>
      <c r="H16" s="459"/>
      <c r="I16" s="459"/>
      <c r="J16" s="459"/>
      <c r="K16" s="459"/>
      <c r="L16" s="459"/>
      <c r="M16" s="459"/>
      <c r="N16" s="459"/>
      <c r="O16" s="459"/>
      <c r="P16" s="459"/>
      <c r="Q16" s="459"/>
      <c r="R16" s="459"/>
      <c r="S16" s="459"/>
      <c r="T16" s="459"/>
      <c r="U16" s="459"/>
      <c r="V16" s="459"/>
      <c r="W16" s="459"/>
      <c r="X16" s="459"/>
      <c r="Y16" s="459"/>
      <c r="Z16" s="459"/>
      <c r="AA16" s="459"/>
      <c r="AB16" s="459"/>
      <c r="AC16" s="459"/>
      <c r="AD16" s="459"/>
      <c r="AE16" s="459"/>
      <c r="AF16" s="459"/>
      <c r="AG16" s="459"/>
      <c r="AH16" s="459"/>
      <c r="AI16" s="459"/>
      <c r="AJ16" s="459"/>
      <c r="AK16" s="459"/>
      <c r="AL16" s="461"/>
      <c r="AM16" s="459"/>
      <c r="AN16" s="459"/>
    </row>
    <row r="17" spans="1:40" s="422" customFormat="1" ht="16.5" customHeight="1">
      <c r="A17" s="462"/>
      <c r="B17" s="298" t="s">
        <v>709</v>
      </c>
      <c r="C17" s="459"/>
      <c r="D17" s="459"/>
      <c r="E17" s="459"/>
      <c r="F17" s="459"/>
      <c r="G17" s="459"/>
      <c r="H17" s="459"/>
      <c r="I17" s="297" t="s">
        <v>710</v>
      </c>
      <c r="J17" s="459"/>
      <c r="K17" s="459"/>
      <c r="L17" s="459"/>
      <c r="M17" s="459"/>
      <c r="N17" s="459"/>
      <c r="O17" s="459"/>
      <c r="P17" s="459"/>
      <c r="Q17" s="459"/>
      <c r="R17" s="459"/>
      <c r="S17" s="459"/>
      <c r="T17" s="459"/>
      <c r="U17" s="459"/>
      <c r="V17" s="459"/>
      <c r="W17" s="459"/>
      <c r="X17" s="459"/>
      <c r="Y17" s="459"/>
      <c r="Z17" s="459"/>
      <c r="AA17" s="459"/>
      <c r="AB17" s="459"/>
      <c r="AC17" s="459"/>
      <c r="AD17" s="459"/>
      <c r="AE17" s="459"/>
      <c r="AF17" s="459"/>
      <c r="AG17" s="459"/>
      <c r="AH17" s="459"/>
      <c r="AI17" s="459"/>
      <c r="AJ17" s="459"/>
      <c r="AK17" s="459"/>
      <c r="AL17" s="461"/>
      <c r="AM17" s="459"/>
      <c r="AN17" s="459"/>
    </row>
    <row r="18" spans="1:40" s="422" customFormat="1" ht="16.5" customHeight="1">
      <c r="A18" s="462"/>
      <c r="B18" s="459"/>
      <c r="C18" s="421" t="s">
        <v>711</v>
      </c>
      <c r="D18" s="298" t="s">
        <v>712</v>
      </c>
      <c r="E18" s="459"/>
      <c r="F18" s="459"/>
      <c r="G18" s="459"/>
      <c r="H18" s="459"/>
      <c r="I18" s="421" t="s">
        <v>713</v>
      </c>
      <c r="J18" s="298" t="s">
        <v>714</v>
      </c>
      <c r="K18" s="459"/>
      <c r="L18" s="459"/>
      <c r="M18" s="459"/>
      <c r="N18" s="459"/>
      <c r="O18" s="421" t="s">
        <v>711</v>
      </c>
      <c r="P18" s="298" t="s">
        <v>715</v>
      </c>
      <c r="Q18" s="459"/>
      <c r="R18" s="459"/>
      <c r="S18" s="459"/>
      <c r="T18" s="459"/>
      <c r="U18" s="459"/>
      <c r="V18" s="459"/>
      <c r="W18" s="421" t="s">
        <v>177</v>
      </c>
      <c r="X18" s="298" t="s">
        <v>716</v>
      </c>
      <c r="Y18" s="459"/>
      <c r="Z18" s="459"/>
      <c r="AA18" s="459"/>
      <c r="AB18" s="459"/>
      <c r="AC18" s="459"/>
      <c r="AD18" s="459"/>
      <c r="AE18" s="459"/>
      <c r="AF18" s="459"/>
      <c r="AG18" s="459"/>
      <c r="AH18" s="459"/>
      <c r="AI18" s="459"/>
      <c r="AJ18" s="459"/>
      <c r="AK18" s="459"/>
      <c r="AL18" s="461"/>
      <c r="AM18" s="459"/>
      <c r="AN18" s="459"/>
    </row>
    <row r="19" spans="1:40" s="289" customFormat="1" ht="14.25" customHeight="1">
      <c r="A19" s="468"/>
      <c r="B19" s="297"/>
      <c r="C19" s="297"/>
      <c r="D19" s="297" t="s">
        <v>717</v>
      </c>
      <c r="E19" s="297"/>
      <c r="F19" s="297"/>
      <c r="G19" s="297"/>
      <c r="H19" s="297"/>
      <c r="I19" s="297"/>
      <c r="J19" s="297" t="s">
        <v>718</v>
      </c>
      <c r="K19" s="297"/>
      <c r="L19" s="297"/>
      <c r="M19" s="297"/>
      <c r="N19" s="297"/>
      <c r="O19" s="297"/>
      <c r="P19" s="297" t="s">
        <v>719</v>
      </c>
      <c r="Q19" s="297"/>
      <c r="R19" s="297"/>
      <c r="S19" s="297"/>
      <c r="T19" s="297"/>
      <c r="U19" s="297"/>
      <c r="V19" s="297"/>
      <c r="W19" s="297"/>
      <c r="X19" s="297" t="s">
        <v>720</v>
      </c>
      <c r="Y19" s="297"/>
      <c r="Z19" s="297"/>
      <c r="AA19" s="297"/>
      <c r="AB19" s="297"/>
      <c r="AC19" s="297"/>
      <c r="AD19" s="297"/>
      <c r="AE19" s="297"/>
      <c r="AF19" s="297"/>
      <c r="AG19" s="297"/>
      <c r="AH19" s="297"/>
      <c r="AI19" s="297"/>
      <c r="AJ19" s="297"/>
      <c r="AK19" s="297"/>
      <c r="AL19" s="469"/>
      <c r="AM19" s="297"/>
      <c r="AN19" s="297"/>
    </row>
    <row r="20" spans="1:40" s="422" customFormat="1" ht="16.5" customHeight="1">
      <c r="A20" s="462"/>
      <c r="B20" s="459"/>
      <c r="C20" s="421" t="s">
        <v>711</v>
      </c>
      <c r="D20" s="298" t="s">
        <v>721</v>
      </c>
      <c r="E20" s="459"/>
      <c r="F20" s="459"/>
      <c r="G20" s="459"/>
      <c r="H20" s="459"/>
      <c r="I20" s="459"/>
      <c r="J20" s="459"/>
      <c r="K20" s="459"/>
      <c r="L20" s="459"/>
      <c r="M20" s="459"/>
      <c r="N20" s="459"/>
      <c r="O20" s="459"/>
      <c r="P20" s="459"/>
      <c r="Q20" s="459"/>
      <c r="R20" s="421" t="s">
        <v>296</v>
      </c>
      <c r="S20" s="298" t="s">
        <v>722</v>
      </c>
      <c r="T20" s="459"/>
      <c r="U20" s="459"/>
      <c r="V20" s="459"/>
      <c r="W20" s="459"/>
      <c r="X20" s="459"/>
      <c r="Y20" s="459"/>
      <c r="Z20" s="459"/>
      <c r="AA20" s="459"/>
      <c r="AB20" s="459"/>
      <c r="AC20" s="459"/>
      <c r="AD20" s="459"/>
      <c r="AE20" s="459"/>
      <c r="AF20" s="459"/>
      <c r="AG20" s="459"/>
      <c r="AH20" s="459"/>
      <c r="AI20" s="459"/>
      <c r="AJ20" s="459"/>
      <c r="AK20" s="459"/>
      <c r="AL20" s="461"/>
      <c r="AM20" s="459"/>
      <c r="AN20" s="459"/>
    </row>
    <row r="21" spans="1:40" s="289" customFormat="1" ht="14.25" customHeight="1">
      <c r="A21" s="468"/>
      <c r="B21" s="297"/>
      <c r="C21" s="297"/>
      <c r="D21" s="297" t="s">
        <v>723</v>
      </c>
      <c r="E21" s="297"/>
      <c r="F21" s="297"/>
      <c r="G21" s="297"/>
      <c r="H21" s="297"/>
      <c r="I21" s="297"/>
      <c r="J21" s="297"/>
      <c r="K21" s="297"/>
      <c r="L21" s="297"/>
      <c r="M21" s="297"/>
      <c r="N21" s="297"/>
      <c r="O21" s="297"/>
      <c r="P21" s="297"/>
      <c r="Q21" s="297"/>
      <c r="R21" s="297"/>
      <c r="S21" s="297" t="s">
        <v>724</v>
      </c>
      <c r="T21" s="297"/>
      <c r="U21" s="297"/>
      <c r="V21" s="297"/>
      <c r="W21" s="297"/>
      <c r="X21" s="297"/>
      <c r="Y21" s="297"/>
      <c r="Z21" s="297"/>
      <c r="AA21" s="297"/>
      <c r="AB21" s="297"/>
      <c r="AC21" s="297"/>
      <c r="AD21" s="297"/>
      <c r="AE21" s="297"/>
      <c r="AF21" s="297"/>
      <c r="AG21" s="297"/>
      <c r="AH21" s="297"/>
      <c r="AI21" s="297"/>
      <c r="AJ21" s="297"/>
      <c r="AK21" s="297"/>
      <c r="AL21" s="469"/>
      <c r="AM21" s="297"/>
      <c r="AN21" s="297"/>
    </row>
    <row r="22" spans="1:40" s="422" customFormat="1" ht="16.5" customHeight="1">
      <c r="A22" s="462"/>
      <c r="B22" s="459"/>
      <c r="C22" s="421" t="s">
        <v>177</v>
      </c>
      <c r="D22" s="298" t="s">
        <v>521</v>
      </c>
      <c r="E22" s="459"/>
      <c r="F22" s="459"/>
      <c r="G22" s="459"/>
      <c r="H22" s="459"/>
      <c r="I22" s="459"/>
      <c r="J22" s="459"/>
      <c r="K22" s="421" t="s">
        <v>711</v>
      </c>
      <c r="L22" s="298" t="s">
        <v>725</v>
      </c>
      <c r="M22" s="459"/>
      <c r="N22" s="459"/>
      <c r="O22" s="470" t="s">
        <v>726</v>
      </c>
      <c r="P22" s="1392"/>
      <c r="Q22" s="1392"/>
      <c r="R22" s="1392"/>
      <c r="S22" s="1392"/>
      <c r="T22" s="1392"/>
      <c r="U22" s="1392"/>
      <c r="V22" s="1392"/>
      <c r="W22" s="1392"/>
      <c r="X22" s="1392"/>
      <c r="Y22" s="1392"/>
      <c r="Z22" s="1392"/>
      <c r="AA22" s="1392"/>
      <c r="AB22" s="1392"/>
      <c r="AC22" s="1392"/>
      <c r="AD22" s="1392"/>
      <c r="AE22" s="1392"/>
      <c r="AF22" s="1392"/>
      <c r="AG22" s="1392"/>
      <c r="AH22" s="1392"/>
      <c r="AI22" s="1392"/>
      <c r="AJ22" s="1392"/>
      <c r="AK22" s="298" t="s">
        <v>727</v>
      </c>
      <c r="AL22" s="461"/>
      <c r="AM22" s="459"/>
      <c r="AN22" s="459"/>
    </row>
    <row r="23" spans="1:40" s="289" customFormat="1" ht="14.25" customHeight="1">
      <c r="A23" s="468"/>
      <c r="B23" s="297"/>
      <c r="C23" s="297"/>
      <c r="D23" s="297" t="s">
        <v>728</v>
      </c>
      <c r="E23" s="297"/>
      <c r="F23" s="297"/>
      <c r="G23" s="297"/>
      <c r="H23" s="297"/>
      <c r="I23" s="297"/>
      <c r="J23" s="297"/>
      <c r="K23" s="297"/>
      <c r="L23" s="297"/>
      <c r="M23" s="297" t="s">
        <v>729</v>
      </c>
      <c r="N23" s="297"/>
      <c r="O23" s="297"/>
      <c r="P23" s="297"/>
      <c r="Q23" s="297"/>
      <c r="R23" s="297"/>
      <c r="S23" s="297"/>
      <c r="T23" s="297"/>
      <c r="U23" s="297"/>
      <c r="V23" s="297"/>
      <c r="W23" s="297"/>
      <c r="X23" s="297"/>
      <c r="Y23" s="297"/>
      <c r="Z23" s="297"/>
      <c r="AA23" s="297"/>
      <c r="AB23" s="297"/>
      <c r="AC23" s="297"/>
      <c r="AD23" s="297"/>
      <c r="AE23" s="297"/>
      <c r="AF23" s="297"/>
      <c r="AG23" s="297"/>
      <c r="AH23" s="297"/>
      <c r="AI23" s="297"/>
      <c r="AJ23" s="297"/>
      <c r="AK23" s="297"/>
      <c r="AL23" s="469"/>
      <c r="AM23" s="297"/>
      <c r="AN23" s="297"/>
    </row>
    <row r="24" spans="1:40" s="422" customFormat="1" ht="16.5" customHeight="1">
      <c r="A24" s="462"/>
      <c r="B24" s="298" t="s">
        <v>730</v>
      </c>
      <c r="C24" s="459"/>
      <c r="D24" s="459"/>
      <c r="E24" s="459"/>
      <c r="F24" s="459"/>
      <c r="G24" s="297" t="s">
        <v>731</v>
      </c>
      <c r="H24" s="297"/>
      <c r="I24" s="459"/>
      <c r="J24" s="459"/>
      <c r="K24" s="459"/>
      <c r="L24" s="459"/>
      <c r="M24" s="459"/>
      <c r="N24" s="459"/>
      <c r="O24" s="459"/>
      <c r="P24" s="389"/>
      <c r="Q24" s="459"/>
      <c r="R24" s="459"/>
      <c r="S24" s="459"/>
      <c r="T24" s="459"/>
      <c r="U24" s="459"/>
      <c r="V24" s="459"/>
      <c r="W24" s="459"/>
      <c r="X24" s="459"/>
      <c r="Y24" s="459"/>
      <c r="Z24" s="459"/>
      <c r="AA24" s="459"/>
      <c r="AB24" s="459"/>
      <c r="AC24" s="459"/>
      <c r="AD24" s="459"/>
      <c r="AE24" s="459"/>
      <c r="AF24" s="459"/>
      <c r="AG24" s="459"/>
      <c r="AH24" s="459"/>
      <c r="AI24" s="459"/>
      <c r="AJ24" s="459"/>
      <c r="AK24" s="459"/>
      <c r="AL24" s="461"/>
      <c r="AM24" s="459"/>
      <c r="AN24" s="459"/>
    </row>
    <row r="25" spans="1:40" s="422" customFormat="1" ht="16.5" customHeight="1">
      <c r="A25" s="462"/>
      <c r="B25" s="459"/>
      <c r="C25" s="421" t="s">
        <v>296</v>
      </c>
      <c r="D25" s="298" t="s">
        <v>732</v>
      </c>
      <c r="E25" s="459"/>
      <c r="F25" s="459"/>
      <c r="G25" s="459"/>
      <c r="H25" s="459"/>
      <c r="I25" s="421" t="s">
        <v>711</v>
      </c>
      <c r="J25" s="298" t="s">
        <v>733</v>
      </c>
      <c r="K25" s="459"/>
      <c r="L25" s="459"/>
      <c r="M25" s="459"/>
      <c r="N25" s="459"/>
      <c r="O25" s="421" t="s">
        <v>711</v>
      </c>
      <c r="P25" s="298" t="s">
        <v>734</v>
      </c>
      <c r="Q25" s="459"/>
      <c r="R25" s="459"/>
      <c r="S25" s="459"/>
      <c r="T25" s="459"/>
      <c r="U25" s="459"/>
      <c r="V25" s="459"/>
      <c r="W25" s="459"/>
      <c r="X25" s="459"/>
      <c r="Y25" s="459"/>
      <c r="Z25" s="459"/>
      <c r="AA25" s="459"/>
      <c r="AB25" s="459"/>
      <c r="AC25" s="459"/>
      <c r="AD25" s="459"/>
      <c r="AE25" s="459"/>
      <c r="AF25" s="459"/>
      <c r="AG25" s="459"/>
      <c r="AH25" s="459"/>
      <c r="AI25" s="459"/>
      <c r="AJ25" s="459"/>
      <c r="AK25" s="459"/>
      <c r="AL25" s="461"/>
      <c r="AM25" s="459"/>
      <c r="AN25" s="459"/>
    </row>
    <row r="26" spans="1:40" s="422" customFormat="1" ht="13.5" customHeight="1">
      <c r="A26" s="462"/>
      <c r="B26" s="459"/>
      <c r="C26" s="459"/>
      <c r="D26" s="297" t="s">
        <v>735</v>
      </c>
      <c r="E26" s="297"/>
      <c r="F26" s="297"/>
      <c r="G26" s="297"/>
      <c r="H26" s="297"/>
      <c r="I26" s="297"/>
      <c r="J26" s="297" t="s">
        <v>736</v>
      </c>
      <c r="K26" s="297"/>
      <c r="L26" s="297"/>
      <c r="M26" s="297"/>
      <c r="N26" s="297"/>
      <c r="O26" s="297"/>
      <c r="P26" s="297" t="s">
        <v>737</v>
      </c>
      <c r="Q26" s="297"/>
      <c r="R26" s="459"/>
      <c r="S26" s="459"/>
      <c r="T26" s="459"/>
      <c r="U26" s="459"/>
      <c r="V26" s="459"/>
      <c r="W26" s="459"/>
      <c r="X26" s="459"/>
      <c r="Y26" s="459"/>
      <c r="Z26" s="459"/>
      <c r="AA26" s="459"/>
      <c r="AB26" s="459"/>
      <c r="AC26" s="459"/>
      <c r="AD26" s="459"/>
      <c r="AE26" s="459"/>
      <c r="AF26" s="459"/>
      <c r="AG26" s="459"/>
      <c r="AH26" s="459"/>
      <c r="AI26" s="459"/>
      <c r="AJ26" s="459"/>
      <c r="AK26" s="459"/>
      <c r="AL26" s="461"/>
      <c r="AM26" s="459"/>
      <c r="AN26" s="459"/>
    </row>
    <row r="27" spans="1:40" s="422" customFormat="1" ht="16.5" customHeight="1">
      <c r="A27" s="462"/>
      <c r="B27" s="459"/>
      <c r="C27" s="421" t="s">
        <v>713</v>
      </c>
      <c r="D27" s="298" t="s">
        <v>738</v>
      </c>
      <c r="E27" s="459"/>
      <c r="F27" s="459"/>
      <c r="G27" s="459"/>
      <c r="H27" s="459"/>
      <c r="I27" s="459"/>
      <c r="J27" s="459"/>
      <c r="K27" s="459"/>
      <c r="L27" s="459"/>
      <c r="M27" s="459"/>
      <c r="N27" s="459"/>
      <c r="O27" s="459"/>
      <c r="P27" s="459"/>
      <c r="Q27" s="459"/>
      <c r="R27" s="459"/>
      <c r="S27" s="459"/>
      <c r="T27" s="459"/>
      <c r="U27" s="459"/>
      <c r="V27" s="459"/>
      <c r="W27" s="459"/>
      <c r="X27" s="459"/>
      <c r="Y27" s="459"/>
      <c r="Z27" s="459"/>
      <c r="AA27" s="459"/>
      <c r="AB27" s="459"/>
      <c r="AC27" s="459"/>
      <c r="AD27" s="459"/>
      <c r="AE27" s="459"/>
      <c r="AF27" s="459"/>
      <c r="AG27" s="459"/>
      <c r="AH27" s="459"/>
      <c r="AI27" s="459"/>
      <c r="AJ27" s="459"/>
      <c r="AK27" s="459"/>
      <c r="AL27" s="461"/>
      <c r="AM27" s="459"/>
      <c r="AN27" s="459"/>
    </row>
    <row r="28" spans="1:40" s="422" customFormat="1" ht="14.25" customHeight="1">
      <c r="A28" s="462"/>
      <c r="B28" s="459"/>
      <c r="C28" s="459"/>
      <c r="D28" s="297" t="s">
        <v>739</v>
      </c>
      <c r="E28" s="297"/>
      <c r="F28" s="297"/>
      <c r="G28" s="297"/>
      <c r="H28" s="297"/>
      <c r="I28" s="297"/>
      <c r="J28" s="297"/>
      <c r="K28" s="297"/>
      <c r="L28" s="297"/>
      <c r="M28" s="297"/>
      <c r="N28" s="297"/>
      <c r="O28" s="297"/>
      <c r="P28" s="297"/>
      <c r="Q28" s="297"/>
      <c r="R28" s="459"/>
      <c r="S28" s="459"/>
      <c r="T28" s="459"/>
      <c r="U28" s="459"/>
      <c r="V28" s="459"/>
      <c r="W28" s="459"/>
      <c r="X28" s="459"/>
      <c r="Y28" s="459"/>
      <c r="Z28" s="459"/>
      <c r="AA28" s="459"/>
      <c r="AB28" s="459"/>
      <c r="AC28" s="459"/>
      <c r="AD28" s="459"/>
      <c r="AE28" s="459"/>
      <c r="AF28" s="459"/>
      <c r="AG28" s="459"/>
      <c r="AH28" s="459"/>
      <c r="AI28" s="459"/>
      <c r="AJ28" s="459"/>
      <c r="AK28" s="459"/>
      <c r="AL28" s="461"/>
      <c r="AM28" s="459"/>
      <c r="AN28" s="459"/>
    </row>
    <row r="29" spans="1:40" s="422" customFormat="1" ht="16.5" customHeight="1">
      <c r="A29" s="462"/>
      <c r="B29" s="459"/>
      <c r="C29" s="421" t="s">
        <v>177</v>
      </c>
      <c r="D29" s="298" t="s">
        <v>740</v>
      </c>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61"/>
      <c r="AM29" s="459"/>
      <c r="AN29" s="459"/>
    </row>
    <row r="30" spans="1:40" s="422" customFormat="1" ht="14.25" customHeight="1">
      <c r="A30" s="462"/>
      <c r="B30" s="459"/>
      <c r="C30" s="459"/>
      <c r="D30" s="297" t="s">
        <v>741</v>
      </c>
      <c r="E30" s="297"/>
      <c r="F30" s="297"/>
      <c r="G30" s="297"/>
      <c r="H30" s="297"/>
      <c r="I30" s="297"/>
      <c r="J30" s="297"/>
      <c r="K30" s="297"/>
      <c r="L30" s="297"/>
      <c r="M30" s="297"/>
      <c r="N30" s="297"/>
      <c r="O30" s="297"/>
      <c r="P30" s="297"/>
      <c r="Q30" s="297"/>
      <c r="R30" s="459"/>
      <c r="S30" s="459"/>
      <c r="T30" s="459"/>
      <c r="U30" s="459"/>
      <c r="V30" s="459"/>
      <c r="W30" s="459"/>
      <c r="X30" s="459"/>
      <c r="Y30" s="459"/>
      <c r="Z30" s="459"/>
      <c r="AA30" s="459"/>
      <c r="AB30" s="459"/>
      <c r="AC30" s="459"/>
      <c r="AD30" s="459"/>
      <c r="AE30" s="459"/>
      <c r="AF30" s="459"/>
      <c r="AG30" s="459"/>
      <c r="AH30" s="459"/>
      <c r="AI30" s="459"/>
      <c r="AJ30" s="459"/>
      <c r="AK30" s="459"/>
      <c r="AL30" s="461"/>
      <c r="AM30" s="459"/>
      <c r="AN30" s="459"/>
    </row>
    <row r="31" spans="1:40" s="422" customFormat="1" ht="16.5" customHeight="1">
      <c r="A31" s="471"/>
      <c r="B31" s="472" t="s">
        <v>742</v>
      </c>
      <c r="C31" s="473"/>
      <c r="D31" s="473"/>
      <c r="E31" s="473"/>
      <c r="F31" s="473"/>
      <c r="G31" s="473"/>
      <c r="H31" s="473"/>
      <c r="I31" s="473"/>
      <c r="J31" s="473"/>
      <c r="K31" s="473"/>
      <c r="L31" s="474"/>
      <c r="M31" s="474"/>
      <c r="N31" s="474"/>
      <c r="O31" s="474"/>
      <c r="P31" s="474"/>
      <c r="Q31" s="474"/>
      <c r="R31" s="1392" t="s">
        <v>1275</v>
      </c>
      <c r="S31" s="1392"/>
      <c r="T31" s="1392"/>
      <c r="U31" s="1392"/>
      <c r="V31" s="1392"/>
      <c r="W31" s="1392"/>
      <c r="X31" s="1392"/>
      <c r="Y31" s="1392"/>
      <c r="Z31" s="1392"/>
      <c r="AA31" s="1392"/>
      <c r="AB31" s="1392"/>
      <c r="AC31" s="1392"/>
      <c r="AD31" s="1392"/>
      <c r="AE31" s="1392"/>
      <c r="AF31" s="1392"/>
      <c r="AG31" s="1392"/>
      <c r="AH31" s="1392"/>
      <c r="AI31" s="1392"/>
      <c r="AJ31" s="1392"/>
      <c r="AK31" s="1392"/>
      <c r="AL31" s="461"/>
      <c r="AM31" s="459"/>
      <c r="AN31" s="459"/>
    </row>
    <row r="32" spans="1:40" s="422" customFormat="1" ht="12.75" customHeight="1">
      <c r="A32" s="471"/>
      <c r="B32" s="473"/>
      <c r="C32" s="475" t="s">
        <v>743</v>
      </c>
      <c r="D32" s="473"/>
      <c r="E32" s="473"/>
      <c r="F32" s="473"/>
      <c r="G32" s="473"/>
      <c r="H32" s="473"/>
      <c r="I32" s="473"/>
      <c r="J32" s="473"/>
      <c r="K32" s="473"/>
      <c r="L32" s="474"/>
      <c r="M32" s="474"/>
      <c r="N32" s="474"/>
      <c r="O32" s="474"/>
      <c r="P32" s="474"/>
      <c r="Q32" s="474"/>
      <c r="R32" s="1413"/>
      <c r="S32" s="1413"/>
      <c r="T32" s="1413"/>
      <c r="U32" s="1413"/>
      <c r="V32" s="1413"/>
      <c r="W32" s="1413"/>
      <c r="X32" s="1413"/>
      <c r="Y32" s="1413"/>
      <c r="Z32" s="1413"/>
      <c r="AA32" s="1413"/>
      <c r="AB32" s="1413"/>
      <c r="AC32" s="1413"/>
      <c r="AD32" s="1413"/>
      <c r="AE32" s="1413"/>
      <c r="AF32" s="1413"/>
      <c r="AG32" s="1413"/>
      <c r="AH32" s="1413"/>
      <c r="AI32" s="1413"/>
      <c r="AJ32" s="1413"/>
      <c r="AK32" s="1413"/>
      <c r="AL32" s="461"/>
      <c r="AM32" s="459"/>
      <c r="AN32" s="459"/>
    </row>
    <row r="33" spans="1:57" s="422" customFormat="1" ht="16.5" customHeight="1">
      <c r="A33" s="462"/>
      <c r="B33" s="459"/>
      <c r="C33" s="296" t="s">
        <v>356</v>
      </c>
      <c r="D33" s="464"/>
      <c r="E33" s="464"/>
      <c r="F33" s="459"/>
      <c r="G33" s="1392" t="s">
        <v>1268</v>
      </c>
      <c r="H33" s="1392"/>
      <c r="I33" s="1392"/>
      <c r="J33" s="1392"/>
      <c r="K33" s="1392"/>
      <c r="L33" s="1392"/>
      <c r="M33" s="1392"/>
      <c r="N33" s="1392"/>
      <c r="O33" s="1392"/>
      <c r="P33" s="1392"/>
      <c r="Q33" s="1392"/>
      <c r="R33" s="459"/>
      <c r="S33" s="459"/>
      <c r="T33" s="459"/>
      <c r="U33" s="459"/>
      <c r="V33" s="459"/>
      <c r="W33" s="459"/>
      <c r="X33" s="459"/>
      <c r="Y33" s="459"/>
      <c r="Z33" s="459"/>
      <c r="AA33" s="459"/>
      <c r="AB33" s="459"/>
      <c r="AC33" s="459"/>
      <c r="AD33" s="459"/>
      <c r="AE33" s="459"/>
      <c r="AF33" s="459"/>
      <c r="AG33" s="459"/>
      <c r="AH33" s="459"/>
      <c r="AI33" s="459"/>
      <c r="AJ33" s="459"/>
      <c r="AK33" s="459"/>
      <c r="AL33" s="461"/>
      <c r="AM33" s="459"/>
      <c r="AN33" s="459"/>
    </row>
    <row r="34" spans="1:57" s="422" customFormat="1" ht="12.75" customHeight="1">
      <c r="A34" s="462"/>
      <c r="B34" s="459"/>
      <c r="C34" s="297" t="s">
        <v>708</v>
      </c>
      <c r="D34" s="459"/>
      <c r="E34" s="459"/>
      <c r="F34" s="459"/>
      <c r="G34" s="1413"/>
      <c r="H34" s="1413"/>
      <c r="I34" s="1413"/>
      <c r="J34" s="1413"/>
      <c r="K34" s="1413"/>
      <c r="L34" s="1413"/>
      <c r="M34" s="1413"/>
      <c r="N34" s="1413"/>
      <c r="O34" s="1413"/>
      <c r="P34" s="1413"/>
      <c r="Q34" s="1413"/>
      <c r="R34" s="459"/>
      <c r="S34" s="459"/>
      <c r="T34" s="459"/>
      <c r="U34" s="459"/>
      <c r="V34" s="459"/>
      <c r="W34" s="459"/>
      <c r="X34" s="459"/>
      <c r="Y34" s="459"/>
      <c r="Z34" s="459"/>
      <c r="AA34" s="459"/>
      <c r="AB34" s="459"/>
      <c r="AC34" s="459"/>
      <c r="AD34" s="459"/>
      <c r="AE34" s="459"/>
      <c r="AF34" s="459"/>
      <c r="AG34" s="459"/>
      <c r="AH34" s="459"/>
      <c r="AI34" s="459"/>
      <c r="AJ34" s="459"/>
      <c r="AK34" s="459"/>
      <c r="AL34" s="461"/>
      <c r="AM34" s="459"/>
      <c r="AN34" s="459"/>
    </row>
    <row r="35" spans="1:57" s="422" customFormat="1" ht="3" customHeight="1">
      <c r="A35" s="462"/>
      <c r="B35" s="459"/>
      <c r="C35" s="297"/>
      <c r="D35" s="459"/>
      <c r="E35" s="459"/>
      <c r="F35" s="459"/>
      <c r="G35" s="459"/>
      <c r="H35" s="459"/>
      <c r="I35" s="459"/>
      <c r="J35" s="459"/>
      <c r="K35" s="459"/>
      <c r="L35" s="459"/>
      <c r="M35" s="459"/>
      <c r="N35" s="459"/>
      <c r="O35" s="459"/>
      <c r="P35" s="459"/>
      <c r="Q35" s="459"/>
      <c r="R35" s="459"/>
      <c r="S35" s="459"/>
      <c r="T35" s="459"/>
      <c r="U35" s="459"/>
      <c r="V35" s="459"/>
      <c r="W35" s="459"/>
      <c r="X35" s="459"/>
      <c r="Y35" s="459"/>
      <c r="Z35" s="459"/>
      <c r="AA35" s="459"/>
      <c r="AB35" s="459"/>
      <c r="AC35" s="459"/>
      <c r="AD35" s="459"/>
      <c r="AE35" s="459"/>
      <c r="AF35" s="459"/>
      <c r="AG35" s="459"/>
      <c r="AH35" s="459"/>
      <c r="AI35" s="459"/>
      <c r="AJ35" s="459"/>
      <c r="AK35" s="459"/>
      <c r="AL35" s="461"/>
      <c r="AM35" s="459"/>
      <c r="AN35" s="459"/>
    </row>
    <row r="36" spans="1:57" s="422" customFormat="1" ht="16.5" customHeight="1">
      <c r="A36" s="462"/>
      <c r="B36" s="298" t="s">
        <v>744</v>
      </c>
      <c r="C36" s="459"/>
      <c r="D36" s="459"/>
      <c r="E36" s="459"/>
      <c r="F36" s="459"/>
      <c r="G36" s="459"/>
      <c r="H36" s="459"/>
      <c r="I36" s="459"/>
      <c r="J36" s="459"/>
      <c r="K36" s="459"/>
      <c r="L36" s="459"/>
      <c r="M36" s="459"/>
      <c r="N36" s="459"/>
      <c r="O36" s="459"/>
      <c r="P36" s="459"/>
      <c r="Q36" s="459"/>
      <c r="R36" s="459"/>
      <c r="S36" s="459"/>
      <c r="T36" s="459"/>
      <c r="U36" s="459"/>
      <c r="V36" s="459"/>
      <c r="W36" s="459"/>
      <c r="X36" s="459"/>
      <c r="Y36" s="459"/>
      <c r="Z36" s="459"/>
      <c r="AA36" s="459"/>
      <c r="AB36" s="473"/>
      <c r="AC36" s="474"/>
      <c r="AD36" s="474"/>
      <c r="AE36" s="1422"/>
      <c r="AF36" s="1422"/>
      <c r="AG36" s="1422"/>
      <c r="AH36" s="1422"/>
      <c r="AI36" s="1422"/>
      <c r="AJ36" s="1422"/>
      <c r="AK36" s="1422"/>
      <c r="AL36" s="461"/>
      <c r="AM36" s="459"/>
      <c r="AN36" s="459"/>
    </row>
    <row r="37" spans="1:57" s="422" customFormat="1" ht="14.25">
      <c r="A37" s="462"/>
      <c r="B37" s="459"/>
      <c r="C37" s="297" t="s">
        <v>745</v>
      </c>
      <c r="D37" s="459"/>
      <c r="E37" s="459"/>
      <c r="F37" s="459"/>
      <c r="G37" s="459"/>
      <c r="H37" s="459"/>
      <c r="I37" s="459"/>
      <c r="J37" s="459"/>
      <c r="K37" s="459"/>
      <c r="L37" s="459"/>
      <c r="M37" s="459"/>
      <c r="N37" s="459"/>
      <c r="O37" s="459"/>
      <c r="P37" s="459"/>
      <c r="Q37" s="459"/>
      <c r="R37" s="459"/>
      <c r="S37" s="459"/>
      <c r="T37" s="459"/>
      <c r="U37" s="459"/>
      <c r="V37" s="459"/>
      <c r="W37" s="459"/>
      <c r="X37" s="459"/>
      <c r="Y37" s="459"/>
      <c r="Z37" s="459"/>
      <c r="AA37" s="459"/>
      <c r="AB37" s="473"/>
      <c r="AC37" s="474"/>
      <c r="AD37" s="474"/>
      <c r="AE37" s="1423"/>
      <c r="AF37" s="1423"/>
      <c r="AG37" s="1423"/>
      <c r="AH37" s="1423"/>
      <c r="AI37" s="1423"/>
      <c r="AJ37" s="1423"/>
      <c r="AK37" s="1423"/>
      <c r="AL37" s="461"/>
      <c r="AM37" s="459"/>
      <c r="AN37" s="459"/>
    </row>
    <row r="38" spans="1:57" s="422" customFormat="1" ht="3" customHeight="1">
      <c r="A38" s="462"/>
      <c r="B38" s="459"/>
      <c r="C38" s="297"/>
      <c r="D38" s="459"/>
      <c r="E38" s="459"/>
      <c r="F38" s="459"/>
      <c r="G38" s="459"/>
      <c r="H38" s="459"/>
      <c r="I38" s="459"/>
      <c r="J38" s="459"/>
      <c r="K38" s="459"/>
      <c r="L38" s="459"/>
      <c r="M38" s="459"/>
      <c r="N38" s="459"/>
      <c r="O38" s="459"/>
      <c r="P38" s="459"/>
      <c r="Q38" s="459"/>
      <c r="R38" s="459"/>
      <c r="S38" s="459"/>
      <c r="T38" s="459"/>
      <c r="U38" s="459"/>
      <c r="V38" s="459"/>
      <c r="W38" s="459"/>
      <c r="X38" s="459"/>
      <c r="Y38" s="459"/>
      <c r="Z38" s="459"/>
      <c r="AA38" s="459"/>
      <c r="AB38" s="459"/>
      <c r="AC38" s="459"/>
      <c r="AD38" s="459"/>
      <c r="AE38" s="459"/>
      <c r="AF38" s="459"/>
      <c r="AG38" s="459"/>
      <c r="AH38" s="459"/>
      <c r="AI38" s="459"/>
      <c r="AJ38" s="459"/>
      <c r="AK38" s="459"/>
      <c r="AL38" s="461"/>
      <c r="AM38" s="459"/>
      <c r="AN38" s="459"/>
    </row>
    <row r="39" spans="1:57" s="422" customFormat="1" ht="16.5" customHeight="1">
      <c r="A39" s="462"/>
      <c r="B39" s="1424" t="s">
        <v>746</v>
      </c>
      <c r="C39" s="1424"/>
      <c r="D39" s="1424"/>
      <c r="E39" s="1424"/>
      <c r="F39" s="1424"/>
      <c r="G39" s="1424"/>
      <c r="H39" s="1424"/>
      <c r="I39" s="1424"/>
      <c r="J39" s="1424"/>
      <c r="K39" s="1424"/>
      <c r="L39" s="1424"/>
      <c r="M39" s="1424"/>
      <c r="N39" s="1424"/>
      <c r="O39" s="1424"/>
      <c r="P39" s="1424"/>
      <c r="Q39" s="1424"/>
      <c r="R39" s="1424"/>
      <c r="S39" s="1424"/>
      <c r="T39" s="1424"/>
      <c r="U39" s="1424"/>
      <c r="V39" s="1424"/>
      <c r="W39" s="1424"/>
      <c r="X39" s="1424"/>
      <c r="Y39" s="1424"/>
      <c r="Z39" s="1424"/>
      <c r="AA39" s="1424"/>
      <c r="AB39" s="1424"/>
      <c r="AC39" s="1424"/>
      <c r="AD39" s="476"/>
      <c r="AE39" s="476"/>
      <c r="AF39" s="476"/>
      <c r="AG39" s="476"/>
      <c r="AH39" s="477"/>
      <c r="AI39" s="1425" t="s">
        <v>341</v>
      </c>
      <c r="AJ39" s="1425"/>
      <c r="AK39" s="1425"/>
      <c r="AL39" s="461"/>
      <c r="AM39" s="459"/>
      <c r="AN39" s="459"/>
    </row>
    <row r="40" spans="1:57" s="481" customFormat="1" ht="13.5" customHeight="1">
      <c r="A40" s="478"/>
      <c r="B40" s="479" t="s">
        <v>747</v>
      </c>
      <c r="C40" s="387"/>
      <c r="D40" s="387"/>
      <c r="E40" s="387"/>
      <c r="F40" s="387"/>
      <c r="G40" s="387"/>
      <c r="H40" s="387"/>
      <c r="I40" s="387"/>
      <c r="J40" s="387"/>
      <c r="K40" s="387"/>
      <c r="L40" s="387"/>
      <c r="M40" s="387"/>
      <c r="N40" s="387"/>
      <c r="O40" s="387"/>
      <c r="P40" s="387"/>
      <c r="Q40" s="387"/>
      <c r="R40" s="387"/>
      <c r="S40" s="387"/>
      <c r="T40" s="387"/>
      <c r="U40" s="387"/>
      <c r="V40" s="387"/>
      <c r="W40" s="387"/>
      <c r="X40" s="387"/>
      <c r="Y40" s="387"/>
      <c r="Z40" s="387"/>
      <c r="AA40" s="387"/>
      <c r="AB40" s="387"/>
      <c r="AC40" s="387"/>
      <c r="AD40" s="387"/>
      <c r="AE40" s="387"/>
      <c r="AF40" s="387"/>
      <c r="AG40" s="387"/>
      <c r="AH40" s="387"/>
      <c r="AI40" s="1426" t="s">
        <v>748</v>
      </c>
      <c r="AJ40" s="1426"/>
      <c r="AK40" s="1426"/>
      <c r="AL40" s="480"/>
      <c r="AM40" s="326"/>
      <c r="AN40" s="326"/>
    </row>
    <row r="41" spans="1:57" s="482" customFormat="1" ht="16.5" customHeight="1">
      <c r="A41" s="300"/>
      <c r="B41" s="298"/>
      <c r="C41" s="421" t="s">
        <v>713</v>
      </c>
      <c r="D41" s="298" t="s">
        <v>749</v>
      </c>
      <c r="E41" s="298"/>
      <c r="F41" s="298"/>
      <c r="G41" s="298"/>
      <c r="H41" s="298"/>
      <c r="I41" s="298"/>
      <c r="J41" s="298"/>
      <c r="K41" s="298"/>
      <c r="L41" s="298"/>
      <c r="M41" s="298"/>
      <c r="N41" s="298"/>
      <c r="O41" s="421" t="s">
        <v>713</v>
      </c>
      <c r="P41" s="298" t="s">
        <v>750</v>
      </c>
      <c r="Q41" s="298"/>
      <c r="R41" s="298"/>
      <c r="S41" s="298"/>
      <c r="T41" s="298"/>
      <c r="U41" s="298"/>
      <c r="V41" s="298"/>
      <c r="W41" s="298"/>
      <c r="X41" s="421" t="s">
        <v>713</v>
      </c>
      <c r="Y41" s="298" t="s">
        <v>751</v>
      </c>
      <c r="Z41" s="298"/>
      <c r="AA41" s="298"/>
      <c r="AB41" s="298"/>
      <c r="AC41" s="298"/>
      <c r="AD41" s="298"/>
      <c r="AE41" s="298"/>
      <c r="AF41" s="421" t="s">
        <v>711</v>
      </c>
      <c r="AG41" s="298" t="s">
        <v>752</v>
      </c>
      <c r="AH41" s="298"/>
      <c r="AI41" s="298"/>
      <c r="AJ41" s="298"/>
      <c r="AK41" s="298"/>
      <c r="AL41" s="299"/>
      <c r="AM41" s="298"/>
      <c r="AN41" s="298"/>
    </row>
    <row r="42" spans="1:57" s="289" customFormat="1" ht="14.25" customHeight="1">
      <c r="A42" s="468"/>
      <c r="B42" s="297"/>
      <c r="C42" s="297"/>
      <c r="D42" s="297" t="s">
        <v>753</v>
      </c>
      <c r="E42" s="297"/>
      <c r="F42" s="297"/>
      <c r="G42" s="297"/>
      <c r="H42" s="297"/>
      <c r="I42" s="297"/>
      <c r="J42" s="297"/>
      <c r="K42" s="297"/>
      <c r="L42" s="297"/>
      <c r="M42" s="297"/>
      <c r="N42" s="297"/>
      <c r="O42" s="297"/>
      <c r="P42" s="297" t="s">
        <v>754</v>
      </c>
      <c r="Q42" s="297"/>
      <c r="R42" s="297"/>
      <c r="S42" s="297"/>
      <c r="T42" s="297"/>
      <c r="U42" s="297"/>
      <c r="V42" s="297"/>
      <c r="W42" s="297"/>
      <c r="X42" s="297"/>
      <c r="Y42" s="297" t="s">
        <v>755</v>
      </c>
      <c r="Z42" s="297"/>
      <c r="AA42" s="297"/>
      <c r="AB42" s="297"/>
      <c r="AC42" s="297"/>
      <c r="AD42" s="297"/>
      <c r="AE42" s="297"/>
      <c r="AF42" s="297"/>
      <c r="AG42" s="297" t="s">
        <v>756</v>
      </c>
      <c r="AH42" s="297"/>
      <c r="AI42" s="297"/>
      <c r="AJ42" s="297"/>
      <c r="AK42" s="297"/>
      <c r="AL42" s="469"/>
      <c r="AM42" s="297"/>
      <c r="AN42" s="297"/>
    </row>
    <row r="43" spans="1:57" s="482" customFormat="1" ht="16.5" customHeight="1">
      <c r="A43" s="300"/>
      <c r="B43" s="298"/>
      <c r="C43" s="421" t="s">
        <v>711</v>
      </c>
      <c r="D43" s="298" t="s">
        <v>757</v>
      </c>
      <c r="E43" s="298"/>
      <c r="F43" s="298"/>
      <c r="G43" s="298"/>
      <c r="H43" s="298"/>
      <c r="I43" s="298"/>
      <c r="J43" s="298"/>
      <c r="K43" s="298"/>
      <c r="L43" s="298"/>
      <c r="M43" s="298"/>
      <c r="N43" s="298"/>
      <c r="O43" s="298"/>
      <c r="P43" s="298"/>
      <c r="Q43" s="298"/>
      <c r="R43" s="298"/>
      <c r="S43" s="298"/>
      <c r="T43" s="298"/>
      <c r="U43" s="298"/>
      <c r="V43" s="298"/>
      <c r="W43" s="298"/>
      <c r="X43" s="421" t="s">
        <v>711</v>
      </c>
      <c r="Y43" s="298" t="s">
        <v>644</v>
      </c>
      <c r="Z43" s="298"/>
      <c r="AA43" s="298"/>
      <c r="AB43" s="483"/>
      <c r="AC43" s="483"/>
      <c r="AD43" s="483"/>
      <c r="AE43" s="483"/>
      <c r="AF43" s="483"/>
      <c r="AG43" s="483"/>
      <c r="AH43" s="483"/>
      <c r="AI43" s="483"/>
      <c r="AJ43" s="483"/>
      <c r="AK43" s="298" t="s">
        <v>758</v>
      </c>
      <c r="AL43" s="484"/>
      <c r="AM43" s="298"/>
      <c r="AN43" s="298"/>
    </row>
    <row r="44" spans="1:57" s="289" customFormat="1" ht="14.25" customHeight="1">
      <c r="A44" s="468"/>
      <c r="B44" s="297"/>
      <c r="C44" s="297"/>
      <c r="D44" s="297" t="s">
        <v>759</v>
      </c>
      <c r="E44" s="297"/>
      <c r="F44" s="297"/>
      <c r="G44" s="297"/>
      <c r="H44" s="297"/>
      <c r="I44" s="297"/>
      <c r="J44" s="297"/>
      <c r="K44" s="297"/>
      <c r="L44" s="297"/>
      <c r="M44" s="297"/>
      <c r="N44" s="297"/>
      <c r="O44" s="297"/>
      <c r="P44" s="297"/>
      <c r="Q44" s="297"/>
      <c r="R44" s="297"/>
      <c r="S44" s="297"/>
      <c r="T44" s="297"/>
      <c r="U44" s="297"/>
      <c r="V44" s="297"/>
      <c r="W44" s="297"/>
      <c r="X44" s="297"/>
      <c r="Y44" s="297" t="s">
        <v>729</v>
      </c>
      <c r="Z44" s="297"/>
      <c r="AA44" s="297"/>
      <c r="AB44" s="297"/>
      <c r="AC44" s="297"/>
      <c r="AD44" s="297"/>
      <c r="AE44" s="297"/>
      <c r="AF44" s="297"/>
      <c r="AG44" s="297"/>
      <c r="AH44" s="297"/>
      <c r="AI44" s="297"/>
      <c r="AJ44" s="297"/>
      <c r="AK44" s="297"/>
      <c r="AL44" s="469"/>
      <c r="AM44" s="297"/>
      <c r="AN44" s="297"/>
      <c r="BE44" s="297"/>
    </row>
    <row r="45" spans="1:57" s="422" customFormat="1" ht="16.5" customHeight="1">
      <c r="A45" s="300" t="s">
        <v>760</v>
      </c>
      <c r="B45" s="459"/>
      <c r="C45" s="459"/>
      <c r="D45" s="459"/>
      <c r="E45" s="459"/>
      <c r="F45" s="459"/>
      <c r="G45" s="464"/>
      <c r="H45" s="1392">
        <f>IF(初期設定!B8="","未記入",初期設定!B8)</f>
        <v>2017</v>
      </c>
      <c r="I45" s="1392"/>
      <c r="J45" s="1392"/>
      <c r="K45" s="1392"/>
      <c r="L45" s="1392"/>
      <c r="M45" s="1429" t="s">
        <v>4</v>
      </c>
      <c r="N45" s="1429"/>
      <c r="O45" s="1392">
        <f>IF(初期設定!D8="","未記入",初期設定!D8)</f>
        <v>10</v>
      </c>
      <c r="P45" s="1392"/>
      <c r="Q45" s="1429" t="s">
        <v>34</v>
      </c>
      <c r="R45" s="1429"/>
      <c r="S45" s="1414">
        <f>IF(初期設定!F8="","未記入",初期設定!F8)</f>
        <v>18</v>
      </c>
      <c r="T45" s="1414"/>
      <c r="U45" s="296" t="s">
        <v>6</v>
      </c>
      <c r="V45" s="459"/>
      <c r="W45" s="459"/>
      <c r="X45" s="459"/>
      <c r="Y45" s="459"/>
      <c r="Z45" s="459"/>
      <c r="AA45" s="459"/>
      <c r="AB45" s="459"/>
      <c r="AC45" s="459"/>
      <c r="AD45" s="459"/>
      <c r="AE45" s="459"/>
      <c r="AF45" s="459"/>
      <c r="AG45" s="459"/>
      <c r="AH45" s="459"/>
      <c r="AI45" s="459"/>
      <c r="AJ45" s="459"/>
      <c r="AK45" s="459"/>
      <c r="AL45" s="461"/>
      <c r="AM45" s="459"/>
      <c r="AN45" s="459"/>
    </row>
    <row r="46" spans="1:57" s="422" customFormat="1" ht="14.25" customHeight="1">
      <c r="A46" s="462"/>
      <c r="B46" s="297" t="s">
        <v>761</v>
      </c>
      <c r="C46" s="297"/>
      <c r="D46" s="297"/>
      <c r="E46" s="297"/>
      <c r="F46" s="297"/>
      <c r="G46" s="415"/>
      <c r="H46" s="1413"/>
      <c r="I46" s="1413"/>
      <c r="J46" s="1413"/>
      <c r="K46" s="1413"/>
      <c r="L46" s="1413"/>
      <c r="M46" s="1427" t="s">
        <v>762</v>
      </c>
      <c r="N46" s="1427"/>
      <c r="O46" s="1413"/>
      <c r="P46" s="1413"/>
      <c r="Q46" s="1427" t="s">
        <v>763</v>
      </c>
      <c r="R46" s="1427"/>
      <c r="S46" s="1415"/>
      <c r="T46" s="1415"/>
      <c r="U46" s="415" t="s">
        <v>686</v>
      </c>
      <c r="V46" s="459"/>
      <c r="W46" s="459"/>
      <c r="X46" s="459"/>
      <c r="Y46" s="459"/>
      <c r="Z46" s="459"/>
      <c r="AA46" s="459"/>
      <c r="AB46" s="459"/>
      <c r="AC46" s="459"/>
      <c r="AD46" s="459"/>
      <c r="AE46" s="459"/>
      <c r="AF46" s="459"/>
      <c r="AG46" s="459"/>
      <c r="AH46" s="459"/>
      <c r="AI46" s="459"/>
      <c r="AJ46" s="459"/>
      <c r="AK46" s="459"/>
      <c r="AL46" s="461"/>
      <c r="AM46" s="459"/>
      <c r="AN46" s="459"/>
    </row>
    <row r="47" spans="1:57" s="422" customFormat="1" ht="3" customHeight="1">
      <c r="A47" s="462"/>
      <c r="B47" s="297"/>
      <c r="C47" s="297"/>
      <c r="D47" s="297"/>
      <c r="E47" s="297"/>
      <c r="F47" s="297"/>
      <c r="G47" s="475"/>
      <c r="H47" s="485"/>
      <c r="I47" s="485"/>
      <c r="J47" s="485"/>
      <c r="K47" s="485"/>
      <c r="L47" s="485"/>
      <c r="M47" s="486"/>
      <c r="N47" s="486"/>
      <c r="O47" s="485"/>
      <c r="P47" s="485"/>
      <c r="Q47" s="486"/>
      <c r="R47" s="486"/>
      <c r="S47" s="485"/>
      <c r="T47" s="485"/>
      <c r="U47" s="475"/>
      <c r="V47" s="459"/>
      <c r="W47" s="459"/>
      <c r="X47" s="459"/>
      <c r="Y47" s="459"/>
      <c r="Z47" s="459"/>
      <c r="AA47" s="459"/>
      <c r="AB47" s="459"/>
      <c r="AC47" s="459"/>
      <c r="AD47" s="459"/>
      <c r="AE47" s="459"/>
      <c r="AF47" s="459"/>
      <c r="AG47" s="459"/>
      <c r="AH47" s="459"/>
      <c r="AI47" s="459"/>
      <c r="AJ47" s="459"/>
      <c r="AK47" s="459"/>
      <c r="AL47" s="461"/>
      <c r="AM47" s="459"/>
      <c r="AN47" s="459"/>
    </row>
    <row r="48" spans="1:57" s="422" customFormat="1" ht="16.5" customHeight="1">
      <c r="A48" s="300" t="s">
        <v>764</v>
      </c>
      <c r="B48" s="459"/>
      <c r="C48" s="459"/>
      <c r="D48" s="459"/>
      <c r="E48" s="459"/>
      <c r="F48" s="459"/>
      <c r="G48" s="459"/>
      <c r="H48" s="459"/>
      <c r="I48" s="459"/>
      <c r="J48" s="1392" t="s">
        <v>765</v>
      </c>
      <c r="K48" s="1392"/>
      <c r="L48" s="1392"/>
      <c r="M48" s="1392"/>
      <c r="N48" s="1392"/>
      <c r="O48" s="1392"/>
      <c r="P48" s="1392"/>
      <c r="Q48" s="1392"/>
      <c r="R48" s="1392"/>
      <c r="S48" s="1392"/>
      <c r="T48" s="1392"/>
      <c r="U48" s="1392"/>
      <c r="V48" s="459"/>
      <c r="W48" s="459"/>
      <c r="X48" s="459"/>
      <c r="Y48" s="459"/>
      <c r="Z48" s="459"/>
      <c r="AA48" s="459"/>
      <c r="AB48" s="459"/>
      <c r="AC48" s="459"/>
      <c r="AD48" s="459"/>
      <c r="AE48" s="459"/>
      <c r="AF48" s="459"/>
      <c r="AG48" s="459"/>
      <c r="AH48" s="459"/>
      <c r="AI48" s="459"/>
      <c r="AJ48" s="459"/>
      <c r="AK48" s="459"/>
      <c r="AL48" s="461"/>
      <c r="AM48" s="459"/>
      <c r="AN48" s="459"/>
    </row>
    <row r="49" spans="1:40" s="422" customFormat="1" ht="13.5" customHeight="1">
      <c r="A49" s="462"/>
      <c r="B49" s="297" t="s">
        <v>766</v>
      </c>
      <c r="C49" s="459"/>
      <c r="D49" s="459"/>
      <c r="E49" s="459"/>
      <c r="F49" s="459"/>
      <c r="G49" s="459"/>
      <c r="H49" s="459"/>
      <c r="I49" s="459"/>
      <c r="J49" s="1413"/>
      <c r="K49" s="1413"/>
      <c r="L49" s="1413"/>
      <c r="M49" s="1413"/>
      <c r="N49" s="1413"/>
      <c r="O49" s="1413"/>
      <c r="P49" s="1413"/>
      <c r="Q49" s="1413"/>
      <c r="R49" s="1413"/>
      <c r="S49" s="1413"/>
      <c r="T49" s="1413"/>
      <c r="U49" s="1413"/>
      <c r="V49" s="459"/>
      <c r="W49" s="459"/>
      <c r="X49" s="459"/>
      <c r="Y49" s="459"/>
      <c r="Z49" s="459"/>
      <c r="AA49" s="459"/>
      <c r="AB49" s="459"/>
      <c r="AC49" s="459"/>
      <c r="AD49" s="459"/>
      <c r="AE49" s="459"/>
      <c r="AF49" s="459"/>
      <c r="AG49" s="459"/>
      <c r="AH49" s="459"/>
      <c r="AI49" s="459"/>
      <c r="AJ49" s="459"/>
      <c r="AK49" s="459"/>
      <c r="AL49" s="461"/>
      <c r="AM49" s="459"/>
      <c r="AN49" s="459"/>
    </row>
    <row r="50" spans="1:40" s="422" customFormat="1" ht="16.5" customHeight="1">
      <c r="A50" s="300" t="s">
        <v>767</v>
      </c>
      <c r="B50" s="459"/>
      <c r="C50" s="459"/>
      <c r="D50" s="459"/>
      <c r="E50" s="459"/>
      <c r="F50" s="297" t="s">
        <v>768</v>
      </c>
      <c r="G50" s="459"/>
      <c r="H50" s="459"/>
      <c r="I50" s="459"/>
      <c r="J50" s="459"/>
      <c r="K50" s="459"/>
      <c r="L50" s="459"/>
      <c r="M50" s="459"/>
      <c r="N50" s="459"/>
      <c r="O50" s="459"/>
      <c r="P50" s="459"/>
      <c r="Q50" s="459"/>
      <c r="R50" s="459"/>
      <c r="S50" s="459"/>
      <c r="T50" s="459"/>
      <c r="U50" s="459"/>
      <c r="V50" s="459"/>
      <c r="W50" s="459"/>
      <c r="X50" s="459"/>
      <c r="Y50" s="459"/>
      <c r="Z50" s="459"/>
      <c r="AA50" s="459"/>
      <c r="AB50" s="459"/>
      <c r="AC50" s="459"/>
      <c r="AD50" s="459"/>
      <c r="AE50" s="459"/>
      <c r="AF50" s="459"/>
      <c r="AG50" s="459"/>
      <c r="AH50" s="459"/>
      <c r="AI50" s="459"/>
      <c r="AJ50" s="459"/>
      <c r="AK50" s="459"/>
      <c r="AL50" s="461"/>
      <c r="AM50" s="459"/>
      <c r="AN50" s="459"/>
    </row>
    <row r="51" spans="1:40" s="482" customFormat="1" ht="16.5" customHeight="1">
      <c r="A51" s="300"/>
      <c r="B51" s="421" t="s">
        <v>711</v>
      </c>
      <c r="C51" s="487" t="s">
        <v>769</v>
      </c>
      <c r="D51" s="487"/>
      <c r="E51" s="487"/>
      <c r="F51" s="487"/>
      <c r="G51" s="487"/>
      <c r="H51" s="487"/>
      <c r="I51" s="298"/>
      <c r="J51" s="298"/>
      <c r="K51" s="487"/>
      <c r="L51" s="487"/>
      <c r="M51" s="421" t="s">
        <v>711</v>
      </c>
      <c r="N51" s="487" t="s">
        <v>770</v>
      </c>
      <c r="O51" s="487"/>
      <c r="P51" s="298"/>
      <c r="Q51" s="298"/>
      <c r="R51" s="487"/>
      <c r="S51" s="487"/>
      <c r="T51" s="487"/>
      <c r="U51" s="487"/>
      <c r="V51" s="487"/>
      <c r="W51" s="487"/>
      <c r="X51" s="487"/>
      <c r="Y51" s="487"/>
      <c r="Z51" s="421" t="s">
        <v>711</v>
      </c>
      <c r="AA51" s="487" t="s">
        <v>771</v>
      </c>
      <c r="AB51" s="487"/>
      <c r="AC51" s="421"/>
      <c r="AD51" s="487"/>
      <c r="AE51" s="487"/>
      <c r="AF51" s="487"/>
      <c r="AG51" s="298"/>
      <c r="AH51" s="487"/>
      <c r="AI51" s="298"/>
      <c r="AJ51" s="298"/>
      <c r="AK51" s="298"/>
      <c r="AL51" s="299"/>
      <c r="AM51" s="298"/>
      <c r="AN51" s="298"/>
    </row>
    <row r="52" spans="1:40" s="289" customFormat="1" ht="13.5">
      <c r="A52" s="468"/>
      <c r="B52" s="488"/>
      <c r="C52" s="297" t="s">
        <v>772</v>
      </c>
      <c r="D52" s="297"/>
      <c r="E52" s="297"/>
      <c r="F52" s="297"/>
      <c r="G52" s="297"/>
      <c r="H52" s="297"/>
      <c r="I52" s="297"/>
      <c r="J52" s="297"/>
      <c r="K52" s="297"/>
      <c r="L52" s="297"/>
      <c r="M52" s="297"/>
      <c r="N52" s="297" t="s">
        <v>773</v>
      </c>
      <c r="O52" s="297"/>
      <c r="P52" s="297"/>
      <c r="Q52" s="297"/>
      <c r="R52" s="297"/>
      <c r="S52" s="297"/>
      <c r="T52" s="297"/>
      <c r="U52" s="297"/>
      <c r="V52" s="297"/>
      <c r="W52" s="297"/>
      <c r="X52" s="297"/>
      <c r="Y52" s="297"/>
      <c r="Z52" s="297"/>
      <c r="AA52" s="297" t="s">
        <v>774</v>
      </c>
      <c r="AB52" s="297"/>
      <c r="AC52" s="297"/>
      <c r="AD52" s="297"/>
      <c r="AE52" s="297"/>
      <c r="AF52" s="488"/>
      <c r="AG52" s="488"/>
      <c r="AH52" s="488"/>
      <c r="AI52" s="297"/>
      <c r="AJ52" s="297"/>
      <c r="AK52" s="297"/>
      <c r="AL52" s="469"/>
      <c r="AM52" s="297"/>
      <c r="AN52" s="297"/>
    </row>
    <row r="53" spans="1:40" s="482" customFormat="1" ht="16.5" customHeight="1">
      <c r="A53" s="300"/>
      <c r="B53" s="421" t="s">
        <v>711</v>
      </c>
      <c r="C53" s="487" t="s">
        <v>775</v>
      </c>
      <c r="D53" s="487"/>
      <c r="E53" s="487"/>
      <c r="F53" s="487"/>
      <c r="G53" s="487"/>
      <c r="H53" s="487"/>
      <c r="I53" s="487"/>
      <c r="J53" s="487"/>
      <c r="K53" s="487"/>
      <c r="L53" s="487"/>
      <c r="M53" s="421" t="s">
        <v>516</v>
      </c>
      <c r="N53" s="487" t="s">
        <v>776</v>
      </c>
      <c r="O53" s="487"/>
      <c r="P53" s="487"/>
      <c r="Q53" s="487"/>
      <c r="R53" s="487"/>
      <c r="S53" s="487"/>
      <c r="T53" s="487"/>
      <c r="U53" s="487"/>
      <c r="V53" s="487"/>
      <c r="W53" s="487"/>
      <c r="X53" s="487"/>
      <c r="Y53" s="487"/>
      <c r="Z53" s="421" t="s">
        <v>713</v>
      </c>
      <c r="AA53" s="487" t="s">
        <v>777</v>
      </c>
      <c r="AB53" s="487"/>
      <c r="AC53" s="421"/>
      <c r="AD53" s="487"/>
      <c r="AE53" s="487"/>
      <c r="AF53" s="487"/>
      <c r="AG53" s="487"/>
      <c r="AH53" s="487"/>
      <c r="AI53" s="298"/>
      <c r="AJ53" s="298"/>
      <c r="AK53" s="298"/>
      <c r="AL53" s="299"/>
      <c r="AM53" s="298"/>
      <c r="AN53" s="298"/>
    </row>
    <row r="54" spans="1:40" s="289" customFormat="1" ht="13.5">
      <c r="A54" s="468"/>
      <c r="B54" s="488"/>
      <c r="C54" s="297" t="s">
        <v>778</v>
      </c>
      <c r="D54" s="297"/>
      <c r="E54" s="297"/>
      <c r="F54" s="297"/>
      <c r="G54" s="297"/>
      <c r="H54" s="297"/>
      <c r="I54" s="297"/>
      <c r="J54" s="297"/>
      <c r="K54" s="297"/>
      <c r="L54" s="297"/>
      <c r="M54" s="297"/>
      <c r="N54" s="297" t="s">
        <v>779</v>
      </c>
      <c r="O54" s="297"/>
      <c r="P54" s="297"/>
      <c r="Q54" s="297"/>
      <c r="R54" s="297"/>
      <c r="S54" s="297"/>
      <c r="T54" s="297"/>
      <c r="U54" s="297"/>
      <c r="V54" s="297"/>
      <c r="W54" s="297"/>
      <c r="X54" s="297"/>
      <c r="Y54" s="297"/>
      <c r="Z54" s="297"/>
      <c r="AA54" s="297" t="s">
        <v>780</v>
      </c>
      <c r="AB54" s="297"/>
      <c r="AC54" s="297"/>
      <c r="AD54" s="297"/>
      <c r="AE54" s="297"/>
      <c r="AF54" s="297"/>
      <c r="AG54" s="488"/>
      <c r="AH54" s="488"/>
      <c r="AI54" s="297"/>
      <c r="AJ54" s="297"/>
      <c r="AK54" s="297"/>
      <c r="AL54" s="469"/>
      <c r="AM54" s="297"/>
      <c r="AN54" s="297"/>
    </row>
    <row r="55" spans="1:40" s="482" customFormat="1" ht="16.5" customHeight="1">
      <c r="A55" s="300"/>
      <c r="B55" s="421" t="s">
        <v>711</v>
      </c>
      <c r="C55" s="487" t="s">
        <v>781</v>
      </c>
      <c r="D55" s="487"/>
      <c r="E55" s="487"/>
      <c r="F55" s="487"/>
      <c r="G55" s="487"/>
      <c r="H55" s="487"/>
      <c r="I55" s="487"/>
      <c r="J55" s="487"/>
      <c r="K55" s="487"/>
      <c r="L55" s="487"/>
      <c r="M55" s="487"/>
      <c r="N55" s="487"/>
      <c r="O55" s="487"/>
      <c r="P55" s="298"/>
      <c r="Q55" s="487"/>
      <c r="R55" s="298"/>
      <c r="S55" s="487"/>
      <c r="T55" s="487"/>
      <c r="U55" s="487"/>
      <c r="V55" s="487"/>
      <c r="W55" s="487"/>
      <c r="X55" s="487"/>
      <c r="Y55" s="487"/>
      <c r="Z55" s="487"/>
      <c r="AA55" s="298"/>
      <c r="AB55" s="298"/>
      <c r="AC55" s="298"/>
      <c r="AD55" s="487"/>
      <c r="AE55" s="487"/>
      <c r="AF55" s="487"/>
      <c r="AG55" s="487"/>
      <c r="AH55" s="487"/>
      <c r="AI55" s="298"/>
      <c r="AJ55" s="298"/>
      <c r="AK55" s="298"/>
      <c r="AL55" s="299"/>
      <c r="AM55" s="298"/>
      <c r="AN55" s="298"/>
    </row>
    <row r="56" spans="1:40" s="289" customFormat="1" ht="13.5">
      <c r="A56" s="468"/>
      <c r="B56" s="488"/>
      <c r="C56" s="297" t="s">
        <v>782</v>
      </c>
      <c r="D56" s="488"/>
      <c r="E56" s="488"/>
      <c r="F56" s="488"/>
      <c r="G56" s="488"/>
      <c r="H56" s="488"/>
      <c r="I56" s="488"/>
      <c r="J56" s="488"/>
      <c r="K56" s="488"/>
      <c r="L56" s="488"/>
      <c r="M56" s="488"/>
      <c r="N56" s="488"/>
      <c r="O56" s="488"/>
      <c r="P56" s="488"/>
      <c r="Q56" s="488"/>
      <c r="R56" s="488"/>
      <c r="S56" s="488"/>
      <c r="T56" s="488"/>
      <c r="U56" s="488"/>
      <c r="V56" s="488"/>
      <c r="W56" s="488"/>
      <c r="X56" s="488"/>
      <c r="Y56" s="488"/>
      <c r="Z56" s="488"/>
      <c r="AA56" s="488"/>
      <c r="AB56" s="488"/>
      <c r="AC56" s="488"/>
      <c r="AD56" s="488"/>
      <c r="AE56" s="488"/>
      <c r="AF56" s="488"/>
      <c r="AG56" s="488"/>
      <c r="AH56" s="488"/>
      <c r="AI56" s="297"/>
      <c r="AJ56" s="297"/>
      <c r="AK56" s="297"/>
      <c r="AL56" s="469"/>
      <c r="AM56" s="297"/>
      <c r="AN56" s="297"/>
    </row>
    <row r="57" spans="1:40" s="482" customFormat="1" ht="16.5" customHeight="1">
      <c r="A57" s="300"/>
      <c r="B57" s="421" t="s">
        <v>711</v>
      </c>
      <c r="C57" s="487" t="s">
        <v>783</v>
      </c>
      <c r="D57" s="487"/>
      <c r="E57" s="487"/>
      <c r="F57" s="487"/>
      <c r="G57" s="487"/>
      <c r="H57" s="487"/>
      <c r="I57" s="487"/>
      <c r="J57" s="487"/>
      <c r="K57" s="487"/>
      <c r="L57" s="389"/>
      <c r="M57" s="421" t="s">
        <v>784</v>
      </c>
      <c r="N57" s="487" t="s">
        <v>785</v>
      </c>
      <c r="O57" s="298"/>
      <c r="P57" s="298"/>
      <c r="Q57" s="487"/>
      <c r="R57" s="298"/>
      <c r="S57" s="487"/>
      <c r="T57" s="487"/>
      <c r="U57" s="487"/>
      <c r="V57" s="487"/>
      <c r="W57" s="487"/>
      <c r="X57" s="487"/>
      <c r="Y57" s="487"/>
      <c r="Z57" s="421" t="s">
        <v>516</v>
      </c>
      <c r="AA57" s="298" t="s">
        <v>786</v>
      </c>
      <c r="AB57" s="298"/>
      <c r="AC57" s="298"/>
      <c r="AD57" s="487"/>
      <c r="AE57" s="487"/>
      <c r="AF57" s="487"/>
      <c r="AG57" s="487"/>
      <c r="AH57" s="487"/>
      <c r="AI57" s="298"/>
      <c r="AJ57" s="298"/>
      <c r="AK57" s="298"/>
      <c r="AL57" s="299"/>
      <c r="AM57" s="298"/>
      <c r="AN57" s="298"/>
    </row>
    <row r="58" spans="1:40" s="289" customFormat="1" ht="13.5">
      <c r="A58" s="468"/>
      <c r="B58" s="488"/>
      <c r="C58" s="297" t="s">
        <v>787</v>
      </c>
      <c r="D58" s="297"/>
      <c r="E58" s="297"/>
      <c r="F58" s="297"/>
      <c r="G58" s="297"/>
      <c r="H58" s="297"/>
      <c r="I58" s="297"/>
      <c r="J58" s="297"/>
      <c r="K58" s="297"/>
      <c r="L58" s="297"/>
      <c r="M58" s="297"/>
      <c r="N58" s="297" t="s">
        <v>788</v>
      </c>
      <c r="O58" s="297"/>
      <c r="P58" s="297"/>
      <c r="Q58" s="297"/>
      <c r="R58" s="297"/>
      <c r="S58" s="297"/>
      <c r="T58" s="297"/>
      <c r="U58" s="297"/>
      <c r="V58" s="297"/>
      <c r="W58" s="297"/>
      <c r="X58" s="297"/>
      <c r="Y58" s="297"/>
      <c r="Z58" s="297"/>
      <c r="AA58" s="297" t="s">
        <v>789</v>
      </c>
      <c r="AB58" s="297"/>
      <c r="AC58" s="297"/>
      <c r="AD58" s="297"/>
      <c r="AE58" s="297"/>
      <c r="AF58" s="297"/>
      <c r="AG58" s="488"/>
      <c r="AH58" s="488"/>
      <c r="AI58" s="297"/>
      <c r="AJ58" s="297"/>
      <c r="AK58" s="297"/>
      <c r="AL58" s="469"/>
      <c r="AM58" s="297"/>
      <c r="AN58" s="297"/>
    </row>
    <row r="59" spans="1:40" s="482" customFormat="1" ht="16.5" customHeight="1">
      <c r="A59" s="300"/>
      <c r="B59" s="421" t="s">
        <v>711</v>
      </c>
      <c r="C59" s="487" t="s">
        <v>790</v>
      </c>
      <c r="D59" s="487"/>
      <c r="E59" s="487"/>
      <c r="F59" s="487"/>
      <c r="G59" s="487"/>
      <c r="H59" s="487"/>
      <c r="I59" s="487"/>
      <c r="J59" s="487"/>
      <c r="K59" s="487"/>
      <c r="L59" s="487"/>
      <c r="M59" s="487"/>
      <c r="N59" s="487"/>
      <c r="O59" s="487"/>
      <c r="P59" s="298"/>
      <c r="Q59" s="487"/>
      <c r="R59" s="487"/>
      <c r="S59" s="487"/>
      <c r="T59" s="487"/>
      <c r="U59" s="487"/>
      <c r="V59" s="487"/>
      <c r="W59" s="487"/>
      <c r="X59" s="487"/>
      <c r="Y59" s="487"/>
      <c r="Z59" s="487"/>
      <c r="AA59" s="487"/>
      <c r="AB59" s="487"/>
      <c r="AC59" s="298"/>
      <c r="AD59" s="487"/>
      <c r="AE59" s="487"/>
      <c r="AF59" s="487"/>
      <c r="AG59" s="487"/>
      <c r="AH59" s="487"/>
      <c r="AI59" s="298"/>
      <c r="AJ59" s="298"/>
      <c r="AK59" s="298"/>
      <c r="AL59" s="299"/>
      <c r="AM59" s="298"/>
      <c r="AN59" s="298"/>
    </row>
    <row r="60" spans="1:40" s="289" customFormat="1" ht="13.5">
      <c r="A60" s="468"/>
      <c r="B60" s="488"/>
      <c r="C60" s="297" t="s">
        <v>791</v>
      </c>
      <c r="D60" s="488"/>
      <c r="E60" s="488"/>
      <c r="F60" s="488"/>
      <c r="G60" s="488"/>
      <c r="H60" s="488"/>
      <c r="I60" s="488"/>
      <c r="J60" s="488"/>
      <c r="K60" s="488"/>
      <c r="L60" s="488"/>
      <c r="M60" s="488"/>
      <c r="N60" s="488"/>
      <c r="O60" s="488"/>
      <c r="P60" s="488"/>
      <c r="Q60" s="488"/>
      <c r="R60" s="488"/>
      <c r="S60" s="488"/>
      <c r="T60" s="488"/>
      <c r="U60" s="488"/>
      <c r="V60" s="488"/>
      <c r="W60" s="488"/>
      <c r="X60" s="488"/>
      <c r="Y60" s="488"/>
      <c r="Z60" s="488"/>
      <c r="AA60" s="488"/>
      <c r="AB60" s="488"/>
      <c r="AC60" s="488"/>
      <c r="AD60" s="488"/>
      <c r="AE60" s="488"/>
      <c r="AF60" s="488"/>
      <c r="AG60" s="488"/>
      <c r="AH60" s="488"/>
      <c r="AI60" s="297"/>
      <c r="AJ60" s="297"/>
      <c r="AK60" s="297"/>
      <c r="AL60" s="469"/>
      <c r="AM60" s="297"/>
      <c r="AN60" s="297"/>
    </row>
    <row r="61" spans="1:40" s="482" customFormat="1" ht="16.5" customHeight="1">
      <c r="A61" s="300"/>
      <c r="B61" s="421" t="s">
        <v>713</v>
      </c>
      <c r="C61" s="487" t="s">
        <v>792</v>
      </c>
      <c r="D61" s="487"/>
      <c r="E61" s="487"/>
      <c r="F61" s="487"/>
      <c r="G61" s="487"/>
      <c r="H61" s="487"/>
      <c r="I61" s="487"/>
      <c r="J61" s="487"/>
      <c r="K61" s="487"/>
      <c r="L61" s="487"/>
      <c r="M61" s="487"/>
      <c r="N61" s="298"/>
      <c r="O61" s="421" t="s">
        <v>711</v>
      </c>
      <c r="P61" s="487" t="s">
        <v>793</v>
      </c>
      <c r="Q61" s="487"/>
      <c r="R61" s="487"/>
      <c r="S61" s="487"/>
      <c r="T61" s="487"/>
      <c r="U61" s="487"/>
      <c r="V61" s="487"/>
      <c r="W61" s="487"/>
      <c r="X61" s="487"/>
      <c r="Y61" s="487"/>
      <c r="Z61" s="487"/>
      <c r="AA61" s="421" t="s">
        <v>124</v>
      </c>
      <c r="AB61" s="487" t="s">
        <v>794</v>
      </c>
      <c r="AC61" s="298"/>
      <c r="AD61" s="487"/>
      <c r="AE61" s="487"/>
      <c r="AF61" s="487"/>
      <c r="AG61" s="487"/>
      <c r="AH61" s="487"/>
      <c r="AI61" s="298"/>
      <c r="AJ61" s="298"/>
      <c r="AK61" s="298"/>
      <c r="AL61" s="299"/>
      <c r="AM61" s="298"/>
      <c r="AN61" s="298"/>
    </row>
    <row r="62" spans="1:40" s="289" customFormat="1" ht="13.5">
      <c r="A62" s="468"/>
      <c r="B62" s="488"/>
      <c r="C62" s="297" t="s">
        <v>795</v>
      </c>
      <c r="D62" s="297"/>
      <c r="E62" s="297"/>
      <c r="F62" s="297"/>
      <c r="G62" s="297"/>
      <c r="H62" s="297"/>
      <c r="I62" s="297"/>
      <c r="J62" s="297"/>
      <c r="K62" s="297"/>
      <c r="L62" s="297"/>
      <c r="M62" s="297"/>
      <c r="N62" s="297"/>
      <c r="O62" s="297"/>
      <c r="P62" s="297" t="s">
        <v>796</v>
      </c>
      <c r="Q62" s="297"/>
      <c r="R62" s="297"/>
      <c r="S62" s="297"/>
      <c r="T62" s="297"/>
      <c r="U62" s="297"/>
      <c r="V62" s="297"/>
      <c r="W62" s="297"/>
      <c r="X62" s="297"/>
      <c r="Y62" s="297"/>
      <c r="Z62" s="297"/>
      <c r="AA62" s="297"/>
      <c r="AB62" s="297" t="s">
        <v>797</v>
      </c>
      <c r="AC62" s="297"/>
      <c r="AD62" s="488"/>
      <c r="AE62" s="488"/>
      <c r="AF62" s="488"/>
      <c r="AG62" s="488"/>
      <c r="AH62" s="488"/>
      <c r="AI62" s="297"/>
      <c r="AJ62" s="297"/>
      <c r="AK62" s="297"/>
      <c r="AL62" s="469"/>
      <c r="AM62" s="297"/>
      <c r="AN62" s="297"/>
    </row>
    <row r="63" spans="1:40" s="482" customFormat="1" ht="16.5" customHeight="1">
      <c r="A63" s="300"/>
      <c r="B63" s="421" t="s">
        <v>713</v>
      </c>
      <c r="C63" s="487" t="s">
        <v>798</v>
      </c>
      <c r="D63" s="487"/>
      <c r="E63" s="487"/>
      <c r="F63" s="487"/>
      <c r="G63" s="487"/>
      <c r="H63" s="487"/>
      <c r="I63" s="487"/>
      <c r="J63" s="487"/>
      <c r="K63" s="487"/>
      <c r="L63" s="487"/>
      <c r="M63" s="487"/>
      <c r="N63" s="487"/>
      <c r="O63" s="487"/>
      <c r="P63" s="298"/>
      <c r="Q63" s="487"/>
      <c r="R63" s="487"/>
      <c r="S63" s="487"/>
      <c r="T63" s="487"/>
      <c r="U63" s="487"/>
      <c r="V63" s="487"/>
      <c r="W63" s="487"/>
      <c r="X63" s="487"/>
      <c r="Y63" s="487"/>
      <c r="Z63" s="487"/>
      <c r="AA63" s="487"/>
      <c r="AB63" s="487"/>
      <c r="AC63" s="487"/>
      <c r="AD63" s="487"/>
      <c r="AE63" s="487"/>
      <c r="AF63" s="487"/>
      <c r="AG63" s="487"/>
      <c r="AH63" s="487"/>
      <c r="AI63" s="298"/>
      <c r="AJ63" s="298"/>
      <c r="AK63" s="298"/>
      <c r="AL63" s="299"/>
      <c r="AM63" s="298"/>
      <c r="AN63" s="298"/>
    </row>
    <row r="64" spans="1:40" s="289" customFormat="1" ht="13.5">
      <c r="A64" s="468"/>
      <c r="B64" s="488"/>
      <c r="C64" s="297" t="s">
        <v>799</v>
      </c>
      <c r="D64" s="488"/>
      <c r="E64" s="488"/>
      <c r="F64" s="488"/>
      <c r="G64" s="488"/>
      <c r="H64" s="488"/>
      <c r="I64" s="488"/>
      <c r="J64" s="488"/>
      <c r="K64" s="488"/>
      <c r="L64" s="488"/>
      <c r="M64" s="488"/>
      <c r="N64" s="488"/>
      <c r="O64" s="488"/>
      <c r="P64" s="488"/>
      <c r="Q64" s="488"/>
      <c r="R64" s="488"/>
      <c r="S64" s="488"/>
      <c r="T64" s="488"/>
      <c r="U64" s="488"/>
      <c r="V64" s="488"/>
      <c r="W64" s="488"/>
      <c r="X64" s="488"/>
      <c r="Y64" s="488"/>
      <c r="Z64" s="488"/>
      <c r="AA64" s="488"/>
      <c r="AB64" s="488"/>
      <c r="AC64" s="488"/>
      <c r="AD64" s="488"/>
      <c r="AE64" s="488"/>
      <c r="AF64" s="488"/>
      <c r="AG64" s="488"/>
      <c r="AH64" s="488"/>
      <c r="AI64" s="297"/>
      <c r="AJ64" s="297"/>
      <c r="AK64" s="297"/>
      <c r="AL64" s="469"/>
      <c r="AM64" s="297"/>
      <c r="AN64" s="297"/>
    </row>
    <row r="65" spans="1:39" s="482" customFormat="1" ht="16.5" customHeight="1">
      <c r="A65" s="300"/>
      <c r="B65" s="421" t="s">
        <v>711</v>
      </c>
      <c r="C65" s="487" t="s">
        <v>800</v>
      </c>
      <c r="D65" s="487"/>
      <c r="E65" s="487"/>
      <c r="F65" s="487"/>
      <c r="G65" s="487"/>
      <c r="H65" s="487"/>
      <c r="I65" s="487"/>
      <c r="J65" s="487"/>
      <c r="K65" s="487"/>
      <c r="L65" s="487"/>
      <c r="M65" s="487"/>
      <c r="N65" s="487"/>
      <c r="O65" s="487"/>
      <c r="P65" s="487"/>
      <c r="Q65" s="487"/>
      <c r="R65" s="487"/>
      <c r="S65" s="487"/>
      <c r="T65" s="487"/>
      <c r="U65" s="487"/>
      <c r="V65" s="487"/>
      <c r="W65" s="487"/>
      <c r="X65" s="421" t="s">
        <v>713</v>
      </c>
      <c r="Y65" s="487" t="s">
        <v>801</v>
      </c>
      <c r="Z65" s="487"/>
      <c r="AA65" s="487"/>
      <c r="AB65" s="487"/>
      <c r="AC65" s="487"/>
      <c r="AD65" s="487"/>
      <c r="AE65" s="487"/>
      <c r="AF65" s="487"/>
      <c r="AG65" s="487"/>
      <c r="AH65" s="298"/>
      <c r="AI65" s="298"/>
      <c r="AJ65" s="298"/>
      <c r="AK65" s="298"/>
      <c r="AL65" s="299"/>
      <c r="AM65" s="298"/>
    </row>
    <row r="66" spans="1:39" s="289" customFormat="1" ht="13.5">
      <c r="A66" s="468"/>
      <c r="B66" s="488"/>
      <c r="C66" s="297" t="s">
        <v>802</v>
      </c>
      <c r="D66" s="297"/>
      <c r="E66" s="297"/>
      <c r="F66" s="297"/>
      <c r="G66" s="297"/>
      <c r="H66" s="297"/>
      <c r="I66" s="297"/>
      <c r="J66" s="297"/>
      <c r="K66" s="297"/>
      <c r="L66" s="297"/>
      <c r="M66" s="297"/>
      <c r="N66" s="297"/>
      <c r="O66" s="297"/>
      <c r="P66" s="297"/>
      <c r="Q66" s="297"/>
      <c r="R66" s="297"/>
      <c r="S66" s="297"/>
      <c r="T66" s="297"/>
      <c r="U66" s="297"/>
      <c r="V66" s="297"/>
      <c r="W66" s="297"/>
      <c r="X66" s="297"/>
      <c r="Y66" s="297" t="s">
        <v>803</v>
      </c>
      <c r="Z66" s="297"/>
      <c r="AA66" s="488"/>
      <c r="AB66" s="488"/>
      <c r="AC66" s="488"/>
      <c r="AD66" s="488"/>
      <c r="AE66" s="488"/>
      <c r="AF66" s="488"/>
      <c r="AG66" s="488"/>
      <c r="AH66" s="297"/>
      <c r="AI66" s="297"/>
      <c r="AJ66" s="297"/>
      <c r="AK66" s="297"/>
      <c r="AL66" s="469"/>
      <c r="AM66" s="297"/>
    </row>
    <row r="67" spans="1:39" s="482" customFormat="1" ht="16.5" customHeight="1">
      <c r="A67" s="300"/>
      <c r="B67" s="421" t="s">
        <v>296</v>
      </c>
      <c r="C67" s="487" t="s">
        <v>804</v>
      </c>
      <c r="D67" s="487"/>
      <c r="E67" s="487"/>
      <c r="F67" s="487"/>
      <c r="G67" s="487"/>
      <c r="H67" s="487"/>
      <c r="I67" s="487"/>
      <c r="J67" s="487"/>
      <c r="K67" s="487"/>
      <c r="L67" s="487"/>
      <c r="M67" s="487"/>
      <c r="N67" s="487"/>
      <c r="O67" s="487"/>
      <c r="P67" s="421" t="s">
        <v>516</v>
      </c>
      <c r="Q67" s="487" t="s">
        <v>805</v>
      </c>
      <c r="R67" s="487"/>
      <c r="S67" s="487"/>
      <c r="T67" s="487"/>
      <c r="U67" s="487"/>
      <c r="V67" s="487"/>
      <c r="W67" s="487"/>
      <c r="X67" s="421" t="s">
        <v>711</v>
      </c>
      <c r="Y67" s="487" t="s">
        <v>644</v>
      </c>
      <c r="Z67" s="487"/>
      <c r="AA67" s="487"/>
      <c r="AB67" s="1392"/>
      <c r="AC67" s="1392"/>
      <c r="AD67" s="1392"/>
      <c r="AE67" s="1392"/>
      <c r="AF67" s="1392"/>
      <c r="AG67" s="1392"/>
      <c r="AH67" s="1392"/>
      <c r="AI67" s="1392"/>
      <c r="AJ67" s="1392"/>
      <c r="AK67" s="1392"/>
      <c r="AL67" s="299" t="s">
        <v>10</v>
      </c>
      <c r="AM67" s="298"/>
    </row>
    <row r="68" spans="1:39" s="289" customFormat="1" ht="13.5">
      <c r="A68" s="468"/>
      <c r="B68" s="297"/>
      <c r="C68" s="297" t="s">
        <v>806</v>
      </c>
      <c r="D68" s="297"/>
      <c r="E68" s="297"/>
      <c r="F68" s="297"/>
      <c r="G68" s="297"/>
      <c r="H68" s="297"/>
      <c r="I68" s="297"/>
      <c r="J68" s="297"/>
      <c r="K68" s="297"/>
      <c r="L68" s="297"/>
      <c r="M68" s="297"/>
      <c r="N68" s="297"/>
      <c r="O68" s="297"/>
      <c r="P68" s="297"/>
      <c r="Q68" s="297" t="s">
        <v>807</v>
      </c>
      <c r="R68" s="297"/>
      <c r="S68" s="297"/>
      <c r="T68" s="297"/>
      <c r="U68" s="297"/>
      <c r="V68" s="297"/>
      <c r="W68" s="297"/>
      <c r="X68" s="297"/>
      <c r="Y68" s="297" t="s">
        <v>808</v>
      </c>
      <c r="Z68" s="297"/>
      <c r="AA68" s="297"/>
      <c r="AB68" s="297"/>
      <c r="AC68" s="297"/>
      <c r="AD68" s="297"/>
      <c r="AE68" s="297"/>
      <c r="AF68" s="297"/>
      <c r="AG68" s="297"/>
      <c r="AH68" s="297"/>
      <c r="AI68" s="297"/>
      <c r="AJ68" s="297"/>
      <c r="AK68" s="297"/>
      <c r="AL68" s="469"/>
      <c r="AM68" s="297"/>
    </row>
    <row r="69" spans="1:39" s="305" customFormat="1" ht="7.5" customHeight="1">
      <c r="A69" s="489"/>
      <c r="B69" s="490"/>
      <c r="C69" s="380"/>
      <c r="D69" s="380"/>
      <c r="E69" s="380"/>
      <c r="F69" s="380"/>
      <c r="G69" s="380"/>
      <c r="H69" s="380"/>
      <c r="I69" s="380"/>
      <c r="J69" s="380"/>
      <c r="K69" s="380"/>
      <c r="L69" s="380"/>
      <c r="M69" s="380"/>
      <c r="N69" s="380"/>
      <c r="O69" s="380"/>
      <c r="P69" s="380"/>
      <c r="Q69" s="380"/>
      <c r="R69" s="380"/>
      <c r="S69" s="380"/>
      <c r="T69" s="380"/>
      <c r="U69" s="380"/>
      <c r="V69" s="380"/>
      <c r="W69" s="380"/>
      <c r="X69" s="380"/>
      <c r="Y69" s="380"/>
      <c r="Z69" s="490"/>
      <c r="AA69" s="490"/>
      <c r="AB69" s="490"/>
      <c r="AC69" s="490"/>
      <c r="AD69" s="490"/>
      <c r="AE69" s="490"/>
      <c r="AF69" s="490"/>
      <c r="AG69" s="490"/>
      <c r="AH69" s="490"/>
      <c r="AI69" s="490"/>
      <c r="AJ69" s="490"/>
      <c r="AK69" s="490"/>
      <c r="AL69" s="491"/>
      <c r="AM69" s="307"/>
    </row>
    <row r="70" spans="1:39" s="422" customFormat="1" ht="5.25" customHeight="1">
      <c r="A70" s="466"/>
      <c r="B70" s="466"/>
      <c r="C70" s="466"/>
      <c r="D70" s="466"/>
      <c r="E70" s="466"/>
      <c r="F70" s="466"/>
      <c r="G70" s="466"/>
      <c r="H70" s="466"/>
      <c r="I70" s="466"/>
      <c r="J70" s="466"/>
      <c r="K70" s="466"/>
      <c r="L70" s="466"/>
      <c r="M70" s="466"/>
      <c r="N70" s="466"/>
      <c r="O70" s="466"/>
      <c r="P70" s="466"/>
      <c r="Q70" s="466"/>
      <c r="R70" s="466"/>
      <c r="S70" s="466"/>
      <c r="T70" s="466"/>
      <c r="U70" s="466"/>
      <c r="V70" s="466"/>
      <c r="W70" s="466"/>
      <c r="X70" s="466"/>
      <c r="Y70" s="466"/>
      <c r="Z70" s="466"/>
      <c r="AA70" s="466"/>
      <c r="AB70" s="466"/>
      <c r="AC70" s="466"/>
      <c r="AD70" s="466"/>
      <c r="AE70" s="466"/>
      <c r="AF70" s="466"/>
      <c r="AG70" s="466"/>
      <c r="AH70" s="466"/>
      <c r="AI70" s="466"/>
      <c r="AJ70" s="466"/>
      <c r="AK70" s="466"/>
      <c r="AL70" s="466"/>
      <c r="AM70" s="459"/>
    </row>
    <row r="71" spans="1:39" s="422" customFormat="1" ht="12" customHeight="1">
      <c r="A71" s="459"/>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row>
    <row r="72" spans="1:39" s="422" customFormat="1" ht="12" customHeight="1">
      <c r="A72" s="459"/>
      <c r="B72" s="459"/>
      <c r="C72" s="459"/>
      <c r="D72" s="459"/>
      <c r="E72" s="459"/>
      <c r="F72" s="459"/>
      <c r="G72" s="459"/>
      <c r="H72" s="459"/>
      <c r="I72" s="459"/>
      <c r="J72" s="459"/>
      <c r="K72" s="459"/>
      <c r="L72" s="459"/>
      <c r="M72" s="459"/>
      <c r="N72" s="459"/>
      <c r="O72" s="459"/>
      <c r="P72" s="459"/>
      <c r="Q72" s="459"/>
      <c r="R72" s="459"/>
      <c r="S72" s="459"/>
      <c r="T72" s="459"/>
      <c r="U72" s="459"/>
      <c r="V72" s="459"/>
      <c r="W72" s="459"/>
      <c r="X72" s="459"/>
      <c r="Y72" s="459"/>
      <c r="Z72" s="459"/>
      <c r="AA72" s="459"/>
      <c r="AB72" s="459"/>
      <c r="AC72" s="459"/>
      <c r="AD72" s="459"/>
      <c r="AE72" s="459"/>
      <c r="AF72" s="459"/>
      <c r="AG72" s="459"/>
      <c r="AH72" s="459"/>
      <c r="AI72" s="459"/>
      <c r="AJ72" s="459"/>
      <c r="AK72" s="459"/>
      <c r="AL72" s="459"/>
      <c r="AM72" s="459"/>
    </row>
    <row r="73" spans="1:39" s="422" customFormat="1" ht="15" customHeight="1">
      <c r="A73" s="458" t="s">
        <v>809</v>
      </c>
      <c r="B73" s="459"/>
      <c r="C73" s="459"/>
      <c r="D73" s="459"/>
      <c r="E73" s="459"/>
      <c r="F73" s="459"/>
      <c r="G73" s="459"/>
      <c r="H73" s="459"/>
      <c r="I73" s="459"/>
      <c r="J73" s="459"/>
      <c r="K73" s="459"/>
      <c r="L73" s="459"/>
      <c r="M73" s="459"/>
      <c r="N73" s="459"/>
      <c r="O73" s="459"/>
      <c r="P73" s="459"/>
      <c r="Q73" s="459"/>
      <c r="R73" s="459"/>
      <c r="S73" s="459"/>
      <c r="T73" s="459"/>
      <c r="U73" s="459"/>
      <c r="V73" s="459"/>
      <c r="W73" s="459"/>
      <c r="X73" s="459"/>
      <c r="Y73" s="459"/>
      <c r="Z73" s="459"/>
      <c r="AA73" s="459"/>
      <c r="AB73" s="459"/>
      <c r="AC73" s="288" t="s">
        <v>488</v>
      </c>
      <c r="AD73" s="459"/>
      <c r="AE73" s="459"/>
      <c r="AF73" s="459"/>
      <c r="AG73" s="459"/>
      <c r="AH73" s="459"/>
      <c r="AI73" s="459"/>
      <c r="AJ73" s="459"/>
      <c r="AK73" s="459"/>
      <c r="AL73" s="459"/>
      <c r="AM73" s="459"/>
    </row>
    <row r="74" spans="1:39" s="422" customFormat="1" ht="12" customHeight="1">
      <c r="A74" s="289" t="s">
        <v>810</v>
      </c>
      <c r="B74" s="459"/>
      <c r="C74" s="459"/>
      <c r="D74" s="459"/>
      <c r="E74" s="459"/>
      <c r="F74" s="459"/>
      <c r="G74" s="459"/>
      <c r="H74" s="459"/>
      <c r="I74" s="459"/>
      <c r="J74" s="289"/>
      <c r="K74" s="459"/>
      <c r="L74" s="459"/>
      <c r="M74" s="459"/>
      <c r="N74" s="459"/>
      <c r="O74" s="459"/>
      <c r="P74" s="459"/>
      <c r="Q74" s="459"/>
      <c r="R74" s="459"/>
      <c r="S74" s="459"/>
      <c r="T74" s="459"/>
      <c r="U74" s="459"/>
      <c r="V74" s="459"/>
      <c r="W74" s="459"/>
      <c r="X74" s="459"/>
      <c r="Y74" s="459"/>
      <c r="Z74" s="459"/>
      <c r="AA74" s="459"/>
      <c r="AB74" s="459"/>
      <c r="AC74" s="297" t="s">
        <v>811</v>
      </c>
      <c r="AD74" s="459"/>
      <c r="AE74" s="459"/>
      <c r="AF74" s="459"/>
      <c r="AG74" s="459"/>
      <c r="AH74" s="459"/>
      <c r="AI74" s="459"/>
      <c r="AJ74" s="459"/>
      <c r="AK74" s="459"/>
      <c r="AL74" s="459"/>
      <c r="AM74" s="459"/>
    </row>
    <row r="75" spans="1:39" s="422" customFormat="1" ht="3" customHeight="1">
      <c r="A75" s="492"/>
      <c r="B75" s="466"/>
      <c r="C75" s="466"/>
      <c r="D75" s="466"/>
      <c r="E75" s="466"/>
      <c r="F75" s="466"/>
      <c r="G75" s="466"/>
      <c r="H75" s="466"/>
      <c r="I75" s="466"/>
      <c r="J75" s="466"/>
      <c r="K75" s="466"/>
      <c r="L75" s="466"/>
      <c r="M75" s="466"/>
      <c r="N75" s="466"/>
      <c r="O75" s="466"/>
      <c r="P75" s="466"/>
      <c r="Q75" s="466"/>
      <c r="R75" s="466"/>
      <c r="S75" s="466"/>
      <c r="T75" s="466"/>
      <c r="U75" s="466"/>
      <c r="V75" s="466"/>
      <c r="W75" s="466"/>
      <c r="X75" s="466"/>
      <c r="Y75" s="466"/>
      <c r="Z75" s="466"/>
      <c r="AA75" s="466"/>
      <c r="AB75" s="466"/>
      <c r="AC75" s="466"/>
      <c r="AD75" s="466"/>
      <c r="AE75" s="466"/>
      <c r="AF75" s="466"/>
      <c r="AG75" s="466"/>
      <c r="AH75" s="466"/>
      <c r="AI75" s="466"/>
      <c r="AJ75" s="466"/>
      <c r="AK75" s="466"/>
      <c r="AL75" s="493"/>
      <c r="AM75" s="459"/>
    </row>
    <row r="76" spans="1:39" s="422" customFormat="1" ht="14.25" customHeight="1">
      <c r="A76" s="300" t="s">
        <v>812</v>
      </c>
      <c r="B76" s="459"/>
      <c r="C76" s="459"/>
      <c r="D76" s="459"/>
      <c r="E76" s="459"/>
      <c r="F76" s="459"/>
      <c r="G76" s="297" t="s">
        <v>813</v>
      </c>
      <c r="H76" s="297"/>
      <c r="I76" s="459"/>
      <c r="J76" s="459"/>
      <c r="K76" s="459"/>
      <c r="L76" s="459"/>
      <c r="M76" s="459"/>
      <c r="N76" s="459"/>
      <c r="O76" s="459"/>
      <c r="P76" s="459"/>
      <c r="Q76" s="459"/>
      <c r="R76" s="459"/>
      <c r="S76" s="459"/>
      <c r="T76" s="459"/>
      <c r="U76" s="459"/>
      <c r="V76" s="459"/>
      <c r="W76" s="459"/>
      <c r="X76" s="459"/>
      <c r="Y76" s="459"/>
      <c r="Z76" s="459"/>
      <c r="AA76" s="459"/>
      <c r="AB76" s="459"/>
      <c r="AC76" s="459"/>
      <c r="AD76" s="459"/>
      <c r="AE76" s="459"/>
      <c r="AF76" s="459"/>
      <c r="AG76" s="459"/>
      <c r="AH76" s="459"/>
      <c r="AI76" s="459"/>
      <c r="AJ76" s="459"/>
      <c r="AK76" s="459"/>
      <c r="AL76" s="461"/>
      <c r="AM76" s="459"/>
    </row>
    <row r="77" spans="1:39" s="422" customFormat="1" ht="14.25" customHeight="1">
      <c r="A77" s="462"/>
      <c r="B77" s="311" t="s">
        <v>814</v>
      </c>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61"/>
      <c r="AM77" s="459"/>
    </row>
    <row r="78" spans="1:39" s="422" customFormat="1" ht="14.25" customHeight="1">
      <c r="A78" s="494"/>
      <c r="B78" s="495" t="s">
        <v>815</v>
      </c>
      <c r="C78" s="496"/>
      <c r="D78" s="496"/>
      <c r="E78" s="496"/>
      <c r="F78" s="496"/>
      <c r="G78" s="496"/>
      <c r="H78" s="496"/>
      <c r="I78" s="496"/>
      <c r="J78" s="496"/>
      <c r="K78" s="496"/>
      <c r="L78" s="496"/>
      <c r="M78" s="496"/>
      <c r="N78" s="496"/>
      <c r="O78" s="496"/>
      <c r="P78" s="496"/>
      <c r="Q78" s="496"/>
      <c r="R78" s="496"/>
      <c r="S78" s="496"/>
      <c r="T78" s="496"/>
      <c r="U78" s="496"/>
      <c r="V78" s="496"/>
      <c r="W78" s="496"/>
      <c r="X78" s="496"/>
      <c r="Y78" s="496"/>
      <c r="Z78" s="496"/>
      <c r="AA78" s="496"/>
      <c r="AB78" s="496"/>
      <c r="AC78" s="496"/>
      <c r="AD78" s="496"/>
      <c r="AE78" s="496"/>
      <c r="AF78" s="496"/>
      <c r="AG78" s="496"/>
      <c r="AH78" s="496"/>
      <c r="AI78" s="496"/>
      <c r="AJ78" s="496"/>
      <c r="AK78" s="496"/>
      <c r="AL78" s="497"/>
      <c r="AM78" s="459"/>
    </row>
    <row r="79" spans="1:39" s="422" customFormat="1" ht="14.25" customHeight="1">
      <c r="A79" s="494"/>
      <c r="B79" s="495" t="s">
        <v>816</v>
      </c>
      <c r="C79" s="496"/>
      <c r="D79" s="496"/>
      <c r="E79" s="496"/>
      <c r="F79" s="496"/>
      <c r="G79" s="496"/>
      <c r="H79" s="496"/>
      <c r="I79" s="496"/>
      <c r="J79" s="496"/>
      <c r="K79" s="496"/>
      <c r="L79" s="496"/>
      <c r="M79" s="496"/>
      <c r="N79" s="496"/>
      <c r="O79" s="496"/>
      <c r="P79" s="496"/>
      <c r="Q79" s="496"/>
      <c r="R79" s="496"/>
      <c r="S79" s="496"/>
      <c r="T79" s="496"/>
      <c r="U79" s="496"/>
      <c r="V79" s="496"/>
      <c r="W79" s="496"/>
      <c r="X79" s="496"/>
      <c r="Y79" s="496"/>
      <c r="Z79" s="496"/>
      <c r="AA79" s="496"/>
      <c r="AB79" s="496"/>
      <c r="AC79" s="496"/>
      <c r="AD79" s="496"/>
      <c r="AE79" s="496"/>
      <c r="AF79" s="496"/>
      <c r="AG79" s="496"/>
      <c r="AH79" s="496"/>
      <c r="AI79" s="496"/>
      <c r="AJ79" s="496"/>
      <c r="AK79" s="496"/>
      <c r="AL79" s="497"/>
      <c r="AM79" s="459"/>
    </row>
    <row r="80" spans="1:39" s="501" customFormat="1" ht="17.25" customHeight="1">
      <c r="A80" s="498"/>
      <c r="B80" s="421" t="s">
        <v>177</v>
      </c>
      <c r="C80" s="314" t="s">
        <v>817</v>
      </c>
      <c r="D80" s="437"/>
      <c r="E80" s="437"/>
      <c r="F80" s="499"/>
      <c r="G80" s="421" t="s">
        <v>177</v>
      </c>
      <c r="H80" s="314" t="s">
        <v>818</v>
      </c>
      <c r="I80" s="437"/>
      <c r="J80" s="437"/>
      <c r="K80" s="499"/>
      <c r="L80" s="499"/>
      <c r="M80" s="437"/>
      <c r="N80" s="421" t="s">
        <v>177</v>
      </c>
      <c r="O80" s="314" t="s">
        <v>819</v>
      </c>
      <c r="P80" s="499"/>
      <c r="Q80" s="437"/>
      <c r="R80" s="437"/>
      <c r="S80" s="421" t="s">
        <v>177</v>
      </c>
      <c r="T80" s="314" t="s">
        <v>820</v>
      </c>
      <c r="U80" s="437"/>
      <c r="V80" s="437"/>
      <c r="W80" s="437"/>
      <c r="X80" s="499"/>
      <c r="Y80" s="421" t="s">
        <v>177</v>
      </c>
      <c r="Z80" s="315" t="s">
        <v>821</v>
      </c>
      <c r="AA80" s="499"/>
      <c r="AB80" s="499"/>
      <c r="AC80" s="437"/>
      <c r="AD80" s="421" t="s">
        <v>177</v>
      </c>
      <c r="AE80" s="314" t="s">
        <v>822</v>
      </c>
      <c r="AF80" s="437"/>
      <c r="AG80" s="499"/>
      <c r="AH80" s="437"/>
      <c r="AI80" s="499"/>
      <c r="AJ80" s="437"/>
      <c r="AK80" s="437"/>
      <c r="AL80" s="500"/>
    </row>
    <row r="81" spans="1:40" s="501" customFormat="1" ht="17.25" customHeight="1">
      <c r="A81" s="498"/>
      <c r="B81" s="437"/>
      <c r="C81" s="297" t="s">
        <v>823</v>
      </c>
      <c r="D81" s="297"/>
      <c r="E81" s="297"/>
      <c r="F81" s="297"/>
      <c r="G81" s="297"/>
      <c r="H81" s="297" t="s">
        <v>216</v>
      </c>
      <c r="I81" s="499"/>
      <c r="J81" s="297"/>
      <c r="K81" s="297"/>
      <c r="L81" s="297"/>
      <c r="M81" s="297"/>
      <c r="N81" s="297"/>
      <c r="O81" s="297" t="s">
        <v>824</v>
      </c>
      <c r="P81" s="297"/>
      <c r="Q81" s="297"/>
      <c r="R81" s="502"/>
      <c r="S81" s="502"/>
      <c r="T81" s="1418" t="s">
        <v>825</v>
      </c>
      <c r="U81" s="1418"/>
      <c r="V81" s="1418"/>
      <c r="W81" s="1418"/>
      <c r="Y81" s="502"/>
      <c r="Z81" s="1428" t="s">
        <v>826</v>
      </c>
      <c r="AA81" s="1428"/>
      <c r="AB81" s="1428"/>
      <c r="AC81" s="1428"/>
      <c r="AD81" s="1428"/>
      <c r="AE81" s="297" t="s">
        <v>827</v>
      </c>
      <c r="AF81" s="499"/>
      <c r="AG81" s="437"/>
      <c r="AH81" s="437"/>
      <c r="AI81" s="437"/>
      <c r="AJ81" s="437"/>
      <c r="AK81" s="437"/>
      <c r="AL81" s="500"/>
    </row>
    <row r="82" spans="1:40" s="501" customFormat="1" ht="17.25" customHeight="1">
      <c r="A82" s="498"/>
      <c r="B82" s="421" t="s">
        <v>177</v>
      </c>
      <c r="C82" s="314" t="s">
        <v>828</v>
      </c>
      <c r="D82" s="437"/>
      <c r="E82" s="437"/>
      <c r="F82" s="437"/>
      <c r="G82" s="421" t="s">
        <v>177</v>
      </c>
      <c r="H82" s="371" t="s">
        <v>829</v>
      </c>
      <c r="I82" s="437"/>
      <c r="J82" s="437"/>
      <c r="K82" s="437"/>
      <c r="L82" s="437"/>
      <c r="M82" s="437"/>
      <c r="N82" s="421" t="s">
        <v>177</v>
      </c>
      <c r="O82" s="314" t="s">
        <v>830</v>
      </c>
      <c r="P82" s="437"/>
      <c r="Q82" s="437"/>
      <c r="R82" s="437"/>
      <c r="S82" s="421" t="s">
        <v>177</v>
      </c>
      <c r="T82" s="314" t="s">
        <v>831</v>
      </c>
      <c r="U82" s="437"/>
      <c r="V82" s="437"/>
      <c r="W82" s="437"/>
      <c r="X82" s="437"/>
      <c r="Y82" s="421" t="s">
        <v>177</v>
      </c>
      <c r="Z82" s="315" t="s">
        <v>832</v>
      </c>
      <c r="AA82" s="437"/>
      <c r="AB82" s="437"/>
      <c r="AC82" s="437"/>
      <c r="AD82" s="421" t="s">
        <v>177</v>
      </c>
      <c r="AE82" s="314" t="s">
        <v>833</v>
      </c>
      <c r="AF82" s="437"/>
      <c r="AG82" s="499"/>
      <c r="AH82" s="437"/>
      <c r="AI82" s="437"/>
      <c r="AJ82" s="437"/>
      <c r="AK82" s="437"/>
      <c r="AL82" s="500"/>
    </row>
    <row r="83" spans="1:40" s="501" customFormat="1" ht="17.25" customHeight="1">
      <c r="A83" s="498"/>
      <c r="B83" s="437"/>
      <c r="C83" s="297" t="s">
        <v>834</v>
      </c>
      <c r="D83" s="297"/>
      <c r="E83" s="297"/>
      <c r="F83" s="297"/>
      <c r="G83" s="297"/>
      <c r="H83" s="297" t="s">
        <v>835</v>
      </c>
      <c r="I83" s="499"/>
      <c r="J83" s="297"/>
      <c r="K83" s="297"/>
      <c r="L83" s="297"/>
      <c r="M83" s="297"/>
      <c r="N83" s="297"/>
      <c r="O83" s="297" t="s">
        <v>836</v>
      </c>
      <c r="P83" s="297"/>
      <c r="Q83" s="297"/>
      <c r="R83" s="297"/>
      <c r="S83" s="297"/>
      <c r="T83" s="297" t="s">
        <v>837</v>
      </c>
      <c r="U83" s="499"/>
      <c r="V83" s="297"/>
      <c r="W83" s="297"/>
      <c r="X83" s="297"/>
      <c r="Y83" s="297"/>
      <c r="Z83" s="297" t="s">
        <v>838</v>
      </c>
      <c r="AA83" s="297"/>
      <c r="AB83" s="297"/>
      <c r="AC83" s="297"/>
      <c r="AD83" s="297"/>
      <c r="AE83" s="297" t="s">
        <v>839</v>
      </c>
      <c r="AF83" s="499"/>
      <c r="AG83" s="437"/>
      <c r="AH83" s="437"/>
      <c r="AI83" s="437"/>
      <c r="AJ83" s="437"/>
      <c r="AK83" s="437"/>
      <c r="AL83" s="500"/>
    </row>
    <row r="84" spans="1:40" s="501" customFormat="1" ht="17.25" customHeight="1">
      <c r="A84" s="498"/>
      <c r="B84" s="421" t="s">
        <v>177</v>
      </c>
      <c r="C84" s="314" t="s">
        <v>840</v>
      </c>
      <c r="D84" s="437"/>
      <c r="E84" s="437"/>
      <c r="F84" s="499"/>
      <c r="G84" s="437"/>
      <c r="H84" s="437"/>
      <c r="I84" s="437"/>
      <c r="J84" s="437"/>
      <c r="K84" s="1432"/>
      <c r="L84" s="1432"/>
      <c r="M84" s="1432"/>
      <c r="N84" s="1432"/>
      <c r="O84" s="1432"/>
      <c r="P84" s="1432"/>
      <c r="Q84" s="437" t="s">
        <v>10</v>
      </c>
      <c r="R84" s="437"/>
      <c r="S84" s="421" t="s">
        <v>177</v>
      </c>
      <c r="T84" s="314" t="s">
        <v>841</v>
      </c>
      <c r="U84" s="437"/>
      <c r="V84" s="437"/>
      <c r="W84" s="437"/>
      <c r="X84" s="437"/>
      <c r="Y84" s="421" t="s">
        <v>177</v>
      </c>
      <c r="Z84" s="315" t="s">
        <v>842</v>
      </c>
      <c r="AA84" s="437"/>
      <c r="AB84" s="437"/>
      <c r="AC84" s="437"/>
      <c r="AD84" s="421" t="s">
        <v>177</v>
      </c>
      <c r="AE84" s="314" t="s">
        <v>843</v>
      </c>
      <c r="AF84" s="437"/>
      <c r="AG84" s="437"/>
      <c r="AH84" s="437"/>
      <c r="AI84" s="437"/>
      <c r="AJ84" s="437"/>
      <c r="AK84" s="437"/>
      <c r="AL84" s="500"/>
    </row>
    <row r="85" spans="1:40" s="501" customFormat="1" ht="17.25" customHeight="1">
      <c r="A85" s="498"/>
      <c r="B85" s="437"/>
      <c r="C85" s="495" t="s">
        <v>844</v>
      </c>
      <c r="D85" s="297"/>
      <c r="E85" s="297"/>
      <c r="F85" s="297"/>
      <c r="G85" s="297"/>
      <c r="H85" s="297"/>
      <c r="I85" s="297"/>
      <c r="J85" s="297"/>
      <c r="K85" s="297"/>
      <c r="L85" s="297"/>
      <c r="M85" s="297"/>
      <c r="N85" s="297"/>
      <c r="O85" s="297"/>
      <c r="P85" s="297"/>
      <c r="Q85" s="297"/>
      <c r="R85" s="297"/>
      <c r="S85" s="297"/>
      <c r="T85" s="297" t="s">
        <v>845</v>
      </c>
      <c r="U85" s="499"/>
      <c r="V85" s="297"/>
      <c r="W85" s="297"/>
      <c r="X85" s="297"/>
      <c r="Y85" s="297"/>
      <c r="Z85" s="297" t="s">
        <v>846</v>
      </c>
      <c r="AA85" s="297"/>
      <c r="AB85" s="297"/>
      <c r="AC85" s="297"/>
      <c r="AD85" s="297"/>
      <c r="AE85" s="297" t="s">
        <v>847</v>
      </c>
      <c r="AF85" s="499"/>
      <c r="AG85" s="437"/>
      <c r="AH85" s="437"/>
      <c r="AI85" s="437"/>
      <c r="AJ85" s="437"/>
      <c r="AK85" s="437"/>
      <c r="AL85" s="500"/>
    </row>
    <row r="86" spans="1:40" s="501" customFormat="1" ht="17.25" customHeight="1">
      <c r="A86" s="498"/>
      <c r="B86" s="421" t="s">
        <v>177</v>
      </c>
      <c r="C86" s="314" t="s">
        <v>848</v>
      </c>
      <c r="D86" s="437"/>
      <c r="E86" s="437"/>
      <c r="F86" s="499"/>
      <c r="G86" s="421" t="s">
        <v>177</v>
      </c>
      <c r="H86" s="314" t="s">
        <v>849</v>
      </c>
      <c r="I86" s="437"/>
      <c r="J86" s="437"/>
      <c r="K86" s="499"/>
      <c r="L86" s="499"/>
      <c r="M86" s="437"/>
      <c r="N86" s="421" t="s">
        <v>177</v>
      </c>
      <c r="O86" s="314" t="s">
        <v>850</v>
      </c>
      <c r="P86" s="499"/>
      <c r="Q86" s="437"/>
      <c r="R86" s="437"/>
      <c r="S86" s="421" t="s">
        <v>177</v>
      </c>
      <c r="T86" s="314" t="s">
        <v>851</v>
      </c>
      <c r="U86" s="437"/>
      <c r="V86" s="437"/>
      <c r="W86" s="437"/>
      <c r="X86" s="499"/>
      <c r="Y86" s="421" t="s">
        <v>177</v>
      </c>
      <c r="Z86" s="314" t="s">
        <v>852</v>
      </c>
      <c r="AA86" s="499"/>
      <c r="AB86" s="437"/>
      <c r="AC86" s="437"/>
      <c r="AD86" s="499"/>
      <c r="AE86" s="499"/>
      <c r="AF86" s="437"/>
      <c r="AG86" s="437"/>
      <c r="AH86" s="437"/>
      <c r="AI86" s="437"/>
      <c r="AJ86" s="437"/>
      <c r="AK86" s="437"/>
      <c r="AL86" s="500"/>
    </row>
    <row r="87" spans="1:40" s="501" customFormat="1" ht="17.25" customHeight="1">
      <c r="A87" s="498"/>
      <c r="B87" s="437"/>
      <c r="C87" s="297" t="s">
        <v>853</v>
      </c>
      <c r="D87" s="297"/>
      <c r="E87" s="297"/>
      <c r="F87" s="297"/>
      <c r="G87" s="297"/>
      <c r="H87" s="297" t="s">
        <v>854</v>
      </c>
      <c r="I87" s="499"/>
      <c r="J87" s="297"/>
      <c r="K87" s="297"/>
      <c r="L87" s="297"/>
      <c r="M87" s="297"/>
      <c r="N87" s="297"/>
      <c r="O87" s="297" t="s">
        <v>855</v>
      </c>
      <c r="P87" s="297"/>
      <c r="Q87" s="297"/>
      <c r="R87" s="297"/>
      <c r="S87" s="297"/>
      <c r="T87" s="297" t="s">
        <v>856</v>
      </c>
      <c r="U87" s="499"/>
      <c r="V87" s="297"/>
      <c r="W87" s="297"/>
      <c r="X87" s="297"/>
      <c r="Y87" s="297"/>
      <c r="Z87" s="297" t="s">
        <v>857</v>
      </c>
      <c r="AA87" s="297"/>
      <c r="AB87" s="437"/>
      <c r="AC87" s="437"/>
      <c r="AD87" s="437"/>
      <c r="AE87" s="437"/>
      <c r="AF87" s="437"/>
      <c r="AG87" s="437"/>
      <c r="AH87" s="437"/>
      <c r="AI87" s="437"/>
      <c r="AJ87" s="437"/>
      <c r="AK87" s="437"/>
      <c r="AL87" s="500"/>
    </row>
    <row r="88" spans="1:40" s="501" customFormat="1" ht="17.25" customHeight="1">
      <c r="A88" s="498"/>
      <c r="B88" s="421" t="s">
        <v>177</v>
      </c>
      <c r="C88" s="314" t="s">
        <v>858</v>
      </c>
      <c r="D88" s="437"/>
      <c r="E88" s="437"/>
      <c r="F88" s="437"/>
      <c r="G88" s="437"/>
      <c r="H88" s="437"/>
      <c r="I88" s="1389"/>
      <c r="J88" s="1389"/>
      <c r="K88" s="1389"/>
      <c r="L88" s="1389"/>
      <c r="M88" s="1389"/>
      <c r="N88" s="503" t="s">
        <v>10</v>
      </c>
      <c r="O88" s="437"/>
      <c r="P88" s="421" t="s">
        <v>177</v>
      </c>
      <c r="Q88" s="314" t="s">
        <v>859</v>
      </c>
      <c r="R88" s="437"/>
      <c r="S88" s="437"/>
      <c r="T88" s="437"/>
      <c r="U88" s="437"/>
      <c r="V88" s="437"/>
      <c r="W88" s="437"/>
      <c r="X88" s="421" t="s">
        <v>177</v>
      </c>
      <c r="Y88" s="314" t="s">
        <v>644</v>
      </c>
      <c r="Z88" s="437"/>
      <c r="AA88" s="437"/>
      <c r="AB88" s="1389"/>
      <c r="AC88" s="1389"/>
      <c r="AD88" s="1389"/>
      <c r="AE88" s="1389"/>
      <c r="AF88" s="1389"/>
      <c r="AG88" s="1389"/>
      <c r="AH88" s="314" t="s">
        <v>10</v>
      </c>
      <c r="AI88" s="437"/>
      <c r="AJ88" s="437"/>
      <c r="AK88" s="437"/>
      <c r="AL88" s="500"/>
    </row>
    <row r="89" spans="1:40" s="422" customFormat="1" ht="17.25" customHeight="1">
      <c r="A89" s="462"/>
      <c r="B89" s="459"/>
      <c r="C89" s="495" t="s">
        <v>860</v>
      </c>
      <c r="D89" s="297"/>
      <c r="E89" s="297"/>
      <c r="F89" s="297"/>
      <c r="G89" s="297"/>
      <c r="H89" s="297"/>
      <c r="I89" s="297"/>
      <c r="J89" s="297"/>
      <c r="K89" s="297"/>
      <c r="L89" s="297"/>
      <c r="M89" s="297"/>
      <c r="N89" s="297"/>
      <c r="O89" s="297"/>
      <c r="P89" s="297"/>
      <c r="Q89" s="475" t="s">
        <v>861</v>
      </c>
      <c r="R89" s="297"/>
      <c r="S89" s="297"/>
      <c r="T89" s="297"/>
      <c r="U89" s="297"/>
      <c r="V89" s="297"/>
      <c r="W89" s="297"/>
      <c r="X89" s="297"/>
      <c r="Y89" s="297" t="s">
        <v>729</v>
      </c>
      <c r="Z89" s="297"/>
      <c r="AA89" s="297"/>
      <c r="AB89" s="459"/>
      <c r="AC89" s="459"/>
      <c r="AD89" s="459"/>
      <c r="AE89" s="459"/>
      <c r="AF89" s="459"/>
      <c r="AG89" s="459"/>
      <c r="AH89" s="459"/>
      <c r="AI89" s="459"/>
      <c r="AJ89" s="459"/>
      <c r="AK89" s="459"/>
      <c r="AL89" s="461"/>
      <c r="AM89" s="459"/>
      <c r="AN89" s="459"/>
    </row>
    <row r="90" spans="1:40" s="422" customFormat="1" ht="3" customHeight="1">
      <c r="A90" s="462"/>
      <c r="B90" s="459"/>
      <c r="C90" s="297"/>
      <c r="D90" s="297"/>
      <c r="E90" s="297"/>
      <c r="F90" s="297"/>
      <c r="G90" s="297"/>
      <c r="H90" s="297"/>
      <c r="I90" s="297"/>
      <c r="J90" s="297"/>
      <c r="K90" s="297"/>
      <c r="L90" s="297"/>
      <c r="M90" s="297"/>
      <c r="N90" s="297"/>
      <c r="O90" s="297"/>
      <c r="P90" s="297"/>
      <c r="Q90" s="297"/>
      <c r="R90" s="297"/>
      <c r="S90" s="297"/>
      <c r="T90" s="297"/>
      <c r="U90" s="297"/>
      <c r="V90" s="297"/>
      <c r="W90" s="297"/>
      <c r="X90" s="297"/>
      <c r="Y90" s="297"/>
      <c r="Z90" s="297"/>
      <c r="AA90" s="297"/>
      <c r="AB90" s="459"/>
      <c r="AC90" s="459"/>
      <c r="AD90" s="459"/>
      <c r="AE90" s="459"/>
      <c r="AF90" s="459"/>
      <c r="AG90" s="459"/>
      <c r="AH90" s="459"/>
      <c r="AI90" s="459"/>
      <c r="AJ90" s="459"/>
      <c r="AK90" s="459"/>
      <c r="AL90" s="461"/>
      <c r="AM90" s="459"/>
      <c r="AN90" s="459"/>
    </row>
    <row r="91" spans="1:40" s="422" customFormat="1" ht="14.25" customHeight="1">
      <c r="A91" s="300" t="s">
        <v>862</v>
      </c>
      <c r="B91" s="459"/>
      <c r="C91" s="459"/>
      <c r="D91" s="459"/>
      <c r="E91" s="459"/>
      <c r="F91" s="459"/>
      <c r="G91" s="459"/>
      <c r="H91" s="459"/>
      <c r="I91" s="459"/>
      <c r="J91" s="459"/>
      <c r="K91" s="459"/>
      <c r="L91" s="459"/>
      <c r="M91" s="459"/>
      <c r="N91" s="459"/>
      <c r="O91" s="459"/>
      <c r="P91" s="459"/>
      <c r="Q91" s="459"/>
      <c r="R91" s="459"/>
      <c r="S91" s="459"/>
      <c r="T91" s="459"/>
      <c r="U91" s="459"/>
      <c r="V91" s="459"/>
      <c r="W91" s="459"/>
      <c r="X91" s="459"/>
      <c r="Y91" s="459"/>
      <c r="Z91" s="459"/>
      <c r="AA91" s="459"/>
      <c r="AB91" s="459"/>
      <c r="AC91" s="459"/>
      <c r="AD91" s="459"/>
      <c r="AE91" s="459"/>
      <c r="AF91" s="459"/>
      <c r="AG91" s="459"/>
      <c r="AH91" s="459"/>
      <c r="AI91" s="459"/>
      <c r="AJ91" s="459"/>
      <c r="AK91" s="459"/>
      <c r="AL91" s="461"/>
      <c r="AM91" s="459"/>
    </row>
    <row r="92" spans="1:40" s="422" customFormat="1" ht="14.25" customHeight="1">
      <c r="A92" s="462"/>
      <c r="B92" s="326" t="s">
        <v>863</v>
      </c>
      <c r="C92" s="459"/>
      <c r="D92" s="459"/>
      <c r="E92" s="459"/>
      <c r="F92" s="459"/>
      <c r="G92" s="459"/>
      <c r="H92" s="459"/>
      <c r="I92" s="459"/>
      <c r="J92" s="459"/>
      <c r="K92" s="459"/>
      <c r="L92" s="459"/>
      <c r="M92" s="459"/>
      <c r="N92" s="459"/>
      <c r="O92" s="459"/>
      <c r="P92" s="459"/>
      <c r="Q92" s="459"/>
      <c r="R92" s="459"/>
      <c r="S92" s="459"/>
      <c r="T92" s="459"/>
      <c r="U92" s="459"/>
      <c r="V92" s="459"/>
      <c r="W92" s="459"/>
      <c r="X92" s="459"/>
      <c r="Y92" s="459"/>
      <c r="Z92" s="459"/>
      <c r="AA92" s="459"/>
      <c r="AB92" s="459"/>
      <c r="AC92" s="459"/>
      <c r="AD92" s="459"/>
      <c r="AE92" s="459"/>
      <c r="AF92" s="459"/>
      <c r="AG92" s="459"/>
      <c r="AH92" s="459"/>
      <c r="AI92" s="459"/>
      <c r="AJ92" s="459"/>
      <c r="AK92" s="459"/>
      <c r="AL92" s="461"/>
      <c r="AM92" s="459"/>
    </row>
    <row r="93" spans="1:40" s="422" customFormat="1" ht="14.25" customHeight="1">
      <c r="A93" s="462"/>
      <c r="B93" s="421" t="s">
        <v>177</v>
      </c>
      <c r="C93" s="298" t="s">
        <v>864</v>
      </c>
      <c r="D93" s="459"/>
      <c r="E93" s="459"/>
      <c r="F93" s="459"/>
      <c r="G93" s="421" t="s">
        <v>177</v>
      </c>
      <c r="H93" s="298" t="s">
        <v>865</v>
      </c>
      <c r="I93" s="459"/>
      <c r="J93" s="459"/>
      <c r="K93" s="459"/>
      <c r="L93" s="421" t="s">
        <v>177</v>
      </c>
      <c r="M93" s="298" t="s">
        <v>866</v>
      </c>
      <c r="N93" s="459"/>
      <c r="O93" s="459"/>
      <c r="P93" s="459"/>
      <c r="Q93" s="459"/>
      <c r="R93" s="459"/>
      <c r="S93" s="459"/>
      <c r="T93" s="459"/>
      <c r="U93" s="421" t="s">
        <v>177</v>
      </c>
      <c r="V93" s="298" t="s">
        <v>867</v>
      </c>
      <c r="W93" s="459"/>
      <c r="X93" s="459"/>
      <c r="Y93" s="459"/>
      <c r="Z93" s="459"/>
      <c r="AA93" s="459"/>
      <c r="AB93" s="459"/>
      <c r="AC93" s="421" t="s">
        <v>177</v>
      </c>
      <c r="AD93" s="298" t="s">
        <v>868</v>
      </c>
      <c r="AE93" s="459"/>
      <c r="AF93" s="459"/>
      <c r="AG93" s="459"/>
      <c r="AH93" s="459"/>
      <c r="AI93" s="459"/>
      <c r="AJ93" s="459"/>
      <c r="AK93" s="459"/>
      <c r="AL93" s="461"/>
      <c r="AM93" s="459"/>
    </row>
    <row r="94" spans="1:40" s="422" customFormat="1" ht="14.25" customHeight="1">
      <c r="A94" s="462"/>
      <c r="B94" s="459"/>
      <c r="C94" s="297" t="s">
        <v>215</v>
      </c>
      <c r="D94" s="297"/>
      <c r="E94" s="297"/>
      <c r="F94" s="297"/>
      <c r="G94" s="459"/>
      <c r="H94" s="297" t="s">
        <v>853</v>
      </c>
      <c r="I94" s="297"/>
      <c r="J94" s="297"/>
      <c r="K94" s="459"/>
      <c r="L94" s="297"/>
      <c r="M94" s="297" t="s">
        <v>869</v>
      </c>
      <c r="N94" s="297"/>
      <c r="O94" s="297"/>
      <c r="P94" s="297"/>
      <c r="Q94" s="297"/>
      <c r="R94" s="297"/>
      <c r="S94" s="459"/>
      <c r="T94" s="297"/>
      <c r="U94" s="459"/>
      <c r="V94" s="297" t="s">
        <v>870</v>
      </c>
      <c r="W94" s="297"/>
      <c r="X94" s="297"/>
      <c r="Y94" s="297"/>
      <c r="Z94" s="297"/>
      <c r="AA94" s="459"/>
      <c r="AB94" s="459"/>
      <c r="AC94" s="459"/>
      <c r="AD94" s="297" t="s">
        <v>871</v>
      </c>
      <c r="AE94" s="459"/>
      <c r="AF94" s="459"/>
      <c r="AG94" s="459"/>
      <c r="AH94" s="459"/>
      <c r="AI94" s="459"/>
      <c r="AJ94" s="459"/>
      <c r="AK94" s="459"/>
      <c r="AL94" s="461"/>
      <c r="AM94" s="459"/>
    </row>
    <row r="95" spans="1:40" s="422" customFormat="1" ht="14.25" customHeight="1">
      <c r="A95" s="462"/>
      <c r="B95" s="421" t="s">
        <v>177</v>
      </c>
      <c r="C95" s="298" t="s">
        <v>872</v>
      </c>
      <c r="D95" s="459"/>
      <c r="E95" s="459"/>
      <c r="F95" s="459"/>
      <c r="G95" s="459"/>
      <c r="H95" s="459"/>
      <c r="I95" s="459"/>
      <c r="J95" s="459"/>
      <c r="K95" s="421" t="s">
        <v>177</v>
      </c>
      <c r="L95" s="298" t="s">
        <v>873</v>
      </c>
      <c r="M95" s="459"/>
      <c r="N95" s="459"/>
      <c r="O95" s="459"/>
      <c r="P95" s="459"/>
      <c r="Q95" s="459"/>
      <c r="R95" s="459"/>
      <c r="S95" s="459"/>
      <c r="T95" s="421" t="s">
        <v>177</v>
      </c>
      <c r="U95" s="298" t="s">
        <v>874</v>
      </c>
      <c r="V95" s="459"/>
      <c r="W95" s="459"/>
      <c r="X95" s="459"/>
      <c r="Y95" s="459"/>
      <c r="Z95" s="421" t="s">
        <v>177</v>
      </c>
      <c r="AA95" s="298" t="s">
        <v>644</v>
      </c>
      <c r="AB95" s="459"/>
      <c r="AC95" s="459"/>
      <c r="AD95" s="1389"/>
      <c r="AE95" s="1389"/>
      <c r="AF95" s="1389"/>
      <c r="AG95" s="1389"/>
      <c r="AH95" s="1389"/>
      <c r="AI95" s="1389"/>
      <c r="AJ95" s="1389"/>
      <c r="AK95" s="298" t="s">
        <v>10</v>
      </c>
      <c r="AL95" s="461"/>
      <c r="AM95" s="459"/>
    </row>
    <row r="96" spans="1:40" s="422" customFormat="1" ht="14.25" customHeight="1">
      <c r="A96" s="462"/>
      <c r="C96" s="297" t="s">
        <v>875</v>
      </c>
      <c r="D96" s="297"/>
      <c r="E96" s="297"/>
      <c r="F96" s="297"/>
      <c r="G96" s="297"/>
      <c r="H96" s="297"/>
      <c r="I96" s="297"/>
      <c r="J96" s="297"/>
      <c r="L96" s="297" t="s">
        <v>876</v>
      </c>
      <c r="M96" s="459"/>
      <c r="N96" s="297"/>
      <c r="O96" s="297"/>
      <c r="P96" s="297"/>
      <c r="Q96" s="297"/>
      <c r="R96" s="297"/>
      <c r="S96" s="459"/>
      <c r="U96" s="297" t="s">
        <v>877</v>
      </c>
      <c r="V96" s="459"/>
      <c r="W96" s="297"/>
      <c r="X96" s="297"/>
      <c r="Y96" s="297"/>
      <c r="Z96" s="297"/>
      <c r="AA96" s="297" t="s">
        <v>729</v>
      </c>
      <c r="AB96" s="459"/>
      <c r="AC96" s="459"/>
      <c r="AD96" s="459"/>
      <c r="AE96" s="459"/>
      <c r="AF96" s="459"/>
      <c r="AG96" s="459"/>
      <c r="AH96" s="459"/>
      <c r="AI96" s="459"/>
      <c r="AJ96" s="459"/>
      <c r="AK96" s="459"/>
      <c r="AL96" s="461"/>
      <c r="AM96" s="459"/>
    </row>
    <row r="97" spans="1:39" s="422" customFormat="1" ht="3" customHeight="1">
      <c r="A97" s="462"/>
      <c r="B97" s="297"/>
      <c r="C97" s="459"/>
      <c r="D97" s="297"/>
      <c r="E97" s="297"/>
      <c r="F97" s="297"/>
      <c r="G97" s="297"/>
      <c r="H97" s="297"/>
      <c r="I97" s="297"/>
      <c r="J97" s="297"/>
      <c r="K97" s="297"/>
      <c r="L97" s="459"/>
      <c r="M97" s="459"/>
      <c r="N97" s="297"/>
      <c r="O97" s="297"/>
      <c r="P97" s="297"/>
      <c r="Q97" s="297"/>
      <c r="R97" s="297"/>
      <c r="S97" s="459"/>
      <c r="T97" s="297"/>
      <c r="U97" s="459"/>
      <c r="V97" s="459"/>
      <c r="W97" s="297"/>
      <c r="X97" s="297"/>
      <c r="Y97" s="297"/>
      <c r="Z97" s="297"/>
      <c r="AA97" s="297"/>
      <c r="AB97" s="459"/>
      <c r="AC97" s="459"/>
      <c r="AD97" s="459"/>
      <c r="AE97" s="459"/>
      <c r="AF97" s="459"/>
      <c r="AG97" s="459"/>
      <c r="AH97" s="459"/>
      <c r="AI97" s="459"/>
      <c r="AJ97" s="459"/>
      <c r="AK97" s="459"/>
      <c r="AL97" s="461"/>
      <c r="AM97" s="459"/>
    </row>
    <row r="98" spans="1:39" s="459" customFormat="1" ht="14.25" customHeight="1">
      <c r="A98" s="300" t="s">
        <v>878</v>
      </c>
      <c r="I98" s="473"/>
      <c r="J98" s="473"/>
      <c r="K98" s="473"/>
      <c r="L98" s="1433">
        <f>初期設定!O5</f>
        <v>1.5</v>
      </c>
      <c r="M98" s="1434"/>
      <c r="N98" s="1434"/>
      <c r="O98" s="1434"/>
      <c r="P98" s="1434"/>
      <c r="Q98" s="298" t="s">
        <v>4</v>
      </c>
      <c r="AL98" s="461"/>
    </row>
    <row r="99" spans="1:39" s="459" customFormat="1" ht="14.25" customHeight="1">
      <c r="A99" s="462"/>
      <c r="B99" s="297" t="s">
        <v>879</v>
      </c>
      <c r="C99" s="297"/>
      <c r="D99" s="297"/>
      <c r="E99" s="297"/>
      <c r="F99" s="297"/>
      <c r="G99" s="297"/>
      <c r="H99" s="297"/>
      <c r="I99" s="475"/>
      <c r="J99" s="475"/>
      <c r="K99" s="475"/>
      <c r="L99" s="1435"/>
      <c r="M99" s="1435"/>
      <c r="N99" s="1435"/>
      <c r="O99" s="1435"/>
      <c r="P99" s="1435"/>
      <c r="Q99" s="297" t="s">
        <v>880</v>
      </c>
      <c r="S99" s="297"/>
      <c r="T99" s="297"/>
      <c r="AL99" s="461"/>
    </row>
    <row r="100" spans="1:39" s="459" customFormat="1" ht="14.25" customHeight="1">
      <c r="A100" s="462"/>
      <c r="B100" s="297"/>
      <c r="C100" s="297"/>
      <c r="D100" s="297"/>
      <c r="E100" s="297"/>
      <c r="F100" s="297"/>
      <c r="G100" s="297"/>
      <c r="H100" s="297"/>
      <c r="I100" s="297"/>
      <c r="J100" s="297"/>
      <c r="K100" s="297"/>
      <c r="L100" s="297"/>
      <c r="M100" s="297"/>
      <c r="N100" s="297"/>
      <c r="O100" s="297"/>
      <c r="P100" s="297"/>
      <c r="Q100" s="297"/>
      <c r="R100" s="297"/>
      <c r="S100" s="297"/>
      <c r="T100" s="297"/>
      <c r="AL100" s="461"/>
    </row>
    <row r="101" spans="1:39" s="505" customFormat="1" ht="15" customHeight="1">
      <c r="A101" s="498"/>
      <c r="B101" s="504" t="s">
        <v>682</v>
      </c>
      <c r="C101" s="437"/>
      <c r="D101" s="437"/>
      <c r="E101" s="437"/>
      <c r="F101" s="437"/>
      <c r="G101" s="437"/>
      <c r="H101" s="437"/>
      <c r="I101" s="437"/>
      <c r="J101" s="437"/>
      <c r="K101" s="437"/>
      <c r="L101" s="437"/>
      <c r="M101" s="437"/>
      <c r="N101" s="437"/>
      <c r="O101" s="437"/>
      <c r="P101" s="437"/>
      <c r="Q101" s="437"/>
      <c r="R101" s="437"/>
      <c r="S101" s="297" t="s">
        <v>881</v>
      </c>
      <c r="T101" s="297"/>
      <c r="U101" s="437"/>
      <c r="V101" s="437"/>
      <c r="W101" s="437"/>
      <c r="X101" s="437"/>
      <c r="Y101" s="437"/>
      <c r="Z101" s="437"/>
      <c r="AA101" s="437"/>
      <c r="AB101" s="437"/>
      <c r="AC101" s="437"/>
      <c r="AD101" s="437"/>
      <c r="AE101" s="437"/>
      <c r="AF101" s="437"/>
      <c r="AG101" s="437"/>
      <c r="AH101" s="437"/>
      <c r="AK101" s="437"/>
      <c r="AL101" s="500"/>
    </row>
    <row r="102" spans="1:39" s="505" customFormat="1" ht="15" customHeight="1">
      <c r="A102" s="498"/>
      <c r="B102" s="504" t="s">
        <v>882</v>
      </c>
      <c r="C102" s="437"/>
      <c r="D102" s="437"/>
      <c r="E102" s="437"/>
      <c r="F102" s="437"/>
      <c r="G102" s="437"/>
      <c r="H102" s="437"/>
      <c r="I102" s="437"/>
      <c r="J102" s="437"/>
      <c r="K102" s="437"/>
      <c r="L102" s="437"/>
      <c r="M102" s="437"/>
      <c r="N102" s="437"/>
      <c r="O102" s="437"/>
      <c r="P102" s="437"/>
      <c r="Q102" s="437"/>
      <c r="R102" s="437"/>
      <c r="S102" s="437"/>
      <c r="T102" s="437"/>
      <c r="U102" s="437"/>
      <c r="V102" s="437"/>
      <c r="W102" s="437"/>
      <c r="X102" s="437"/>
      <c r="Y102" s="437"/>
      <c r="Z102" s="437"/>
      <c r="AA102" s="437"/>
      <c r="AB102" s="437"/>
      <c r="AC102" s="437"/>
      <c r="AD102" s="437"/>
      <c r="AE102" s="437"/>
      <c r="AF102" s="437"/>
      <c r="AG102" s="437"/>
      <c r="AH102" s="437"/>
      <c r="AI102" s="437"/>
      <c r="AJ102" s="437"/>
      <c r="AK102" s="437"/>
      <c r="AL102" s="500"/>
    </row>
    <row r="103" spans="1:39" s="505" customFormat="1" ht="15" customHeight="1">
      <c r="A103" s="498"/>
      <c r="B103" s="424" t="s">
        <v>883</v>
      </c>
      <c r="C103" s="437"/>
      <c r="D103" s="437"/>
      <c r="E103" s="437"/>
      <c r="F103" s="437"/>
      <c r="G103" s="437"/>
      <c r="H103" s="437"/>
      <c r="I103" s="437"/>
      <c r="J103" s="437"/>
      <c r="K103" s="437"/>
      <c r="L103" s="437"/>
      <c r="M103" s="437"/>
      <c r="N103" s="437"/>
      <c r="O103" s="437"/>
      <c r="P103" s="437"/>
      <c r="Q103" s="437"/>
      <c r="R103" s="437"/>
      <c r="S103" s="437"/>
      <c r="T103" s="437"/>
      <c r="U103" s="437"/>
      <c r="V103" s="437"/>
      <c r="W103" s="437"/>
      <c r="X103" s="438"/>
      <c r="Y103" s="438"/>
      <c r="Z103" s="438"/>
      <c r="AA103" s="438"/>
      <c r="AB103" s="437"/>
      <c r="AC103" s="437"/>
      <c r="AD103" s="437"/>
      <c r="AE103" s="437"/>
      <c r="AF103" s="437"/>
      <c r="AG103" s="437"/>
      <c r="AH103" s="437"/>
      <c r="AI103" s="437"/>
      <c r="AJ103" s="437"/>
      <c r="AK103" s="437"/>
      <c r="AL103" s="500"/>
    </row>
    <row r="104" spans="1:39" s="505" customFormat="1" ht="15" customHeight="1">
      <c r="A104" s="506"/>
      <c r="B104" s="507"/>
      <c r="C104" s="508"/>
      <c r="D104" s="1389" t="s">
        <v>1276</v>
      </c>
      <c r="E104" s="1389"/>
      <c r="F104" s="1389"/>
      <c r="G104" s="1389"/>
      <c r="H104" s="1389"/>
      <c r="I104" s="1389"/>
      <c r="J104" s="1389"/>
      <c r="K104" s="1389"/>
      <c r="L104" s="1389"/>
      <c r="M104" s="1389"/>
      <c r="N104" s="1389"/>
      <c r="O104" s="1389"/>
      <c r="P104" s="1389"/>
      <c r="Q104" s="1389"/>
      <c r="R104" s="1389"/>
      <c r="S104" s="1389"/>
      <c r="T104" s="1389"/>
      <c r="U104" s="1389"/>
      <c r="V104" s="437"/>
      <c r="W104" s="509"/>
      <c r="X104" s="509" t="s">
        <v>884</v>
      </c>
      <c r="Y104" s="1437"/>
      <c r="Z104" s="1437"/>
      <c r="AA104" s="1437"/>
      <c r="AB104" s="1439" t="s">
        <v>4</v>
      </c>
      <c r="AC104" s="1439"/>
      <c r="AD104" s="1437"/>
      <c r="AE104" s="1437"/>
      <c r="AF104" s="1439" t="s">
        <v>34</v>
      </c>
      <c r="AG104" s="1439"/>
      <c r="AH104" s="1398"/>
      <c r="AI104" s="1398"/>
      <c r="AJ104" s="509" t="s">
        <v>6</v>
      </c>
      <c r="AK104" s="508"/>
      <c r="AL104" s="510"/>
    </row>
    <row r="105" spans="1:39" s="505" customFormat="1" ht="15" customHeight="1" thickBot="1">
      <c r="A105" s="506"/>
      <c r="B105" s="511"/>
      <c r="C105" s="511"/>
      <c r="D105" s="1436"/>
      <c r="E105" s="1436"/>
      <c r="F105" s="1436"/>
      <c r="G105" s="1436"/>
      <c r="H105" s="1436"/>
      <c r="I105" s="1436"/>
      <c r="J105" s="1436"/>
      <c r="K105" s="1436"/>
      <c r="L105" s="1436"/>
      <c r="M105" s="1436"/>
      <c r="N105" s="1436"/>
      <c r="O105" s="1436"/>
      <c r="P105" s="1436"/>
      <c r="Q105" s="1436"/>
      <c r="R105" s="1436"/>
      <c r="S105" s="1436"/>
      <c r="T105" s="1436"/>
      <c r="U105" s="1436"/>
      <c r="V105" s="512"/>
      <c r="W105" s="511"/>
      <c r="X105" s="513" t="s">
        <v>885</v>
      </c>
      <c r="Y105" s="1438"/>
      <c r="Z105" s="1438"/>
      <c r="AA105" s="1438"/>
      <c r="AB105" s="1431" t="s">
        <v>886</v>
      </c>
      <c r="AC105" s="1431"/>
      <c r="AD105" s="1438"/>
      <c r="AE105" s="1438"/>
      <c r="AF105" s="1431" t="s">
        <v>887</v>
      </c>
      <c r="AG105" s="1431"/>
      <c r="AH105" s="1430"/>
      <c r="AI105" s="1430"/>
      <c r="AJ105" s="511" t="s">
        <v>888</v>
      </c>
      <c r="AK105" s="514"/>
      <c r="AL105" s="510"/>
    </row>
    <row r="106" spans="1:39" s="505" customFormat="1" ht="6.75" customHeight="1" thickTop="1">
      <c r="A106" s="506"/>
      <c r="B106" s="515"/>
      <c r="C106" s="515"/>
      <c r="D106" s="397"/>
      <c r="E106" s="397"/>
      <c r="F106" s="397"/>
      <c r="G106" s="397"/>
      <c r="H106" s="397"/>
      <c r="I106" s="397"/>
      <c r="J106" s="397"/>
      <c r="K106" s="397"/>
      <c r="L106" s="397"/>
      <c r="M106" s="397"/>
      <c r="N106" s="397"/>
      <c r="O106" s="397"/>
      <c r="P106" s="397"/>
      <c r="Q106" s="397"/>
      <c r="R106" s="397"/>
      <c r="S106" s="397"/>
      <c r="T106" s="397"/>
      <c r="U106" s="397"/>
      <c r="V106" s="437"/>
      <c r="W106" s="515"/>
      <c r="X106" s="516"/>
      <c r="Y106" s="397"/>
      <c r="Z106" s="397"/>
      <c r="AA106" s="397"/>
      <c r="AB106" s="517"/>
      <c r="AC106" s="517"/>
      <c r="AD106" s="397"/>
      <c r="AE106" s="397"/>
      <c r="AF106" s="517"/>
      <c r="AG106" s="517"/>
      <c r="AH106" s="325"/>
      <c r="AI106" s="325"/>
      <c r="AJ106" s="515"/>
      <c r="AK106" s="508"/>
      <c r="AL106" s="510"/>
    </row>
    <row r="107" spans="1:39" s="505" customFormat="1" ht="15" customHeight="1">
      <c r="A107" s="506"/>
      <c r="B107" s="515"/>
      <c r="C107" s="518" t="s">
        <v>889</v>
      </c>
      <c r="D107" s="443"/>
      <c r="F107" s="445"/>
      <c r="G107" s="397"/>
      <c r="H107" s="397"/>
      <c r="I107" s="397"/>
      <c r="J107" s="397"/>
      <c r="K107" s="397"/>
      <c r="L107" s="397"/>
      <c r="M107" s="397"/>
      <c r="N107" s="397"/>
      <c r="O107" s="397"/>
      <c r="P107" s="397"/>
      <c r="Q107" s="397"/>
      <c r="R107" s="397"/>
      <c r="S107" s="397"/>
      <c r="T107" s="397"/>
      <c r="U107" s="397"/>
      <c r="V107" s="397"/>
      <c r="W107" s="397"/>
      <c r="X107" s="397"/>
      <c r="Y107" s="517"/>
      <c r="Z107" s="517"/>
      <c r="AA107" s="397"/>
      <c r="AB107" s="397"/>
      <c r="AC107" s="517"/>
      <c r="AD107" s="517"/>
      <c r="AE107" s="325"/>
      <c r="AF107" s="325"/>
      <c r="AG107" s="515"/>
      <c r="AH107" s="508"/>
      <c r="AI107" s="515"/>
      <c r="AJ107" s="516"/>
      <c r="AK107" s="516"/>
      <c r="AL107" s="510"/>
    </row>
    <row r="108" spans="1:39" s="505" customFormat="1" ht="15" customHeight="1">
      <c r="A108" s="506"/>
      <c r="B108" s="515"/>
      <c r="C108" s="519" t="s">
        <v>890</v>
      </c>
      <c r="E108" s="445"/>
      <c r="F108" s="445"/>
      <c r="G108" s="397"/>
      <c r="H108" s="397"/>
      <c r="I108" s="397"/>
      <c r="J108" s="397"/>
      <c r="K108" s="397"/>
      <c r="L108" s="397"/>
      <c r="M108" s="397"/>
      <c r="N108" s="397"/>
      <c r="O108" s="397"/>
      <c r="P108" s="397"/>
      <c r="Q108" s="397"/>
      <c r="R108" s="397"/>
      <c r="S108" s="397"/>
      <c r="T108" s="397"/>
      <c r="U108" s="397"/>
      <c r="V108" s="397"/>
      <c r="W108" s="397"/>
      <c r="X108" s="397"/>
      <c r="Y108" s="517"/>
      <c r="Z108" s="517"/>
      <c r="AA108" s="397"/>
      <c r="AB108" s="397"/>
      <c r="AC108" s="517"/>
      <c r="AD108" s="517"/>
      <c r="AE108" s="325"/>
      <c r="AF108" s="325"/>
      <c r="AG108" s="515"/>
      <c r="AH108" s="508"/>
      <c r="AI108" s="515"/>
      <c r="AJ108" s="516"/>
      <c r="AK108" s="516"/>
      <c r="AL108" s="510"/>
    </row>
    <row r="109" spans="1:39" s="505" customFormat="1" ht="15" customHeight="1">
      <c r="A109" s="506"/>
      <c r="B109" s="515"/>
      <c r="C109" s="426" t="s">
        <v>891</v>
      </c>
      <c r="D109" s="366"/>
      <c r="F109" s="426"/>
      <c r="G109" s="397"/>
      <c r="H109" s="397"/>
      <c r="I109" s="397"/>
      <c r="J109" s="397"/>
      <c r="K109" s="397"/>
      <c r="L109" s="397"/>
      <c r="M109" s="397"/>
      <c r="N109" s="397"/>
      <c r="O109" s="397"/>
      <c r="P109" s="397"/>
      <c r="Q109" s="397"/>
      <c r="R109" s="397"/>
      <c r="S109" s="397"/>
      <c r="T109" s="397"/>
      <c r="U109" s="397"/>
      <c r="V109" s="397"/>
      <c r="W109" s="397"/>
      <c r="X109" s="397"/>
      <c r="Y109" s="517"/>
      <c r="Z109" s="517"/>
      <c r="AA109" s="397"/>
      <c r="AB109" s="397"/>
      <c r="AC109" s="517"/>
      <c r="AD109" s="517"/>
      <c r="AE109" s="325"/>
      <c r="AF109" s="325"/>
      <c r="AG109" s="515"/>
      <c r="AH109" s="508"/>
      <c r="AI109" s="515"/>
      <c r="AJ109" s="516"/>
      <c r="AK109" s="516"/>
      <c r="AL109" s="510"/>
    </row>
    <row r="110" spans="1:39" s="505" customFormat="1" ht="15" customHeight="1">
      <c r="A110" s="506"/>
      <c r="B110" s="515"/>
      <c r="C110" s="426" t="s">
        <v>892</v>
      </c>
      <c r="D110" s="337"/>
      <c r="F110" s="337"/>
      <c r="G110" s="397"/>
      <c r="H110" s="397"/>
      <c r="I110" s="397"/>
      <c r="J110" s="397"/>
      <c r="K110" s="397"/>
      <c r="L110" s="397"/>
      <c r="M110" s="397"/>
      <c r="N110" s="397"/>
      <c r="O110" s="397"/>
      <c r="P110" s="397"/>
      <c r="Q110" s="397"/>
      <c r="R110" s="397"/>
      <c r="S110" s="397"/>
      <c r="T110" s="397"/>
      <c r="U110" s="397"/>
      <c r="V110" s="397"/>
      <c r="W110" s="397"/>
      <c r="X110" s="397"/>
      <c r="Y110" s="517"/>
      <c r="Z110" s="517"/>
      <c r="AA110" s="397"/>
      <c r="AB110" s="397"/>
      <c r="AC110" s="517"/>
      <c r="AD110" s="517"/>
      <c r="AE110" s="325"/>
      <c r="AF110" s="325"/>
      <c r="AG110" s="515"/>
      <c r="AH110" s="508"/>
      <c r="AI110" s="515"/>
      <c r="AJ110" s="516"/>
      <c r="AK110" s="516"/>
      <c r="AL110" s="510"/>
    </row>
    <row r="111" spans="1:39" s="524" customFormat="1" ht="6" customHeight="1">
      <c r="A111" s="520"/>
      <c r="B111" s="521"/>
      <c r="C111" s="521"/>
      <c r="D111" s="521"/>
      <c r="E111" s="521"/>
      <c r="F111" s="521"/>
      <c r="G111" s="521"/>
      <c r="H111" s="521"/>
      <c r="I111" s="521"/>
      <c r="J111" s="521"/>
      <c r="K111" s="521"/>
      <c r="L111" s="521"/>
      <c r="M111" s="521"/>
      <c r="N111" s="521"/>
      <c r="O111" s="521"/>
      <c r="P111" s="521"/>
      <c r="Q111" s="521"/>
      <c r="R111" s="521"/>
      <c r="S111" s="521"/>
      <c r="T111" s="521"/>
      <c r="U111" s="521"/>
      <c r="V111" s="521"/>
      <c r="W111" s="521"/>
      <c r="X111" s="521"/>
      <c r="Y111" s="521"/>
      <c r="Z111" s="521"/>
      <c r="AA111" s="521"/>
      <c r="AB111" s="521"/>
      <c r="AC111" s="521"/>
      <c r="AD111" s="521"/>
      <c r="AE111" s="521"/>
      <c r="AF111" s="521"/>
      <c r="AG111" s="521"/>
      <c r="AH111" s="521"/>
      <c r="AI111" s="521"/>
      <c r="AJ111" s="521"/>
      <c r="AK111" s="521"/>
      <c r="AL111" s="522"/>
      <c r="AM111" s="523"/>
    </row>
    <row r="112" spans="1:39" s="288" customFormat="1" ht="12" customHeight="1">
      <c r="A112" s="291"/>
      <c r="B112" s="292"/>
      <c r="C112" s="292"/>
      <c r="D112" s="292"/>
      <c r="E112" s="292"/>
      <c r="F112" s="292"/>
      <c r="G112" s="292"/>
      <c r="H112" s="292"/>
      <c r="I112" s="292"/>
      <c r="J112" s="292"/>
      <c r="K112" s="292"/>
      <c r="L112" s="292"/>
      <c r="M112" s="292"/>
      <c r="N112" s="292"/>
      <c r="O112" s="292"/>
      <c r="P112" s="292"/>
      <c r="Q112" s="292"/>
      <c r="R112" s="292"/>
      <c r="S112" s="292"/>
      <c r="T112" s="292"/>
      <c r="U112" s="292"/>
      <c r="V112" s="292"/>
      <c r="W112" s="292"/>
      <c r="X112" s="292"/>
      <c r="Y112" s="292"/>
      <c r="Z112" s="292"/>
      <c r="AA112" s="292"/>
      <c r="AB112" s="292"/>
      <c r="AC112" s="292"/>
      <c r="AD112" s="292"/>
      <c r="AE112" s="292"/>
      <c r="AF112" s="292"/>
      <c r="AG112" s="292"/>
      <c r="AH112" s="292"/>
      <c r="AI112" s="292"/>
      <c r="AJ112" s="292"/>
      <c r="AK112" s="292"/>
      <c r="AL112" s="294"/>
      <c r="AM112" s="311"/>
    </row>
    <row r="113" spans="1:39" s="288" customFormat="1" ht="12" customHeight="1">
      <c r="A113" s="310"/>
      <c r="B113" s="311"/>
      <c r="C113" s="311"/>
      <c r="D113" s="311"/>
      <c r="E113" s="311"/>
      <c r="F113" s="311"/>
      <c r="G113" s="311"/>
      <c r="H113" s="311"/>
      <c r="I113" s="311"/>
      <c r="J113" s="311"/>
      <c r="K113" s="311"/>
      <c r="L113" s="311"/>
      <c r="M113" s="311"/>
      <c r="N113" s="311"/>
      <c r="O113" s="311"/>
      <c r="P113" s="311"/>
      <c r="Q113" s="311"/>
      <c r="R113" s="311"/>
      <c r="S113" s="311"/>
      <c r="T113" s="311"/>
      <c r="U113" s="311"/>
      <c r="V113" s="311"/>
      <c r="W113" s="311"/>
      <c r="X113" s="311"/>
      <c r="Y113" s="311"/>
      <c r="Z113" s="311"/>
      <c r="AA113" s="311"/>
      <c r="AB113" s="311"/>
      <c r="AC113" s="311"/>
      <c r="AD113" s="311"/>
      <c r="AE113" s="311"/>
      <c r="AF113" s="311"/>
      <c r="AG113" s="311"/>
      <c r="AH113" s="311"/>
      <c r="AI113" s="311"/>
      <c r="AJ113" s="311"/>
      <c r="AK113" s="311"/>
      <c r="AL113" s="312"/>
      <c r="AM113" s="311"/>
    </row>
    <row r="114" spans="1:39" s="288" customFormat="1" ht="12" customHeight="1">
      <c r="A114" s="310"/>
      <c r="B114" s="311"/>
      <c r="C114" s="311"/>
      <c r="D114" s="311"/>
      <c r="E114" s="311"/>
      <c r="F114" s="311"/>
      <c r="G114" s="311"/>
      <c r="H114" s="311"/>
      <c r="I114" s="311"/>
      <c r="J114" s="311"/>
      <c r="K114" s="311"/>
      <c r="L114" s="311"/>
      <c r="M114" s="311"/>
      <c r="N114" s="311"/>
      <c r="O114" s="311"/>
      <c r="P114" s="311"/>
      <c r="Q114" s="311"/>
      <c r="R114" s="311"/>
      <c r="S114" s="311"/>
      <c r="T114" s="311"/>
      <c r="U114" s="311"/>
      <c r="V114" s="311"/>
      <c r="W114" s="311"/>
      <c r="X114" s="311"/>
      <c r="Y114" s="311"/>
      <c r="Z114" s="311"/>
      <c r="AA114" s="311"/>
      <c r="AB114" s="311"/>
      <c r="AC114" s="311"/>
      <c r="AD114" s="311"/>
      <c r="AE114" s="311"/>
      <c r="AF114" s="311"/>
      <c r="AG114" s="311"/>
      <c r="AH114" s="311"/>
      <c r="AI114" s="311"/>
      <c r="AJ114" s="311"/>
      <c r="AK114" s="311"/>
      <c r="AL114" s="312"/>
      <c r="AM114" s="311"/>
    </row>
    <row r="115" spans="1:39" s="288" customFormat="1" ht="12" customHeight="1">
      <c r="A115" s="310"/>
      <c r="B115" s="311"/>
      <c r="C115" s="311"/>
      <c r="D115" s="311"/>
      <c r="E115" s="311"/>
      <c r="F115" s="311"/>
      <c r="G115" s="311"/>
      <c r="H115" s="311"/>
      <c r="I115" s="311"/>
      <c r="J115" s="311"/>
      <c r="K115" s="311"/>
      <c r="L115" s="311"/>
      <c r="M115" s="311"/>
      <c r="N115" s="311"/>
      <c r="O115" s="311"/>
      <c r="P115" s="311"/>
      <c r="Q115" s="311"/>
      <c r="R115" s="311"/>
      <c r="S115" s="311"/>
      <c r="T115" s="311"/>
      <c r="U115" s="311"/>
      <c r="V115" s="311"/>
      <c r="W115" s="311"/>
      <c r="X115" s="311"/>
      <c r="Y115" s="311"/>
      <c r="Z115" s="311"/>
      <c r="AA115" s="311"/>
      <c r="AB115" s="311"/>
      <c r="AC115" s="311"/>
      <c r="AD115" s="311"/>
      <c r="AE115" s="311"/>
      <c r="AF115" s="311"/>
      <c r="AG115" s="311"/>
      <c r="AH115" s="311"/>
      <c r="AI115" s="311"/>
      <c r="AJ115" s="311"/>
      <c r="AK115" s="311"/>
      <c r="AL115" s="312"/>
      <c r="AM115" s="311"/>
    </row>
    <row r="116" spans="1:39" s="288" customFormat="1" ht="12" customHeight="1">
      <c r="A116" s="310"/>
      <c r="B116" s="311"/>
      <c r="C116" s="311"/>
      <c r="D116" s="311"/>
      <c r="E116" s="311"/>
      <c r="F116" s="311"/>
      <c r="G116" s="311"/>
      <c r="H116" s="311"/>
      <c r="I116" s="311"/>
      <c r="J116" s="311"/>
      <c r="K116" s="311"/>
      <c r="L116" s="311"/>
      <c r="M116" s="311"/>
      <c r="N116" s="311"/>
      <c r="O116" s="311"/>
      <c r="P116" s="311"/>
      <c r="Q116" s="311"/>
      <c r="R116" s="311"/>
      <c r="S116" s="311"/>
      <c r="T116" s="311"/>
      <c r="U116" s="311"/>
      <c r="V116" s="311"/>
      <c r="W116" s="311"/>
      <c r="X116" s="311"/>
      <c r="Y116" s="311"/>
      <c r="Z116" s="311"/>
      <c r="AA116" s="311"/>
      <c r="AB116" s="311"/>
      <c r="AC116" s="311"/>
      <c r="AD116" s="311"/>
      <c r="AE116" s="311"/>
      <c r="AF116" s="311"/>
      <c r="AG116" s="311"/>
      <c r="AH116" s="311"/>
      <c r="AI116" s="311"/>
      <c r="AJ116" s="311"/>
      <c r="AK116" s="311"/>
      <c r="AL116" s="312"/>
      <c r="AM116" s="311"/>
    </row>
    <row r="117" spans="1:39" s="288" customFormat="1" ht="12" customHeight="1">
      <c r="A117" s="310"/>
      <c r="B117" s="311"/>
      <c r="C117" s="311"/>
      <c r="D117" s="311"/>
      <c r="E117" s="311"/>
      <c r="F117" s="311"/>
      <c r="G117" s="311"/>
      <c r="H117" s="311"/>
      <c r="I117" s="311"/>
      <c r="J117" s="311"/>
      <c r="K117" s="311"/>
      <c r="L117" s="311"/>
      <c r="M117" s="311"/>
      <c r="N117" s="311"/>
      <c r="O117" s="311"/>
      <c r="P117" s="311"/>
      <c r="Q117" s="311"/>
      <c r="R117" s="311"/>
      <c r="S117" s="311"/>
      <c r="T117" s="311"/>
      <c r="U117" s="311"/>
      <c r="V117" s="311"/>
      <c r="W117" s="311"/>
      <c r="X117" s="311"/>
      <c r="Y117" s="311"/>
      <c r="Z117" s="311"/>
      <c r="AA117" s="311"/>
      <c r="AB117" s="311"/>
      <c r="AC117" s="311"/>
      <c r="AD117" s="311"/>
      <c r="AE117" s="311"/>
      <c r="AF117" s="311"/>
      <c r="AG117" s="311"/>
      <c r="AH117" s="311"/>
      <c r="AI117" s="311"/>
      <c r="AJ117" s="311"/>
      <c r="AK117" s="311"/>
      <c r="AL117" s="312"/>
      <c r="AM117" s="311"/>
    </row>
    <row r="118" spans="1:39" s="288" customFormat="1" ht="12" customHeight="1">
      <c r="A118" s="310"/>
      <c r="B118" s="311"/>
      <c r="C118" s="311"/>
      <c r="D118" s="311"/>
      <c r="E118" s="311"/>
      <c r="F118" s="311"/>
      <c r="G118" s="311"/>
      <c r="H118" s="311"/>
      <c r="I118" s="311"/>
      <c r="J118" s="311"/>
      <c r="K118" s="311"/>
      <c r="L118" s="311"/>
      <c r="M118" s="311"/>
      <c r="N118" s="311"/>
      <c r="O118" s="311"/>
      <c r="P118" s="311"/>
      <c r="Q118" s="311"/>
      <c r="R118" s="311"/>
      <c r="S118" s="311"/>
      <c r="T118" s="311"/>
      <c r="U118" s="311"/>
      <c r="V118" s="311"/>
      <c r="W118" s="311"/>
      <c r="X118" s="311"/>
      <c r="Y118" s="311"/>
      <c r="Z118" s="311"/>
      <c r="AA118" s="311"/>
      <c r="AB118" s="311"/>
      <c r="AC118" s="311"/>
      <c r="AD118" s="311"/>
      <c r="AE118" s="311"/>
      <c r="AF118" s="311"/>
      <c r="AG118" s="311"/>
      <c r="AH118" s="311"/>
      <c r="AI118" s="311"/>
      <c r="AJ118" s="311"/>
      <c r="AK118" s="311"/>
      <c r="AL118" s="312"/>
      <c r="AM118" s="311"/>
    </row>
    <row r="119" spans="1:39" s="288" customFormat="1" ht="12" customHeight="1">
      <c r="A119" s="310"/>
      <c r="B119" s="311"/>
      <c r="C119" s="311"/>
      <c r="D119" s="311"/>
      <c r="E119" s="311"/>
      <c r="F119" s="311"/>
      <c r="G119" s="311"/>
      <c r="H119" s="311"/>
      <c r="I119" s="311"/>
      <c r="J119" s="311"/>
      <c r="K119" s="311"/>
      <c r="L119" s="311"/>
      <c r="M119" s="311"/>
      <c r="N119" s="311"/>
      <c r="O119" s="311"/>
      <c r="P119" s="311"/>
      <c r="Q119" s="311"/>
      <c r="R119" s="311"/>
      <c r="S119" s="311"/>
      <c r="T119" s="311"/>
      <c r="U119" s="311"/>
      <c r="V119" s="311"/>
      <c r="W119" s="311"/>
      <c r="X119" s="311"/>
      <c r="Y119" s="311"/>
      <c r="Z119" s="311"/>
      <c r="AA119" s="311"/>
      <c r="AB119" s="311"/>
      <c r="AC119" s="311"/>
      <c r="AD119" s="311"/>
      <c r="AE119" s="311"/>
      <c r="AF119" s="311"/>
      <c r="AG119" s="311"/>
      <c r="AH119" s="311"/>
      <c r="AI119" s="311"/>
      <c r="AJ119" s="311"/>
      <c r="AK119" s="311"/>
      <c r="AL119" s="312"/>
      <c r="AM119" s="311"/>
    </row>
    <row r="120" spans="1:39" s="288" customFormat="1" ht="12" customHeight="1">
      <c r="A120" s="310"/>
      <c r="B120" s="311"/>
      <c r="C120" s="311"/>
      <c r="D120" s="311"/>
      <c r="E120" s="311"/>
      <c r="F120" s="311"/>
      <c r="G120" s="311"/>
      <c r="H120" s="311"/>
      <c r="I120" s="311"/>
      <c r="J120" s="311"/>
      <c r="K120" s="311"/>
      <c r="L120" s="311"/>
      <c r="M120" s="311"/>
      <c r="N120" s="311"/>
      <c r="O120" s="311"/>
      <c r="P120" s="311"/>
      <c r="Q120" s="311"/>
      <c r="R120" s="311"/>
      <c r="S120" s="311"/>
      <c r="T120" s="311"/>
      <c r="U120" s="311"/>
      <c r="V120" s="311"/>
      <c r="W120" s="311"/>
      <c r="X120" s="311"/>
      <c r="Y120" s="311"/>
      <c r="Z120" s="311"/>
      <c r="AA120" s="311"/>
      <c r="AB120" s="311"/>
      <c r="AC120" s="311"/>
      <c r="AD120" s="311"/>
      <c r="AE120" s="311"/>
      <c r="AF120" s="311"/>
      <c r="AG120" s="311"/>
      <c r="AH120" s="311"/>
      <c r="AI120" s="311"/>
      <c r="AJ120" s="311"/>
      <c r="AK120" s="311"/>
      <c r="AL120" s="312"/>
      <c r="AM120" s="311"/>
    </row>
    <row r="121" spans="1:39" s="288" customFormat="1" ht="12" customHeight="1">
      <c r="A121" s="310"/>
      <c r="B121" s="311"/>
      <c r="C121" s="311"/>
      <c r="D121" s="311"/>
      <c r="E121" s="311"/>
      <c r="F121" s="311"/>
      <c r="G121" s="311"/>
      <c r="H121" s="311"/>
      <c r="I121" s="311"/>
      <c r="J121" s="311"/>
      <c r="K121" s="311"/>
      <c r="L121" s="311"/>
      <c r="M121" s="311"/>
      <c r="N121" s="311"/>
      <c r="O121" s="311"/>
      <c r="P121" s="311"/>
      <c r="Q121" s="311"/>
      <c r="R121" s="311"/>
      <c r="S121" s="311"/>
      <c r="T121" s="311"/>
      <c r="U121" s="311"/>
      <c r="V121" s="311"/>
      <c r="W121" s="311"/>
      <c r="X121" s="311"/>
      <c r="Y121" s="311"/>
      <c r="Z121" s="311"/>
      <c r="AA121" s="311"/>
      <c r="AB121" s="311"/>
      <c r="AC121" s="311"/>
      <c r="AD121" s="311"/>
      <c r="AE121" s="311"/>
      <c r="AF121" s="311"/>
      <c r="AG121" s="311"/>
      <c r="AH121" s="311"/>
      <c r="AI121" s="311"/>
      <c r="AJ121" s="311"/>
      <c r="AK121" s="311"/>
      <c r="AL121" s="312"/>
      <c r="AM121" s="311"/>
    </row>
    <row r="122" spans="1:39" s="288" customFormat="1" ht="12" customHeight="1">
      <c r="A122" s="310"/>
      <c r="B122" s="311"/>
      <c r="C122" s="311"/>
      <c r="D122" s="311"/>
      <c r="E122" s="311"/>
      <c r="F122" s="311"/>
      <c r="G122" s="311"/>
      <c r="H122" s="311"/>
      <c r="I122" s="311"/>
      <c r="J122" s="311"/>
      <c r="K122" s="311"/>
      <c r="L122" s="311"/>
      <c r="M122" s="311"/>
      <c r="N122" s="311"/>
      <c r="O122" s="311"/>
      <c r="P122" s="311"/>
      <c r="Q122" s="311"/>
      <c r="R122" s="311"/>
      <c r="S122" s="311"/>
      <c r="T122" s="311"/>
      <c r="U122" s="311"/>
      <c r="V122" s="311"/>
      <c r="W122" s="311"/>
      <c r="X122" s="311"/>
      <c r="Y122" s="311"/>
      <c r="Z122" s="311"/>
      <c r="AA122" s="311"/>
      <c r="AB122" s="311"/>
      <c r="AC122" s="311"/>
      <c r="AD122" s="311"/>
      <c r="AE122" s="311"/>
      <c r="AF122" s="311"/>
      <c r="AG122" s="311"/>
      <c r="AH122" s="311"/>
      <c r="AI122" s="311"/>
      <c r="AJ122" s="311"/>
      <c r="AK122" s="311"/>
      <c r="AL122" s="312"/>
      <c r="AM122" s="311"/>
    </row>
    <row r="123" spans="1:39" s="288" customFormat="1" ht="12" customHeight="1">
      <c r="A123" s="310"/>
      <c r="B123" s="311"/>
      <c r="C123" s="311"/>
      <c r="D123" s="311"/>
      <c r="E123" s="311"/>
      <c r="F123" s="311"/>
      <c r="G123" s="311"/>
      <c r="H123" s="311"/>
      <c r="I123" s="311"/>
      <c r="J123" s="311"/>
      <c r="K123" s="311"/>
      <c r="L123" s="311"/>
      <c r="M123" s="311"/>
      <c r="N123" s="311"/>
      <c r="O123" s="311"/>
      <c r="P123" s="311"/>
      <c r="Q123" s="311"/>
      <c r="R123" s="311"/>
      <c r="S123" s="311"/>
      <c r="T123" s="311"/>
      <c r="U123" s="311"/>
      <c r="V123" s="311"/>
      <c r="W123" s="311"/>
      <c r="X123" s="311"/>
      <c r="Y123" s="311"/>
      <c r="Z123" s="311"/>
      <c r="AA123" s="311"/>
      <c r="AB123" s="311"/>
      <c r="AC123" s="311"/>
      <c r="AD123" s="311"/>
      <c r="AE123" s="311"/>
      <c r="AF123" s="311"/>
      <c r="AG123" s="311"/>
      <c r="AH123" s="311"/>
      <c r="AI123" s="311"/>
      <c r="AJ123" s="311"/>
      <c r="AK123" s="311"/>
      <c r="AL123" s="312"/>
      <c r="AM123" s="311"/>
    </row>
    <row r="124" spans="1:39" s="288" customFormat="1" ht="12" customHeight="1">
      <c r="A124" s="310"/>
      <c r="B124" s="311"/>
      <c r="C124" s="311"/>
      <c r="D124" s="311"/>
      <c r="E124" s="311"/>
      <c r="F124" s="311"/>
      <c r="G124" s="311"/>
      <c r="H124" s="311"/>
      <c r="I124" s="311"/>
      <c r="J124" s="311"/>
      <c r="K124" s="311"/>
      <c r="L124" s="311"/>
      <c r="M124" s="311"/>
      <c r="N124" s="311"/>
      <c r="O124" s="311"/>
      <c r="P124" s="311"/>
      <c r="Q124" s="311"/>
      <c r="R124" s="311"/>
      <c r="S124" s="311"/>
      <c r="T124" s="311"/>
      <c r="U124" s="311"/>
      <c r="V124" s="311"/>
      <c r="W124" s="311"/>
      <c r="X124" s="311"/>
      <c r="Y124" s="311"/>
      <c r="Z124" s="311"/>
      <c r="AA124" s="311"/>
      <c r="AB124" s="311"/>
      <c r="AC124" s="311"/>
      <c r="AD124" s="311"/>
      <c r="AE124" s="311"/>
      <c r="AF124" s="311"/>
      <c r="AG124" s="311"/>
      <c r="AH124" s="311"/>
      <c r="AI124" s="311"/>
      <c r="AJ124" s="311"/>
      <c r="AK124" s="311"/>
      <c r="AL124" s="312"/>
      <c r="AM124" s="311"/>
    </row>
    <row r="125" spans="1:39" s="288" customFormat="1" ht="12" customHeight="1">
      <c r="A125" s="310"/>
      <c r="B125" s="311"/>
      <c r="C125" s="311"/>
      <c r="D125" s="311"/>
      <c r="E125" s="311"/>
      <c r="F125" s="311"/>
      <c r="G125" s="311"/>
      <c r="H125" s="311"/>
      <c r="I125" s="311"/>
      <c r="J125" s="311"/>
      <c r="K125" s="311"/>
      <c r="L125" s="311"/>
      <c r="M125" s="311"/>
      <c r="N125" s="311"/>
      <c r="O125" s="311"/>
      <c r="P125" s="311"/>
      <c r="Q125" s="311"/>
      <c r="R125" s="311"/>
      <c r="S125" s="311"/>
      <c r="T125" s="311"/>
      <c r="U125" s="311"/>
      <c r="V125" s="311"/>
      <c r="W125" s="311"/>
      <c r="X125" s="311"/>
      <c r="Y125" s="311"/>
      <c r="Z125" s="311"/>
      <c r="AA125" s="311"/>
      <c r="AB125" s="311"/>
      <c r="AC125" s="311"/>
      <c r="AD125" s="311"/>
      <c r="AE125" s="311"/>
      <c r="AF125" s="311"/>
      <c r="AG125" s="311"/>
      <c r="AH125" s="311"/>
      <c r="AI125" s="311"/>
      <c r="AJ125" s="311"/>
      <c r="AK125" s="311"/>
      <c r="AL125" s="312"/>
      <c r="AM125" s="311"/>
    </row>
    <row r="126" spans="1:39" s="288" customFormat="1" ht="12" customHeight="1">
      <c r="A126" s="310"/>
      <c r="B126" s="311"/>
      <c r="C126" s="311"/>
      <c r="D126" s="311"/>
      <c r="E126" s="311"/>
      <c r="F126" s="311"/>
      <c r="G126" s="311"/>
      <c r="H126" s="311"/>
      <c r="I126" s="311"/>
      <c r="J126" s="311"/>
      <c r="K126" s="311"/>
      <c r="L126" s="311"/>
      <c r="M126" s="311"/>
      <c r="N126" s="311"/>
      <c r="O126" s="311"/>
      <c r="P126" s="311"/>
      <c r="Q126" s="311"/>
      <c r="R126" s="311"/>
      <c r="S126" s="311"/>
      <c r="T126" s="311"/>
      <c r="U126" s="311"/>
      <c r="V126" s="311"/>
      <c r="W126" s="311"/>
      <c r="X126" s="311"/>
      <c r="Y126" s="311"/>
      <c r="Z126" s="311"/>
      <c r="AA126" s="311"/>
      <c r="AB126" s="311"/>
      <c r="AC126" s="311"/>
      <c r="AD126" s="311"/>
      <c r="AE126" s="311"/>
      <c r="AF126" s="311"/>
      <c r="AG126" s="311"/>
      <c r="AH126" s="311"/>
      <c r="AI126" s="311"/>
      <c r="AJ126" s="311"/>
      <c r="AK126" s="311"/>
      <c r="AL126" s="312"/>
      <c r="AM126" s="311"/>
    </row>
    <row r="127" spans="1:39" s="288" customFormat="1" ht="12" customHeight="1">
      <c r="A127" s="310"/>
      <c r="B127" s="311"/>
      <c r="C127" s="311"/>
      <c r="D127" s="311"/>
      <c r="E127" s="311"/>
      <c r="F127" s="311"/>
      <c r="G127" s="311"/>
      <c r="H127" s="311"/>
      <c r="I127" s="311"/>
      <c r="J127" s="311"/>
      <c r="K127" s="311"/>
      <c r="L127" s="311"/>
      <c r="M127" s="311"/>
      <c r="N127" s="311"/>
      <c r="O127" s="311"/>
      <c r="P127" s="311"/>
      <c r="Q127" s="311"/>
      <c r="R127" s="311"/>
      <c r="S127" s="311"/>
      <c r="T127" s="311"/>
      <c r="U127" s="311"/>
      <c r="V127" s="311"/>
      <c r="W127" s="311"/>
      <c r="X127" s="311"/>
      <c r="Y127" s="311"/>
      <c r="Z127" s="311"/>
      <c r="AA127" s="311"/>
      <c r="AB127" s="311"/>
      <c r="AC127" s="311"/>
      <c r="AD127" s="311"/>
      <c r="AE127" s="311"/>
      <c r="AF127" s="311"/>
      <c r="AG127" s="311"/>
      <c r="AH127" s="311"/>
      <c r="AI127" s="311"/>
      <c r="AJ127" s="311"/>
      <c r="AK127" s="311"/>
      <c r="AL127" s="312"/>
      <c r="AM127" s="311"/>
    </row>
    <row r="128" spans="1:39" s="288" customFormat="1" ht="12" customHeight="1">
      <c r="A128" s="310"/>
      <c r="B128" s="311"/>
      <c r="C128" s="311"/>
      <c r="D128" s="311"/>
      <c r="E128" s="311"/>
      <c r="F128" s="311"/>
      <c r="G128" s="311"/>
      <c r="H128" s="311"/>
      <c r="I128" s="311"/>
      <c r="J128" s="311"/>
      <c r="K128" s="311"/>
      <c r="L128" s="311"/>
      <c r="M128" s="311"/>
      <c r="N128" s="311"/>
      <c r="O128" s="311"/>
      <c r="P128" s="311"/>
      <c r="Q128" s="311"/>
      <c r="R128" s="311"/>
      <c r="S128" s="311"/>
      <c r="T128" s="311"/>
      <c r="U128" s="311"/>
      <c r="V128" s="311"/>
      <c r="W128" s="311"/>
      <c r="X128" s="311"/>
      <c r="Y128" s="311"/>
      <c r="Z128" s="311"/>
      <c r="AA128" s="311"/>
      <c r="AB128" s="311"/>
      <c r="AC128" s="311"/>
      <c r="AD128" s="311"/>
      <c r="AE128" s="311"/>
      <c r="AF128" s="311"/>
      <c r="AG128" s="311"/>
      <c r="AH128" s="311"/>
      <c r="AI128" s="311"/>
      <c r="AJ128" s="311"/>
      <c r="AK128" s="311"/>
      <c r="AL128" s="312"/>
      <c r="AM128" s="311"/>
    </row>
    <row r="129" spans="1:39" s="288" customFormat="1" ht="12" customHeight="1">
      <c r="A129" s="310"/>
      <c r="B129" s="311"/>
      <c r="C129" s="311"/>
      <c r="D129" s="311"/>
      <c r="E129" s="311"/>
      <c r="F129" s="311"/>
      <c r="G129" s="311"/>
      <c r="H129" s="311"/>
      <c r="I129" s="311"/>
      <c r="J129" s="311"/>
      <c r="K129" s="311"/>
      <c r="L129" s="311"/>
      <c r="M129" s="311"/>
      <c r="N129" s="311"/>
      <c r="O129" s="311"/>
      <c r="P129" s="311"/>
      <c r="Q129" s="311"/>
      <c r="R129" s="311"/>
      <c r="S129" s="311"/>
      <c r="T129" s="311"/>
      <c r="U129" s="311"/>
      <c r="V129" s="311"/>
      <c r="W129" s="311"/>
      <c r="X129" s="311"/>
      <c r="Y129" s="311"/>
      <c r="Z129" s="311"/>
      <c r="AA129" s="311"/>
      <c r="AB129" s="311"/>
      <c r="AC129" s="311"/>
      <c r="AD129" s="311"/>
      <c r="AE129" s="311"/>
      <c r="AF129" s="311"/>
      <c r="AG129" s="311"/>
      <c r="AH129" s="311"/>
      <c r="AI129" s="311"/>
      <c r="AJ129" s="311"/>
      <c r="AK129" s="311"/>
      <c r="AL129" s="312"/>
      <c r="AM129" s="311"/>
    </row>
    <row r="130" spans="1:39" s="288" customFormat="1" ht="12" customHeight="1">
      <c r="A130" s="310"/>
      <c r="B130" s="311"/>
      <c r="C130" s="311"/>
      <c r="D130" s="311"/>
      <c r="E130" s="311"/>
      <c r="F130" s="311"/>
      <c r="G130" s="311"/>
      <c r="H130" s="311"/>
      <c r="I130" s="311"/>
      <c r="J130" s="311"/>
      <c r="K130" s="311"/>
      <c r="L130" s="311"/>
      <c r="M130" s="311"/>
      <c r="N130" s="311"/>
      <c r="O130" s="311"/>
      <c r="P130" s="311"/>
      <c r="Q130" s="311"/>
      <c r="R130" s="311"/>
      <c r="S130" s="311"/>
      <c r="T130" s="311"/>
      <c r="U130" s="311"/>
      <c r="V130" s="311"/>
      <c r="W130" s="311"/>
      <c r="X130" s="311"/>
      <c r="Y130" s="311"/>
      <c r="Z130" s="311"/>
      <c r="AA130" s="311"/>
      <c r="AB130" s="311"/>
      <c r="AC130" s="311"/>
      <c r="AD130" s="311"/>
      <c r="AE130" s="311"/>
      <c r="AF130" s="311"/>
      <c r="AG130" s="311"/>
      <c r="AH130" s="311"/>
      <c r="AI130" s="311"/>
      <c r="AJ130" s="311"/>
      <c r="AK130" s="311"/>
      <c r="AL130" s="312"/>
      <c r="AM130" s="311"/>
    </row>
    <row r="131" spans="1:39" s="288" customFormat="1" ht="12" customHeight="1">
      <c r="A131" s="310"/>
      <c r="B131" s="311"/>
      <c r="C131" s="311"/>
      <c r="D131" s="311"/>
      <c r="E131" s="311"/>
      <c r="F131" s="311"/>
      <c r="G131" s="311"/>
      <c r="H131" s="311"/>
      <c r="I131" s="311"/>
      <c r="J131" s="311"/>
      <c r="K131" s="311"/>
      <c r="L131" s="311"/>
      <c r="M131" s="311"/>
      <c r="N131" s="311"/>
      <c r="O131" s="311"/>
      <c r="P131" s="311"/>
      <c r="Q131" s="311"/>
      <c r="R131" s="311"/>
      <c r="S131" s="311"/>
      <c r="T131" s="311"/>
      <c r="U131" s="311"/>
      <c r="V131" s="311"/>
      <c r="W131" s="311"/>
      <c r="X131" s="311"/>
      <c r="Y131" s="311"/>
      <c r="Z131" s="311"/>
      <c r="AA131" s="311"/>
      <c r="AB131" s="311"/>
      <c r="AC131" s="311"/>
      <c r="AD131" s="311"/>
      <c r="AE131" s="311"/>
      <c r="AF131" s="311"/>
      <c r="AG131" s="311"/>
      <c r="AH131" s="311"/>
      <c r="AI131" s="311"/>
      <c r="AJ131" s="311"/>
      <c r="AK131" s="311"/>
      <c r="AL131" s="312"/>
      <c r="AM131" s="311"/>
    </row>
    <row r="132" spans="1:39" s="288" customFormat="1" ht="12" customHeight="1">
      <c r="A132" s="310"/>
      <c r="B132" s="311"/>
      <c r="C132" s="311"/>
      <c r="D132" s="311"/>
      <c r="E132" s="311"/>
      <c r="F132" s="311"/>
      <c r="G132" s="311"/>
      <c r="H132" s="311"/>
      <c r="I132" s="311"/>
      <c r="J132" s="311"/>
      <c r="K132" s="311"/>
      <c r="L132" s="311"/>
      <c r="M132" s="311"/>
      <c r="N132" s="311"/>
      <c r="O132" s="311"/>
      <c r="P132" s="311"/>
      <c r="Q132" s="311"/>
      <c r="R132" s="311"/>
      <c r="S132" s="311"/>
      <c r="T132" s="311"/>
      <c r="U132" s="311"/>
      <c r="V132" s="311"/>
      <c r="W132" s="311"/>
      <c r="X132" s="311"/>
      <c r="Y132" s="311"/>
      <c r="Z132" s="311"/>
      <c r="AA132" s="311"/>
      <c r="AB132" s="311"/>
      <c r="AC132" s="311"/>
      <c r="AD132" s="311"/>
      <c r="AE132" s="311"/>
      <c r="AF132" s="311"/>
      <c r="AG132" s="311"/>
      <c r="AH132" s="311"/>
      <c r="AI132" s="311"/>
      <c r="AJ132" s="311"/>
      <c r="AK132" s="311"/>
      <c r="AL132" s="312"/>
      <c r="AM132" s="311"/>
    </row>
    <row r="133" spans="1:39" s="288" customFormat="1" ht="12" customHeight="1">
      <c r="A133" s="310"/>
      <c r="B133" s="311"/>
      <c r="C133" s="311"/>
      <c r="D133" s="311"/>
      <c r="E133" s="311"/>
      <c r="F133" s="311"/>
      <c r="G133" s="311"/>
      <c r="H133" s="311"/>
      <c r="I133" s="311"/>
      <c r="J133" s="311"/>
      <c r="K133" s="311"/>
      <c r="L133" s="311"/>
      <c r="M133" s="311"/>
      <c r="N133" s="311"/>
      <c r="O133" s="311"/>
      <c r="P133" s="311"/>
      <c r="Q133" s="311"/>
      <c r="R133" s="311"/>
      <c r="S133" s="311"/>
      <c r="T133" s="311"/>
      <c r="U133" s="311"/>
      <c r="V133" s="311"/>
      <c r="W133" s="311"/>
      <c r="X133" s="311"/>
      <c r="Y133" s="311"/>
      <c r="Z133" s="311"/>
      <c r="AA133" s="311"/>
      <c r="AB133" s="311"/>
      <c r="AC133" s="311"/>
      <c r="AD133" s="311"/>
      <c r="AE133" s="311"/>
      <c r="AF133" s="311"/>
      <c r="AG133" s="311"/>
      <c r="AH133" s="311"/>
      <c r="AI133" s="311"/>
      <c r="AJ133" s="311"/>
      <c r="AK133" s="311"/>
      <c r="AL133" s="312"/>
      <c r="AM133" s="311"/>
    </row>
    <row r="134" spans="1:39" s="288" customFormat="1" ht="12" customHeight="1">
      <c r="A134" s="310"/>
      <c r="B134" s="311"/>
      <c r="C134" s="311"/>
      <c r="D134" s="311"/>
      <c r="E134" s="311"/>
      <c r="F134" s="311"/>
      <c r="G134" s="311"/>
      <c r="H134" s="311"/>
      <c r="I134" s="311"/>
      <c r="J134" s="311"/>
      <c r="K134" s="311"/>
      <c r="L134" s="311"/>
      <c r="M134" s="311"/>
      <c r="N134" s="311"/>
      <c r="O134" s="311"/>
      <c r="P134" s="311"/>
      <c r="Q134" s="311"/>
      <c r="R134" s="311"/>
      <c r="S134" s="311"/>
      <c r="T134" s="311"/>
      <c r="U134" s="311"/>
      <c r="V134" s="311"/>
      <c r="W134" s="311"/>
      <c r="X134" s="311"/>
      <c r="Y134" s="311"/>
      <c r="Z134" s="311"/>
      <c r="AA134" s="311"/>
      <c r="AB134" s="311"/>
      <c r="AC134" s="311"/>
      <c r="AD134" s="311"/>
      <c r="AE134" s="311"/>
      <c r="AF134" s="311"/>
      <c r="AG134" s="311"/>
      <c r="AH134" s="311"/>
      <c r="AI134" s="311"/>
      <c r="AJ134" s="311"/>
      <c r="AK134" s="311"/>
      <c r="AL134" s="312"/>
      <c r="AM134" s="311"/>
    </row>
    <row r="135" spans="1:39" s="288" customFormat="1" ht="12" customHeight="1">
      <c r="A135" s="310"/>
      <c r="B135" s="311"/>
      <c r="C135" s="311"/>
      <c r="D135" s="311"/>
      <c r="E135" s="311"/>
      <c r="F135" s="311"/>
      <c r="G135" s="311"/>
      <c r="H135" s="311"/>
      <c r="I135" s="311"/>
      <c r="J135" s="311"/>
      <c r="K135" s="311"/>
      <c r="L135" s="311"/>
      <c r="M135" s="311"/>
      <c r="N135" s="311"/>
      <c r="O135" s="311"/>
      <c r="P135" s="311"/>
      <c r="Q135" s="311"/>
      <c r="R135" s="311"/>
      <c r="S135" s="311"/>
      <c r="T135" s="311"/>
      <c r="U135" s="311"/>
      <c r="V135" s="311"/>
      <c r="W135" s="311"/>
      <c r="X135" s="311"/>
      <c r="Y135" s="311"/>
      <c r="Z135" s="311"/>
      <c r="AA135" s="311"/>
      <c r="AB135" s="311"/>
      <c r="AC135" s="311"/>
      <c r="AD135" s="311"/>
      <c r="AE135" s="311"/>
      <c r="AF135" s="311"/>
      <c r="AG135" s="311"/>
      <c r="AH135" s="311"/>
      <c r="AI135" s="311"/>
      <c r="AJ135" s="311"/>
      <c r="AK135" s="311"/>
      <c r="AL135" s="312"/>
      <c r="AM135" s="311"/>
    </row>
    <row r="136" spans="1:39" s="288" customFormat="1" ht="12" customHeight="1">
      <c r="A136" s="310"/>
      <c r="B136" s="311"/>
      <c r="C136" s="311"/>
      <c r="D136" s="311"/>
      <c r="E136" s="311"/>
      <c r="F136" s="311"/>
      <c r="G136" s="311"/>
      <c r="H136" s="311"/>
      <c r="I136" s="311"/>
      <c r="J136" s="311"/>
      <c r="K136" s="311"/>
      <c r="L136" s="311"/>
      <c r="M136" s="311"/>
      <c r="N136" s="311"/>
      <c r="O136" s="311"/>
      <c r="P136" s="311"/>
      <c r="Q136" s="311"/>
      <c r="R136" s="311"/>
      <c r="S136" s="311"/>
      <c r="T136" s="311"/>
      <c r="U136" s="311"/>
      <c r="V136" s="311"/>
      <c r="W136" s="311"/>
      <c r="X136" s="311"/>
      <c r="Y136" s="311"/>
      <c r="Z136" s="311"/>
      <c r="AA136" s="311"/>
      <c r="AB136" s="311"/>
      <c r="AC136" s="311"/>
      <c r="AD136" s="311"/>
      <c r="AE136" s="311"/>
      <c r="AF136" s="311"/>
      <c r="AG136" s="311"/>
      <c r="AH136" s="311"/>
      <c r="AI136" s="311"/>
      <c r="AJ136" s="311"/>
      <c r="AK136" s="311"/>
      <c r="AL136" s="312"/>
      <c r="AM136" s="311"/>
    </row>
    <row r="137" spans="1:39" s="288" customFormat="1" ht="12" customHeight="1">
      <c r="A137" s="310"/>
      <c r="B137" s="311"/>
      <c r="C137" s="311"/>
      <c r="D137" s="311"/>
      <c r="E137" s="311"/>
      <c r="F137" s="311"/>
      <c r="G137" s="311"/>
      <c r="H137" s="311"/>
      <c r="I137" s="311"/>
      <c r="J137" s="311"/>
      <c r="K137" s="311"/>
      <c r="L137" s="311"/>
      <c r="M137" s="311"/>
      <c r="N137" s="311"/>
      <c r="O137" s="311"/>
      <c r="P137" s="311"/>
      <c r="Q137" s="311"/>
      <c r="R137" s="311"/>
      <c r="S137" s="311"/>
      <c r="T137" s="311"/>
      <c r="U137" s="311"/>
      <c r="V137" s="311"/>
      <c r="W137" s="311"/>
      <c r="X137" s="311"/>
      <c r="Y137" s="311"/>
      <c r="Z137" s="311"/>
      <c r="AA137" s="311"/>
      <c r="AB137" s="311"/>
      <c r="AC137" s="311"/>
      <c r="AD137" s="311"/>
      <c r="AE137" s="311"/>
      <c r="AF137" s="311"/>
      <c r="AG137" s="311"/>
      <c r="AH137" s="311"/>
      <c r="AI137" s="311"/>
      <c r="AJ137" s="311"/>
      <c r="AK137" s="311"/>
      <c r="AL137" s="312"/>
      <c r="AM137" s="311"/>
    </row>
    <row r="138" spans="1:39" s="288" customFormat="1" ht="12" customHeight="1">
      <c r="A138" s="310"/>
      <c r="B138" s="311"/>
      <c r="C138" s="311"/>
      <c r="D138" s="311"/>
      <c r="E138" s="311"/>
      <c r="F138" s="311"/>
      <c r="G138" s="311"/>
      <c r="H138" s="311"/>
      <c r="I138" s="311"/>
      <c r="J138" s="311"/>
      <c r="K138" s="311"/>
      <c r="L138" s="311"/>
      <c r="M138" s="311"/>
      <c r="N138" s="311"/>
      <c r="O138" s="311"/>
      <c r="P138" s="311"/>
      <c r="Q138" s="311"/>
      <c r="R138" s="311"/>
      <c r="S138" s="311"/>
      <c r="T138" s="311"/>
      <c r="U138" s="311"/>
      <c r="V138" s="311"/>
      <c r="W138" s="311"/>
      <c r="X138" s="311"/>
      <c r="Y138" s="311"/>
      <c r="Z138" s="311"/>
      <c r="AA138" s="311"/>
      <c r="AB138" s="311"/>
      <c r="AC138" s="311"/>
      <c r="AD138" s="311"/>
      <c r="AE138" s="311"/>
      <c r="AF138" s="311"/>
      <c r="AG138" s="311"/>
      <c r="AH138" s="311"/>
      <c r="AI138" s="311"/>
      <c r="AJ138" s="311"/>
      <c r="AK138" s="311"/>
      <c r="AL138" s="312"/>
      <c r="AM138" s="311"/>
    </row>
    <row r="139" spans="1:39" s="288" customFormat="1" ht="12" customHeight="1">
      <c r="A139" s="310"/>
      <c r="B139" s="311"/>
      <c r="C139" s="311"/>
      <c r="D139" s="311"/>
      <c r="E139" s="311"/>
      <c r="F139" s="311"/>
      <c r="G139" s="311"/>
      <c r="H139" s="311"/>
      <c r="I139" s="311"/>
      <c r="J139" s="311"/>
      <c r="K139" s="311"/>
      <c r="L139" s="311"/>
      <c r="M139" s="311"/>
      <c r="N139" s="311"/>
      <c r="O139" s="311"/>
      <c r="P139" s="311"/>
      <c r="Q139" s="311"/>
      <c r="R139" s="311"/>
      <c r="S139" s="311"/>
      <c r="T139" s="311"/>
      <c r="U139" s="311"/>
      <c r="V139" s="311"/>
      <c r="W139" s="311"/>
      <c r="X139" s="311"/>
      <c r="Y139" s="311"/>
      <c r="Z139" s="311"/>
      <c r="AA139" s="311"/>
      <c r="AB139" s="311"/>
      <c r="AC139" s="311"/>
      <c r="AD139" s="311"/>
      <c r="AE139" s="311"/>
      <c r="AF139" s="311"/>
      <c r="AG139" s="311"/>
      <c r="AH139" s="311"/>
      <c r="AI139" s="311"/>
      <c r="AJ139" s="311"/>
      <c r="AK139" s="311"/>
      <c r="AL139" s="312"/>
      <c r="AM139" s="311"/>
    </row>
    <row r="140" spans="1:39" s="288" customFormat="1" ht="12" customHeight="1">
      <c r="A140" s="310"/>
      <c r="B140" s="311"/>
      <c r="C140" s="311"/>
      <c r="D140" s="311"/>
      <c r="E140" s="311"/>
      <c r="F140" s="311"/>
      <c r="G140" s="311"/>
      <c r="H140" s="311"/>
      <c r="I140" s="311"/>
      <c r="J140" s="311"/>
      <c r="K140" s="311"/>
      <c r="L140" s="311"/>
      <c r="M140" s="311"/>
      <c r="N140" s="311"/>
      <c r="O140" s="311"/>
      <c r="P140" s="311"/>
      <c r="Q140" s="311"/>
      <c r="R140" s="311"/>
      <c r="S140" s="311"/>
      <c r="T140" s="311"/>
      <c r="U140" s="311"/>
      <c r="V140" s="311"/>
      <c r="W140" s="311"/>
      <c r="X140" s="311"/>
      <c r="Y140" s="311"/>
      <c r="Z140" s="311"/>
      <c r="AA140" s="311"/>
      <c r="AB140" s="311"/>
      <c r="AC140" s="311"/>
      <c r="AD140" s="311"/>
      <c r="AE140" s="311"/>
      <c r="AF140" s="311"/>
      <c r="AG140" s="311"/>
      <c r="AH140" s="311"/>
      <c r="AI140" s="311"/>
      <c r="AJ140" s="311"/>
      <c r="AK140" s="311"/>
      <c r="AL140" s="312"/>
      <c r="AM140" s="311"/>
    </row>
    <row r="141" spans="1:39" s="288" customFormat="1" ht="12" customHeight="1">
      <c r="A141" s="310"/>
      <c r="B141" s="311"/>
      <c r="C141" s="311"/>
      <c r="D141" s="311"/>
      <c r="E141" s="311"/>
      <c r="F141" s="311"/>
      <c r="G141" s="311"/>
      <c r="H141" s="311"/>
      <c r="I141" s="311"/>
      <c r="J141" s="311"/>
      <c r="K141" s="311"/>
      <c r="L141" s="311"/>
      <c r="M141" s="311"/>
      <c r="N141" s="311"/>
      <c r="O141" s="311"/>
      <c r="P141" s="311"/>
      <c r="Q141" s="311"/>
      <c r="R141" s="311"/>
      <c r="S141" s="311"/>
      <c r="T141" s="311"/>
      <c r="U141" s="311"/>
      <c r="V141" s="311"/>
      <c r="W141" s="311"/>
      <c r="X141" s="311"/>
      <c r="Y141" s="311"/>
      <c r="Z141" s="311"/>
      <c r="AA141" s="311"/>
      <c r="AB141" s="311"/>
      <c r="AC141" s="311"/>
      <c r="AD141" s="311"/>
      <c r="AE141" s="311"/>
      <c r="AF141" s="311"/>
      <c r="AG141" s="311"/>
      <c r="AH141" s="311"/>
      <c r="AI141" s="311"/>
      <c r="AJ141" s="311"/>
      <c r="AK141" s="311"/>
      <c r="AL141" s="312"/>
      <c r="AM141" s="311"/>
    </row>
    <row r="142" spans="1:39" s="288" customFormat="1" ht="12" customHeight="1">
      <c r="A142" s="310"/>
      <c r="B142" s="311"/>
      <c r="C142" s="311"/>
      <c r="D142" s="311"/>
      <c r="E142" s="311"/>
      <c r="F142" s="311"/>
      <c r="G142" s="311"/>
      <c r="H142" s="311"/>
      <c r="I142" s="311"/>
      <c r="J142" s="311"/>
      <c r="K142" s="311"/>
      <c r="L142" s="311"/>
      <c r="M142" s="311"/>
      <c r="N142" s="311"/>
      <c r="O142" s="311"/>
      <c r="P142" s="311"/>
      <c r="Q142" s="311"/>
      <c r="R142" s="311"/>
      <c r="S142" s="311"/>
      <c r="T142" s="311"/>
      <c r="U142" s="311"/>
      <c r="V142" s="311"/>
      <c r="W142" s="311"/>
      <c r="X142" s="311"/>
      <c r="Y142" s="311"/>
      <c r="Z142" s="311"/>
      <c r="AA142" s="311"/>
      <c r="AB142" s="311"/>
      <c r="AC142" s="311"/>
      <c r="AD142" s="311"/>
      <c r="AE142" s="311"/>
      <c r="AF142" s="311"/>
      <c r="AG142" s="311"/>
      <c r="AH142" s="311"/>
      <c r="AI142" s="311"/>
      <c r="AJ142" s="311"/>
      <c r="AK142" s="311"/>
      <c r="AL142" s="312"/>
      <c r="AM142" s="311"/>
    </row>
    <row r="143" spans="1:39" s="288" customFormat="1" ht="12" customHeight="1">
      <c r="A143" s="310"/>
      <c r="B143" s="311"/>
      <c r="C143" s="311"/>
      <c r="D143" s="311"/>
      <c r="E143" s="311"/>
      <c r="F143" s="311"/>
      <c r="G143" s="311"/>
      <c r="H143" s="311"/>
      <c r="I143" s="311"/>
      <c r="J143" s="311"/>
      <c r="K143" s="311"/>
      <c r="L143" s="311"/>
      <c r="M143" s="311"/>
      <c r="N143" s="311"/>
      <c r="O143" s="311"/>
      <c r="P143" s="311"/>
      <c r="Q143" s="311"/>
      <c r="R143" s="311"/>
      <c r="S143" s="311"/>
      <c r="T143" s="311"/>
      <c r="U143" s="311"/>
      <c r="V143" s="311"/>
      <c r="W143" s="311"/>
      <c r="X143" s="311"/>
      <c r="Y143" s="311"/>
      <c r="Z143" s="311"/>
      <c r="AA143" s="311"/>
      <c r="AB143" s="311"/>
      <c r="AC143" s="311"/>
      <c r="AD143" s="311"/>
      <c r="AE143" s="311"/>
      <c r="AF143" s="311"/>
      <c r="AG143" s="311"/>
      <c r="AH143" s="311"/>
      <c r="AI143" s="311"/>
      <c r="AJ143" s="311"/>
      <c r="AK143" s="311"/>
      <c r="AL143" s="312"/>
      <c r="AM143" s="311"/>
    </row>
    <row r="144" spans="1:39" s="288" customFormat="1" ht="12" customHeight="1">
      <c r="A144" s="310"/>
      <c r="B144" s="311"/>
      <c r="C144" s="311"/>
      <c r="D144" s="311"/>
      <c r="E144" s="311"/>
      <c r="F144" s="311"/>
      <c r="G144" s="311"/>
      <c r="H144" s="311"/>
      <c r="I144" s="311"/>
      <c r="J144" s="311"/>
      <c r="K144" s="311"/>
      <c r="L144" s="311"/>
      <c r="M144" s="311"/>
      <c r="N144" s="311"/>
      <c r="O144" s="311"/>
      <c r="P144" s="311"/>
      <c r="Q144" s="311"/>
      <c r="R144" s="311"/>
      <c r="S144" s="311"/>
      <c r="T144" s="311"/>
      <c r="U144" s="311"/>
      <c r="V144" s="311"/>
      <c r="W144" s="311"/>
      <c r="X144" s="311"/>
      <c r="Y144" s="311"/>
      <c r="Z144" s="311"/>
      <c r="AA144" s="311"/>
      <c r="AB144" s="311"/>
      <c r="AC144" s="311"/>
      <c r="AD144" s="311"/>
      <c r="AE144" s="311"/>
      <c r="AF144" s="311"/>
      <c r="AG144" s="311"/>
      <c r="AH144" s="311"/>
      <c r="AI144" s="311"/>
      <c r="AJ144" s="311"/>
      <c r="AK144" s="311"/>
      <c r="AL144" s="312"/>
      <c r="AM144" s="311"/>
    </row>
    <row r="145" spans="1:39" s="288" customFormat="1" ht="12" customHeight="1">
      <c r="A145" s="310"/>
      <c r="B145" s="311"/>
      <c r="C145" s="311"/>
      <c r="D145" s="311"/>
      <c r="E145" s="311"/>
      <c r="F145" s="311"/>
      <c r="G145" s="311"/>
      <c r="H145" s="311"/>
      <c r="I145" s="311"/>
      <c r="J145" s="311"/>
      <c r="K145" s="311"/>
      <c r="L145" s="311"/>
      <c r="M145" s="311"/>
      <c r="N145" s="311"/>
      <c r="O145" s="311"/>
      <c r="P145" s="311"/>
      <c r="Q145" s="311"/>
      <c r="R145" s="311"/>
      <c r="S145" s="311"/>
      <c r="T145" s="311"/>
      <c r="U145" s="311"/>
      <c r="V145" s="311"/>
      <c r="W145" s="311"/>
      <c r="X145" s="311"/>
      <c r="Y145" s="311"/>
      <c r="Z145" s="311"/>
      <c r="AA145" s="311"/>
      <c r="AB145" s="311"/>
      <c r="AC145" s="311"/>
      <c r="AD145" s="311"/>
      <c r="AE145" s="311"/>
      <c r="AF145" s="311"/>
      <c r="AG145" s="311"/>
      <c r="AH145" s="311"/>
      <c r="AI145" s="311"/>
      <c r="AJ145" s="311"/>
      <c r="AK145" s="311"/>
      <c r="AL145" s="312"/>
      <c r="AM145" s="311"/>
    </row>
    <row r="146" spans="1:39" s="288" customFormat="1" ht="12" customHeight="1">
      <c r="A146" s="525"/>
      <c r="B146" s="526"/>
      <c r="C146" s="526"/>
      <c r="D146" s="526"/>
      <c r="E146" s="526"/>
      <c r="F146" s="526"/>
      <c r="G146" s="526"/>
      <c r="H146" s="526"/>
      <c r="I146" s="526"/>
      <c r="J146" s="526"/>
      <c r="K146" s="526"/>
      <c r="L146" s="526"/>
      <c r="M146" s="526"/>
      <c r="N146" s="526"/>
      <c r="O146" s="526"/>
      <c r="P146" s="526"/>
      <c r="Q146" s="526"/>
      <c r="R146" s="526"/>
      <c r="S146" s="526"/>
      <c r="T146" s="526"/>
      <c r="U146" s="526"/>
      <c r="V146" s="526"/>
      <c r="W146" s="526"/>
      <c r="X146" s="526"/>
      <c r="Y146" s="526"/>
      <c r="Z146" s="526"/>
      <c r="AA146" s="526"/>
      <c r="AB146" s="526"/>
      <c r="AC146" s="526"/>
      <c r="AD146" s="526"/>
      <c r="AE146" s="526"/>
      <c r="AF146" s="526"/>
      <c r="AG146" s="526"/>
      <c r="AH146" s="526"/>
      <c r="AI146" s="526"/>
      <c r="AJ146" s="526"/>
      <c r="AK146" s="526"/>
      <c r="AL146" s="527"/>
      <c r="AM146" s="311"/>
    </row>
    <row r="147" spans="1:39" s="288" customFormat="1" ht="12" customHeight="1">
      <c r="AL147" s="311"/>
      <c r="AM147" s="311"/>
    </row>
    <row r="148" spans="1:39" s="288" customFormat="1" ht="12" customHeight="1">
      <c r="AL148" s="311"/>
      <c r="AM148" s="311"/>
    </row>
    <row r="149" spans="1:39" s="288" customFormat="1" ht="12" customHeight="1">
      <c r="AL149" s="311"/>
      <c r="AM149" s="311"/>
    </row>
    <row r="150" spans="1:39" s="288" customFormat="1" ht="12" customHeight="1">
      <c r="AL150" s="311"/>
      <c r="AM150" s="311"/>
    </row>
    <row r="151" spans="1:39" s="288" customFormat="1" ht="12" customHeight="1">
      <c r="AL151" s="311"/>
      <c r="AM151" s="311"/>
    </row>
    <row r="152" spans="1:39" s="288" customFormat="1" ht="12" customHeight="1">
      <c r="AL152" s="311"/>
      <c r="AM152" s="311"/>
    </row>
    <row r="153" spans="1:39" s="288" customFormat="1" ht="12" customHeight="1">
      <c r="AL153" s="311"/>
      <c r="AM153" s="311"/>
    </row>
    <row r="154" spans="1:39" s="288" customFormat="1" ht="12" customHeight="1">
      <c r="AL154" s="311"/>
      <c r="AM154" s="311"/>
    </row>
    <row r="155" spans="1:39" s="288" customFormat="1" ht="12" customHeight="1">
      <c r="AL155" s="311"/>
      <c r="AM155" s="311"/>
    </row>
    <row r="156" spans="1:39" s="288" customFormat="1" ht="12" customHeight="1">
      <c r="AL156" s="311"/>
      <c r="AM156" s="311"/>
    </row>
    <row r="157" spans="1:39" s="288" customFormat="1" ht="12" customHeight="1">
      <c r="AL157" s="311"/>
      <c r="AM157" s="311"/>
    </row>
    <row r="158" spans="1:39" s="288" customFormat="1" ht="12" customHeight="1">
      <c r="AL158" s="311"/>
      <c r="AM158" s="311"/>
    </row>
    <row r="159" spans="1:39" s="288" customFormat="1" ht="12" customHeight="1">
      <c r="AL159" s="311"/>
      <c r="AM159" s="311"/>
    </row>
    <row r="160" spans="1:39" s="288" customFormat="1" ht="12" customHeight="1">
      <c r="AL160" s="311"/>
      <c r="AM160" s="311"/>
    </row>
    <row r="161" spans="38:39" s="288" customFormat="1" ht="12" customHeight="1">
      <c r="AL161" s="311"/>
      <c r="AM161" s="311"/>
    </row>
    <row r="162" spans="38:39" s="288" customFormat="1" ht="12" customHeight="1">
      <c r="AL162" s="311"/>
      <c r="AM162" s="311"/>
    </row>
    <row r="163" spans="38:39" s="288" customFormat="1" ht="12" customHeight="1">
      <c r="AL163" s="311"/>
      <c r="AM163" s="311"/>
    </row>
    <row r="164" spans="38:39" s="288" customFormat="1" ht="12" customHeight="1">
      <c r="AL164" s="311"/>
      <c r="AM164" s="311"/>
    </row>
    <row r="165" spans="38:39" s="288" customFormat="1" ht="12" customHeight="1">
      <c r="AL165" s="311"/>
      <c r="AM165" s="311"/>
    </row>
    <row r="166" spans="38:39" s="288" customFormat="1" ht="12" customHeight="1">
      <c r="AL166" s="311"/>
      <c r="AM166" s="311"/>
    </row>
    <row r="167" spans="38:39" s="288" customFormat="1" ht="12" customHeight="1">
      <c r="AL167" s="311"/>
      <c r="AM167" s="311"/>
    </row>
    <row r="168" spans="38:39" s="288" customFormat="1" ht="12" customHeight="1">
      <c r="AL168" s="311"/>
      <c r="AM168" s="311"/>
    </row>
    <row r="169" spans="38:39" s="288" customFormat="1" ht="12" customHeight="1">
      <c r="AL169" s="311"/>
      <c r="AM169" s="311"/>
    </row>
    <row r="170" spans="38:39" s="288" customFormat="1" ht="12" customHeight="1">
      <c r="AL170" s="311"/>
      <c r="AM170" s="311"/>
    </row>
    <row r="171" spans="38:39" s="288" customFormat="1" ht="12" customHeight="1">
      <c r="AL171" s="311"/>
      <c r="AM171" s="311"/>
    </row>
    <row r="172" spans="38:39" s="288" customFormat="1" ht="12" customHeight="1">
      <c r="AL172" s="311"/>
      <c r="AM172" s="311"/>
    </row>
    <row r="173" spans="38:39" s="288" customFormat="1" ht="12" customHeight="1">
      <c r="AL173" s="311"/>
      <c r="AM173" s="311"/>
    </row>
    <row r="174" spans="38:39" s="288" customFormat="1" ht="12" customHeight="1">
      <c r="AL174" s="311"/>
      <c r="AM174" s="311"/>
    </row>
    <row r="175" spans="38:39" s="288" customFormat="1" ht="12" customHeight="1">
      <c r="AL175" s="311"/>
      <c r="AM175" s="311"/>
    </row>
    <row r="176" spans="38:39" s="288" customFormat="1" ht="12" customHeight="1">
      <c r="AL176" s="311"/>
      <c r="AM176" s="311"/>
    </row>
    <row r="177" spans="38:39" s="288" customFormat="1" ht="12" customHeight="1">
      <c r="AL177" s="311"/>
      <c r="AM177" s="311"/>
    </row>
    <row r="178" spans="38:39" s="288" customFormat="1" ht="12" customHeight="1">
      <c r="AL178" s="311"/>
      <c r="AM178" s="311"/>
    </row>
    <row r="179" spans="38:39" s="288" customFormat="1" ht="12" customHeight="1">
      <c r="AL179" s="311"/>
      <c r="AM179" s="311"/>
    </row>
    <row r="180" spans="38:39" s="288" customFormat="1" ht="12" customHeight="1">
      <c r="AL180" s="311"/>
      <c r="AM180" s="311"/>
    </row>
    <row r="181" spans="38:39" s="288" customFormat="1" ht="12" customHeight="1">
      <c r="AL181" s="311"/>
      <c r="AM181" s="311"/>
    </row>
    <row r="182" spans="38:39" s="288" customFormat="1" ht="12" customHeight="1">
      <c r="AL182" s="311"/>
      <c r="AM182" s="311"/>
    </row>
    <row r="183" spans="38:39" s="288" customFormat="1" ht="12" customHeight="1">
      <c r="AL183" s="311"/>
      <c r="AM183" s="311"/>
    </row>
    <row r="184" spans="38:39" s="288" customFormat="1" ht="12" customHeight="1">
      <c r="AL184" s="311"/>
      <c r="AM184" s="311"/>
    </row>
    <row r="185" spans="38:39" s="288" customFormat="1" ht="12" customHeight="1">
      <c r="AL185" s="311"/>
      <c r="AM185" s="311"/>
    </row>
    <row r="186" spans="38:39" s="288" customFormat="1" ht="12" customHeight="1">
      <c r="AL186" s="311"/>
      <c r="AM186" s="311"/>
    </row>
    <row r="187" spans="38:39" s="288" customFormat="1" ht="12" customHeight="1">
      <c r="AL187" s="311"/>
      <c r="AM187" s="311"/>
    </row>
    <row r="188" spans="38:39" s="288" customFormat="1" ht="12" customHeight="1">
      <c r="AL188" s="311"/>
      <c r="AM188" s="311"/>
    </row>
    <row r="189" spans="38:39" s="288" customFormat="1" ht="12" customHeight="1">
      <c r="AL189" s="311"/>
      <c r="AM189" s="311"/>
    </row>
    <row r="190" spans="38:39" s="288" customFormat="1" ht="12" customHeight="1">
      <c r="AL190" s="311"/>
      <c r="AM190" s="311"/>
    </row>
    <row r="191" spans="38:39" s="288" customFormat="1" ht="12" customHeight="1">
      <c r="AL191" s="311"/>
      <c r="AM191" s="311"/>
    </row>
    <row r="192" spans="38:39" s="288" customFormat="1" ht="12" customHeight="1">
      <c r="AL192" s="311"/>
      <c r="AM192" s="311"/>
    </row>
    <row r="193" spans="38:39" s="288" customFormat="1" ht="12" customHeight="1">
      <c r="AL193" s="311"/>
      <c r="AM193" s="311"/>
    </row>
    <row r="194" spans="38:39" s="288" customFormat="1" ht="12" customHeight="1">
      <c r="AL194" s="311"/>
      <c r="AM194" s="311"/>
    </row>
    <row r="195" spans="38:39" s="288" customFormat="1" ht="12" customHeight="1">
      <c r="AL195" s="311"/>
      <c r="AM195" s="311"/>
    </row>
    <row r="196" spans="38:39" s="288" customFormat="1" ht="12" customHeight="1">
      <c r="AL196" s="311"/>
      <c r="AM196" s="311"/>
    </row>
    <row r="197" spans="38:39" s="288" customFormat="1" ht="12" customHeight="1">
      <c r="AL197" s="311"/>
      <c r="AM197" s="311"/>
    </row>
    <row r="198" spans="38:39" s="288" customFormat="1" ht="12" customHeight="1">
      <c r="AL198" s="311"/>
      <c r="AM198" s="311"/>
    </row>
    <row r="199" spans="38:39" s="288" customFormat="1" ht="12" customHeight="1">
      <c r="AL199" s="311"/>
      <c r="AM199" s="311"/>
    </row>
  </sheetData>
  <mergeCells count="35">
    <mergeCell ref="AH104:AI105"/>
    <mergeCell ref="AB105:AC105"/>
    <mergeCell ref="AF105:AG105"/>
    <mergeCell ref="K84:P84"/>
    <mergeCell ref="I88:M88"/>
    <mergeCell ref="AB88:AG88"/>
    <mergeCell ref="AD95:AJ95"/>
    <mergeCell ref="L98:P99"/>
    <mergeCell ref="D104:U105"/>
    <mergeCell ref="Y104:AA105"/>
    <mergeCell ref="AB104:AC104"/>
    <mergeCell ref="AD104:AE105"/>
    <mergeCell ref="AF104:AG104"/>
    <mergeCell ref="M46:N46"/>
    <mergeCell ref="Q46:R46"/>
    <mergeCell ref="J48:U49"/>
    <mergeCell ref="AB67:AK67"/>
    <mergeCell ref="T81:W81"/>
    <mergeCell ref="Z81:AD81"/>
    <mergeCell ref="H45:L46"/>
    <mergeCell ref="M45:N45"/>
    <mergeCell ref="O45:P46"/>
    <mergeCell ref="Q45:R45"/>
    <mergeCell ref="S45:T46"/>
    <mergeCell ref="G33:Q34"/>
    <mergeCell ref="AE36:AK37"/>
    <mergeCell ref="B39:AC39"/>
    <mergeCell ref="AI39:AK39"/>
    <mergeCell ref="AI40:AK40"/>
    <mergeCell ref="R31:AK32"/>
    <mergeCell ref="M6:AK7"/>
    <mergeCell ref="I10:AK11"/>
    <mergeCell ref="I12:AK13"/>
    <mergeCell ref="I14:Q15"/>
    <mergeCell ref="P22:AJ22"/>
  </mergeCells>
  <phoneticPr fontId="5"/>
  <dataValidations count="1">
    <dataValidation type="list" allowBlank="1" showInputMessage="1" showErrorMessage="1" sqref="C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I18 JE18 TA18 ACW18 AMS18 AWO18 BGK18 BQG18 CAC18 CJY18 CTU18 DDQ18 DNM18 DXI18 EHE18 ERA18 FAW18 FKS18 FUO18 GEK18 GOG18 GYC18 HHY18 HRU18 IBQ18 ILM18 IVI18 JFE18 JPA18 JYW18 KIS18 KSO18 LCK18 LMG18 LWC18 MFY18 MPU18 MZQ18 NJM18 NTI18 ODE18 ONA18 OWW18 PGS18 PQO18 QAK18 QKG18 QUC18 RDY18 RNU18 RXQ18 SHM18 SRI18 TBE18 TLA18 TUW18 UES18 UOO18 UYK18 VIG18 VSC18 WBY18 WLU18 WVQ18 O18 JK18 TG18 ADC18 AMY18 AWU18 BGQ18 BQM18 CAI18 CKE18 CUA18 DDW18 DNS18 DXO18 EHK18 ERG18 FBC18 FKY18 FUU18 GEQ18 GOM18 GYI18 HIE18 HSA18 IBW18 ILS18 IVO18 JFK18 JPG18 JZC18 KIY18 KSU18 LCQ18 LMM18 LWI18 MGE18 MQA18 MZW18 NJS18 NTO18 ODK18 ONG18 OXC18 PGY18 PQU18 QAQ18 QKM18 QUI18 REE18 ROA18 RXW18 SHS18 SRO18 TBK18 TLG18 TVC18 UEY18 UOU18 UYQ18 VIM18 VSI18 WCE18 WMA18 WVW18 W18 JS18 TO18 ADK18 ANG18 AXC18 BGY18 BQU18 CAQ18 CKM18 CUI18 DEE18 DOA18 DXW18 EHS18 ERO18 FBK18 FLG18 FVC18 GEY18 GOU18 GYQ18 HIM18 HSI18 ICE18 IMA18 IVW18 JFS18 JPO18 JZK18 KJG18 KTC18 LCY18 LMU18 LWQ18 MGM18 MQI18 NAE18 NKA18 NTW18 ODS18 ONO18 OXK18 PHG18 PRC18 QAY18 QKU18 QUQ18 REM18 ROI18 RYE18 SIA18 SRW18 TBS18 TLO18 TVK18 UFG18 UPC18 UYY18 VIU18 VSQ18 WCM18 WMI18 WWE18 C20 IY20 SU20 ACQ20 AMM20 AWI20 BGE20 BQA20 BZW20 CJS20 CTO20 DDK20 DNG20 DXC20 EGY20 EQU20 FAQ20 FKM20 FUI20 GEE20 GOA20 GXW20 HHS20 HRO20 IBK20 ILG20 IVC20 JEY20 JOU20 JYQ20 KIM20 KSI20 LCE20 LMA20 LVW20 MFS20 MPO20 MZK20 NJG20 NTC20 OCY20 OMU20 OWQ20 PGM20 PQI20 QAE20 QKA20 QTW20 RDS20 RNO20 RXK20 SHG20 SRC20 TAY20 TKU20 TUQ20 UEM20 UOI20 UYE20 VIA20 VRW20 WBS20 WLO20 WVK20 R20 JN20 TJ20 ADF20 ANB20 AWX20 BGT20 BQP20 CAL20 CKH20 CUD20 DDZ20 DNV20 DXR20 EHN20 ERJ20 FBF20 FLB20 FUX20 GET20 GOP20 GYL20 HIH20 HSD20 IBZ20 ILV20 IVR20 JFN20 JPJ20 JZF20 KJB20 KSX20 LCT20 LMP20 LWL20 MGH20 MQD20 MZZ20 NJV20 NTR20 ODN20 ONJ20 OXF20 PHB20 PQX20 QAT20 QKP20 QUL20 REH20 ROD20 RXZ20 SHV20 SRR20 TBN20 TLJ20 TVF20 UFB20 UOX20 UYT20 VIP20 VSL20 WCH20 WMD20 WVZ20 C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K22 JG22 TC22 ACY22 AMU22 AWQ22 BGM22 BQI22 CAE22 CKA22 CTW22 DDS22 DNO22 DXK22 EHG22 ERC22 FAY22 FKU22 FUQ22 GEM22 GOI22 GYE22 HIA22 HRW22 IBS22 ILO22 IVK22 JFG22 JPC22 JYY22 KIU22 KSQ22 LCM22 LMI22 LWE22 MGA22 MPW22 MZS22 NJO22 NTK22 ODG22 ONC22 OWY22 PGU22 PQQ22 QAM22 QKI22 QUE22 REA22 RNW22 RXS22 SHO22 SRK22 TBG22 TLC22 TUY22 UEU22 UOQ22 UYM22 VII22 VSE22 WCA22 WLW22 WVS22 C25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P24 JL24 TH24 ADD24 AMZ24 AWV24 BGR24 BQN24 CAJ24 CKF24 CUB24 DDX24 DNT24 DXP24 EHL24 ERH24 FBD24 FKZ24 FUV24 GER24 GON24 GYJ24 HIF24 HSB24 IBX24 ILT24 IVP24 JFL24 JPH24 JZD24 KIZ24 KSV24 LCR24 LMN24 LWJ24 MGF24 MQB24 MZX24 NJT24 NTP24 ODL24 ONH24 OXD24 PGZ24 PQV24 QAR24 QKN24 QUJ24 REF24 ROB24 RXX24 SHT24 SRP24 TBL24 TLH24 TVD24 UEZ24 UOV24 UYR24 VIN24 VSJ24 WCF24 WMB24 WVX24 I25 JE25 TA25 ACW25 AMS25 AWO25 BGK25 BQG25 CAC25 CJY25 CTU25 DDQ25 DNM25 DXI25 EHE25 ERA25 FAW25 FKS25 FUO25 GEK25 GOG25 GYC25 HHY25 HRU25 IBQ25 ILM25 IVI25 JFE25 JPA25 JYW25 KIS25 KSO25 LCK25 LMG25 LWC25 MFY25 MPU25 MZQ25 NJM25 NTI25 ODE25 ONA25 OWW25 PGS25 PQO25 QAK25 QKG25 QUC25 RDY25 RNU25 RXQ25 SHM25 SRI25 TBE25 TLA25 TUW25 UES25 UOO25 UYK25 VIG25 VSC25 WBY25 WLU25 WVQ25 O25 JK25 TG25 ADC25 AMY25 AWU25 BGQ25 BQM25 CAI25 CKE25 CUA25 DDW25 DNS25 DXO25 EHK25 ERG25 FBC25 FKY25 FUU25 GEQ25 GOM25 GYI25 HIE25 HSA25 IBW25 ILS25 IVO25 JFK25 JPG25 JZC25 KIY25 KSU25 LCQ25 LMM25 LWI25 MGE25 MQA25 MZW25 NJS25 NTO25 ODK25 ONG25 OXC25 PGY25 PQU25 QAQ25 QKM25 QUI25 REE25 ROA25 RXW25 SHS25 SRO25 TBK25 TLG25 TVC25 UEY25 UOU25 UYQ25 VIM25 VSI25 WCE25 WMA25 WVW25 C29 IY29 SU29 ACQ29 AMM29 AWI29 BGE29 BQA29 BZW29 CJS29 CTO29 DDK29 DNG29 DXC29 EGY29 EQU29 FAQ29 FKM29 FUI29 GEE29 GOA29 GXW29 HHS29 HRO29 IBK29 ILG29 IVC29 JEY29 JOU29 JYQ29 KIM29 KSI29 LCE29 LMA29 LVW29 MFS29 MPO29 MZK29 NJG29 NTC29 OCY29 OMU29 OWQ29 PGM29 PQI29 QAE29 QKA29 QTW29 RDS29 RNO29 RXK29 SHG29 SRC29 TAY29 TKU29 TUQ29 UEM29 UOI29 UYE29 VIA29 VRW29 WBS29 WLO29 WVK29 C41 IY41 SU41 ACQ41 AMM41 AWI41 BGE41 BQA41 BZW41 CJS41 CTO41 DDK41 DNG41 DXC41 EGY41 EQU41 FAQ41 FKM41 FUI41 GEE41 GOA41 GXW41 HHS41 HRO41 IBK41 ILG41 IVC41 JEY41 JOU41 JYQ41 KIM41 KSI41 LCE41 LMA41 LVW41 MFS41 MPO41 MZK41 NJG41 NTC41 OCY41 OMU41 OWQ41 PGM41 PQI41 QAE41 QKA41 QTW41 RDS41 RNO41 RXK41 SHG41 SRC41 TAY41 TKU41 TUQ41 UEM41 UOI41 UYE41 VIA41 VRW41 WBS41 WLO41 WVK41 O41 JK41 TG41 ADC41 AMY41 AWU41 BGQ41 BQM41 CAI41 CKE41 CUA41 DDW41 DNS41 DXO41 EHK41 ERG41 FBC41 FKY41 FUU41 GEQ41 GOM41 GYI41 HIE41 HSA41 IBW41 ILS41 IVO41 JFK41 JPG41 JZC41 KIY41 KSU41 LCQ41 LMM41 LWI41 MGE41 MQA41 MZW41 NJS41 NTO41 ODK41 ONG41 OXC41 PGY41 PQU41 QAQ41 QKM41 QUI41 REE41 ROA41 RXW41 SHS41 SRO41 TBK41 TLG41 TVC41 UEY41 UOU41 UYQ41 VIM41 VSI41 WCE41 WMA41 WVW41 AF41 JT41 TP41 ADL41 ANH41 AXD41 BGZ41 BQV41 CAR41 CKN41 CUJ41 DEF41 DOB41 DXX41 EHT41 ERP41 FBL41 FLH41 FVD41 GEZ41 GOV41 GYR41 HIN41 HSJ41 ICF41 IMB41 IVX41 JFT41 JPP41 JZL41 KJH41 KTD41 LCZ41 LMV41 LWR41 MGN41 MQJ41 NAF41 NKB41 NTX41 ODT41 ONP41 OXL41 PHH41 PRD41 QAZ41 QKV41 QUR41 REN41 ROJ41 RYF41 SIB41 SRX41 TBT41 TLP41 TVL41 UFH41 UPD41 UYZ41 VIV41 VSR41 WCN41 WMJ41 WWF41 C43 JZ41 TV41 ADR41 ANN41 AXJ41 BHF41 BRB41 CAX41 CKT41 CUP41 DEL41 DOH41 DYD41 EHZ41 ERV41 FBR41 FLN41 FVJ41 GFF41 GPB41 GYX41 HIT41 HSP41 ICL41 IMH41 IWD41 JFZ41 JPV41 JZR41 KJN41 KTJ41 LDF41 LNB41 LWX41 MGT41 MQP41 NAL41 NKH41 NUD41 ODZ41 ONV41 OXR41 PHN41 PRJ41 QBF41 QLB41 QUX41 RET41 ROP41 RYL41 SIH41 SSD41 TBZ41 TLV41 TVR41 UFN41 UPJ41 UZF41 VJB41 VSX41 WCT41 WMP41 WWL41 X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M51 JI51 TE51 ADA51 AMW51 AWS51 BGO51 BQK51 CAG51 CKC51 CTY51 DDU51 DNQ51 DXM51 EHI51 ERE51 FBA51 FKW51 FUS51 GEO51 GOK51 GYG51 HIC51 HRY51 IBU51 ILQ51 IVM51 JFI51 JPE51 JZA51 KIW51 KSS51 LCO51 LMK51 LWG51 MGC51 MPY51 MZU51 NJQ51 NTM51 ODI51 ONE51 OXA51 PGW51 PQS51 QAO51 QKK51 QUG51 REC51 RNY51 RXU51 SHQ51 SRM51 TBI51 TLE51 TVA51 UEW51 UOS51 UYO51 VIK51 VSG51 WCC51 WLY51 WVU51 AC51 JY51 TU51 ADQ51 ANM51 AXI51 BHE51 BRA51 CAW51 CKS51 CUO51 DEK51 DOG51 DYC51 EHY51 ERU51 FBQ51 FLM51 FVI51 GFE51 GPA51 GYW51 HIS51 HSO51 ICK51 IMG51 IWC51 JFY51 JPU51 JZQ51 KJM51 KTI51 LDE51 LNA51 LWW51 MGS51 MQO51 NAK51 NKG51 NUC51 ODY51 ONU51 OXQ51 PHM51 PRI51 QBE51 QLA51 QUW51 RES51 ROO51 RYK51 SIG51 SSC51 TBY51 TLU51 TVQ51 UFM51 UPI51 UZE51 VJA51 VSW51 WCS51 WMO51 WWK51 B53 IX53 ST53 ACP53 AML53 AWH53 BGD53 BPZ53 BZV53 CJR53 CTN53 DDJ53 DNF53 DXB53 EGX53 EQT53 FAP53 FKL53 FUH53 GED53 GNZ53 GXV53 HHR53 HRN53 IBJ53 ILF53 IVB53 JEX53 JOT53 JYP53 KIL53 KSH53 LCD53 LLZ53 LVV53 MFR53 MPN53 MZJ53 NJF53 NTB53 OCX53 OMT53 OWP53 PGL53 PQH53 QAD53 QJZ53 QTV53 RDR53 RNN53 RXJ53 SHF53 SRB53 TAX53 TKT53 TUP53 UEL53 UOH53 UYD53 VHZ53 VRV53 WBR53 WLN53 WVJ53 M53 JI53 TE53 ADA53 AMW53 AWS53 BGO53 BQK53 CAG53 CKC53 CTY53 DDU53 DNQ53 DXM53 EHI53 ERE53 FBA53 FKW53 FUS53 GEO53 GOK53 GYG53 HIC53 HRY53 IBU53 ILQ53 IVM53 JFI53 JPE53 JZA53 KIW53 KSS53 LCO53 LMK53 LWG53 MGC53 MPY53 MZU53 NJQ53 NTM53 ODI53 ONE53 OXA53 PGW53 PQS53 QAO53 QKK53 QUG53 REC53 RNY53 RXU53 SHQ53 SRM53 TBI53 TLE53 TVA53 UEW53 UOS53 UYO53 VIK53 VSG53 WCC53 WLY53 WVU53 AC53 JY53 TU53 ADQ53 ANM53 AXI53 BHE53 BRA53 CAW53 CKS53 CUO53 DEK53 DOG53 DYC53 EHY53 ERU53 FBQ53 FLM53 FVI53 GFE53 GPA53 GYW53 HIS53 HSO53 ICK53 IMG53 IWC53 JFY53 JPU53 JZQ53 KJM53 KTI53 LDE53 LNA53 LWW53 MGS53 MQO53 NAK53 NKG53 NUC53 ODY53 ONU53 OXQ53 PHM53 PRI53 QBE53 QLA53 QUW53 RES53 ROO53 RYK53 SIG53 SSC53 TBY53 TLU53 TVQ53 UFM53 UPI53 UZE53 VJA53 VSW53 WCS53 WMO53 WWK53 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B57 IX57 ST57 ACP57 AML57 AWH57 BGD57 BPZ57 BZV57 CJR57 CTN57 DDJ57 DNF57 DXB57 EGX57 EQT57 FAP57 FKL57 FUH57 GED57 GNZ57 GXV57 HHR57 HRN57 IBJ57 ILF57 IVB57 JEX57 JOT57 JYP57 KIL57 KSH57 LCD57 LLZ57 LVV57 MFR57 MPN57 MZJ57 NJF57 NTB57 OCX57 OMT57 OWP57 PGL57 PQH57 QAD57 QJZ57 QTV57 RDR57 RNN57 RXJ57 SHF57 SRB57 TAX57 TKT57 TUP57 UEL57 UOH57 UYD57 VHZ57 VRV57 WBR57 WLN57 WVJ57 B59 IX59 ST59 ACP59 AML59 AWH59 BGD59 BPZ59 BZV59 CJR59 CTN59 DDJ59 DNF59 DXB59 EGX59 EQT59 FAP59 FKL59 FUH59 GED59 GNZ59 GXV59 HHR59 HRN59 IBJ59 ILF59 IVB59 JEX59 JOT59 JYP59 KIL59 KSH59 LCD59 LLZ59 LVV59 MFR59 MPN59 MZJ59 NJF59 NTB59 OCX59 OMT59 OWP59 PGL59 PQH59 QAD59 QJZ59 QTV59 RDR59 RNN59 RXJ59 SHF59 SRB59 TAX59 TKT59 TUP59 UEL59 UOH59 UYD59 VHZ59 VRV59 WBR59 WLN59 WVJ59 B61 IX61 ST61 ACP61 AML61 AWH61 BGD61 BPZ61 BZV61 CJR61 CTN61 DDJ61 DNF61 DXB61 EGX61 EQT61 FAP61 FKL61 FUH61 GED61 GNZ61 GXV61 HHR61 HRN61 IBJ61 ILF61 IVB61 JEX61 JOT61 JYP61 KIL61 KSH61 LCD61 LLZ61 LVV61 MFR61 MPN61 MZJ61 NJF61 NTB61 OCX61 OMT61 OWP61 PGL61 PQH61 QAD61 QJZ61 QTV61 RDR61 RNN61 RXJ61 SHF61 SRB61 TAX61 TKT61 TUP61 UEL61 UOH61 UYD61 VHZ61 VRV61 WBR61 WLN61 WVJ61 AC93 JY93 TU93 ADQ93 ANM93 AXI93 BHE93 BRA93 CAW93 CKS93 CUO93 DEK93 DOG93 DYC93 EHY93 ERU93 FBQ93 FLM93 FVI93 GFE93 GPA93 GYW93 HIS93 HSO93 ICK93 IMG93 IWC93 JFY93 JPU93 JZQ93 KJM93 KTI93 LDE93 LNA93 LWW93 MGS93 MQO93 NAK93 NKG93 NUC93 ODY93 ONU93 OXQ93 PHM93 PRI93 QBE93 QLA93 QUW93 RES93 ROO93 RYK93 SIG93 SSC93 TBY93 TLU93 TVQ93 UFM93 UPI93 UZE93 VJA93 VSW93 WCS93 WMO93 WWK93 B63 IX63 ST63 ACP63 AML63 AWH63 BGD63 BPZ63 BZV63 CJR63 CTN63 DDJ63 DNF63 DXB63 EGX63 EQT63 FAP63 FKL63 FUH63 GED63 GNZ63 GXV63 HHR63 HRN63 IBJ63 ILF63 IVB63 JEX63 JOT63 JYP63 KIL63 KSH63 LCD63 LLZ63 LVV63 MFR63 MPN63 MZJ63 NJF63 NTB63 OCX63 OMT63 OWP63 PGL63 PQH63 QAD63 QJZ63 QTV63 RDR63 RNN63 RXJ63 SHF63 SRB63 TAX63 TKT63 TUP63 UEL63 UOH63 UYD63 VHZ63 VRV63 WBR63 WLN63 WVJ63 B65 IX65 ST65 ACP65 AML65 AWH65 BGD65 BPZ65 BZV65 CJR65 CTN65 DDJ65 DNF65 DXB65 EGX65 EQT65 FAP65 FKL65 FUH65 GED65 GNZ65 GXV65 HHR65 HRN65 IBJ65 ILF65 IVB65 JEX65 JOT65 JYP65 KIL65 KSH65 LCD65 LLZ65 LVV65 MFR65 MPN65 MZJ65 NJF65 NTB65 OCX65 OMT65 OWP65 PGL65 PQH65 QAD65 QJZ65 QTV65 RDR65 RNN65 RXJ65 SHF65 SRB65 TAX65 TKT65 TUP65 UEL65 UOH65 UYD65 VHZ65 VRV65 WBR65 WLN65 WVJ65 B67 IX67 ST67 ACP67 AML67 AWH67 BGD67 BPZ67 BZV67 CJR67 CTN67 DDJ67 DNF67 DXB67 EGX67 EQT67 FAP67 FKL67 FUH67 GED67 GNZ67 GXV67 HHR67 HRN67 IBJ67 ILF67 IVB67 JEX67 JOT67 JYP67 KIL67 KSH67 LCD67 LLZ67 LVV67 MFR67 MPN67 MZJ67 NJF67 NTB67 OCX67 OMT67 OWP67 PGL67 PQH67 QAD67 QJZ67 QTV67 RDR67 RNN67 RXJ67 SHF67 SRB67 TAX67 TKT67 TUP67 UEL67 UOH67 UYD67 VHZ67 VRV67 WBR67 WLN67 WVJ67 X65 JT65 TP65 ADL65 ANH65 AXD65 BGZ65 BQV65 CAR65 CKN65 CUJ65 DEF65 DOB65 DXX65 EHT65 ERP65 FBL65 FLH65 FVD65 GEZ65 GOV65 GYR65 HIN65 HSJ65 ICF65 IMB65 IVX65 JFT65 JPP65 JZL65 KJH65 KTD65 LCZ65 LMV65 LWR65 MGN65 MQJ65 NAF65 NKB65 NTX65 ODT65 ONP65 OXL65 PHH65 PRD65 QAZ65 QKV65 QUR65 REN65 ROJ65 RYF65 SIB65 SRX65 TBT65 TLP65 TVL65 UFH65 UPD65 UYZ65 VIV65 VSR65 WCN65 WMJ65 WWF65 X67 JT67 TP67 ADL67 ANH67 AXD67 BGZ67 BQV67 CAR67 CKN67 CUJ67 DEF67 DOB67 DXX67 EHT67 ERP67 FBL67 FLH67 FVD67 GEZ67 GOV67 GYR67 HIN67 HSJ67 ICF67 IMB67 IVX67 JFT67 JPP67 JZL67 KJH67 KTD67 LCZ67 LMV67 LWR67 MGN67 MQJ67 NAF67 NKB67 NTX67 ODT67 ONP67 OXL67 PHH67 PRD67 QAZ67 QKV67 QUR67 REN67 ROJ67 RYF67 SIB67 SRX67 TBT67 TLP67 TVL67 UFH67 UPD67 UYZ67 VIV67 VSR67 WCN67 WMJ67 WWF67 P67 JL67 TH67 ADD67 AMZ67 AWV67 BGR67 BQN67 CAJ67 CKF67 CUB67 DDX67 DNT67 DXP67 EHL67 ERH67 FBD67 FKZ67 FUV67 GER67 GON67 GYJ67 HIF67 HSB67 IBX67 ILT67 IVP67 JFL67 JPH67 JZD67 KIZ67 KSV67 LCR67 LMN67 LWJ67 MGF67 MQB67 MZX67 NJT67 NTP67 ODL67 ONH67 OXD67 PGZ67 PQV67 QAR67 QKN67 QUJ67 REF67 ROB67 RXX67 SHT67 SRP67 TBL67 TLH67 TVD67 UEZ67 UOV67 UYR67 VIN67 VSJ67 WCF67 WMB67 WVX67 X41 JV57 TR57 ADN57 ANJ57 AXF57 BHB57 BQX57 CAT57 CKP57 CUL57 DEH57 DOD57 DXZ57 EHV57 ERR57 FBN57 FLJ57 FVF57 GFB57 GOX57 GYT57 HIP57 HSL57 ICH57 IMD57 IVZ57 JFV57 JPR57 JZN57 KJJ57 KTF57 LDB57 LMX57 LWT57 MGP57 MQL57 NAH57 NKD57 NTZ57 ODV57 ONR57 OXN57 PHJ57 PRF57 QBB57 QKX57 QUT57 REP57 ROL57 RYH57 SID57 SRZ57 TBV57 TLR57 TVN57 UFJ57 UPF57 UZB57 VIX57 VST57 WCP57 WML57 WWH57 O61 JK61 TG61 ADC61 AMY61 AWU61 BGQ61 BQM61 CAI61 CKE61 CUA61 DDW61 DNS61 DXO61 EHK61 ERG61 FBC61 FKY61 FUU61 GEQ61 GOM61 GYI61 HIE61 HSA61 IBW61 ILS61 IVO61 JFK61 JPG61 JZC61 KIY61 KSU61 LCQ61 LMM61 LWI61 MGE61 MQA61 MZW61 NJS61 NTO61 ODK61 ONG61 OXC61 PGY61 PQU61 QAQ61 QKM61 QUI61 REE61 ROA61 RXW61 SHS61 SRO61 TBK61 TLG61 TVC61 UEY61 UOU61 UYQ61 VIM61 VSI61 WCE61 WMA61 WVW61 AA61 JW61 TS61 ADO61 ANK61 AXG61 BHC61 BQY61 CAU61 CKQ61 CUM61 DEI61 DOE61 DYA61 EHW61 ERS61 FBO61 FLK61 FVG61 GFC61 GOY61 GYU61 HIQ61 HSM61 ICI61 IME61 IWA61 JFW61 JPS61 JZO61 KJK61 KTG61 LDC61 LMY61 LWU61 MGQ61 MQM61 NAI61 NKE61 NUA61 ODW61 ONS61 OXO61 PHK61 PRG61 QBC61 QKY61 QUU61 REQ61 ROM61 RYI61 SIE61 SSA61 TBW61 TLS61 TVO61 UFK61 UPG61 UZC61 VIY61 VSU61 WCQ61 WMM61 WWI61 B80 IX80 ST80 ACP80 AML80 AWH80 BGD80 BPZ80 BZV80 CJR80 CTN80 DDJ80 DNF80 DXB80 EGX80 EQT80 FAP80 FKL80 FUH80 GED80 GNZ80 GXV80 HHR80 HRN80 IBJ80 ILF80 IVB80 JEX80 JOT80 JYP80 KIL80 KSH80 LCD80 LLZ80 LVV80 MFR80 MPN80 MZJ80 NJF80 NTB80 OCX80 OMT80 OWP80 PGL80 PQH80 QAD80 QJZ80 QTV80 RDR80 RNN80 RXJ80 SHF80 SRB80 TAX80 TKT80 TUP80 UEL80 UOH80 UYD80 VHZ80 VRV80 WBR80 WLN80 WVJ80 G80 JC80 SY80 ACU80 AMQ80 AWM80 BGI80 BQE80 CAA80 CJW80 CTS80 DDO80 DNK80 DXG80 EHC80 EQY80 FAU80 FKQ80 FUM80 GEI80 GOE80 GYA80 HHW80 HRS80 IBO80 ILK80 IVG80 JFC80 JOY80 JYU80 KIQ80 KSM80 LCI80 LME80 LWA80 MFW80 MPS80 MZO80 NJK80 NTG80 ODC80 OMY80 OWU80 PGQ80 PQM80 QAI80 QKE80 QUA80 RDW80 RNS80 RXO80 SHK80 SRG80 TBC80 TKY80 TUU80 UEQ80 UOM80 UYI80 VIE80 VSA80 WBW80 WLS80 WVO80 N80 JJ80 TF80 ADB80 AMX80 AWT80 BGP80 BQL80 CAH80 CKD80 CTZ80 DDV80 DNR80 DXN80 EHJ80 ERF80 FBB80 FKX80 FUT80 GEP80 GOL80 GYH80 HID80 HRZ80 IBV80 ILR80 IVN80 JFJ80 JPF80 JZB80 KIX80 KST80 LCP80 LML80 LWH80 MGD80 MPZ80 MZV80 NJR80 NTN80 ODJ80 ONF80 OXB80 PGX80 PQT80 QAP80 QKL80 QUH80 RED80 RNZ80 RXV80 SHR80 SRN80 TBJ80 TLF80 TVB80 UEX80 UOT80 UYP80 VIL80 VSH80 WCD80 WLZ80 WVV80 S80 JO80 TK80 ADG80 ANC80 AWY80 BGU80 BQQ80 CAM80 CKI80 CUE80 DEA80 DNW80 DXS80 EHO80 ERK80 FBG80 FLC80 FUY80 GEU80 GOQ80 GYM80 HII80 HSE80 ICA80 ILW80 IVS80 JFO80 JPK80 JZG80 KJC80 KSY80 LCU80 LMQ80 LWM80 MGI80 MQE80 NAA80 NJW80 NTS80 ODO80 ONK80 OXG80 PHC80 PQY80 QAU80 QKQ80 QUM80 REI80 ROE80 RYA80 SHW80 SRS80 TBO80 TLK80 TVG80 UFC80 UOY80 UYU80 VIQ80 VSM80 WCI80 WME80 WWA80 Y80 JU80 TQ80 ADM80 ANI80 AXE80 BHA80 BQW80 CAS80 CKO80 CUK80 DEG80 DOC80 DXY80 EHU80 ERQ80 FBM80 FLI80 FVE80 GFA80 GOW80 GYS80 HIO80 HSK80 ICG80 IMC80 IVY80 JFU80 JPQ80 JZM80 KJI80 KTE80 LDA80 LMW80 LWS80 MGO80 MQK80 NAG80 NKC80 NTY80 ODU80 ONQ80 OXM80 PHI80 PRE80 QBA80 QKW80 QUS80 REO80 ROK80 RYG80 SIC80 SRY80 TBU80 TLQ80 TVM80 UFI80 UPE80 UZA80 VIW80 VSS80 WCO80 WMK80 WWG80 AD80 JZ80 TV80 ADR80 ANN80 AXJ80 BHF80 BRB80 CAX80 CKT80 CUP80 DEL80 DOH80 DYD80 EHZ80 ERV80 FBR80 FLN80 FVJ80 GFF80 GPB80 GYX80 HIT80 HSP80 ICL80 IMH80 IWD80 JFZ80 JPV80 JZR80 KJN80 KTJ80 LDF80 LNB80 LWX80 MGT80 MQP80 NAL80 NKH80 NUD80 ODZ80 ONV80 OXR80 PHN80 PRJ80 QBF80 QLB80 QUX80 RET80 ROP80 RYL80 SIH80 SSD80 TBZ80 TLV80 TVR80 UFN80 UPJ80 UZF80 VJB80 VSX80 WCT80 WMP80 WWL80 B82 IX82 ST82 ACP82 AML82 AWH82 BGD82 BPZ82 BZV82 CJR82 CTN82 DDJ82 DNF82 DXB82 EGX82 EQT82 FAP82 FKL82 FUH82 GED82 GNZ82 GXV82 HHR82 HRN82 IBJ82 ILF82 IVB82 JEX82 JOT82 JYP82 KIL82 KSH82 LCD82 LLZ82 LVV82 MFR82 MPN82 MZJ82 NJF82 NTB82 OCX82 OMT82 OWP82 PGL82 PQH82 QAD82 QJZ82 QTV82 RDR82 RNN82 RXJ82 SHF82 SRB82 TAX82 TKT82 TUP82 UEL82 UOH82 UYD82 VHZ82 VRV82 WBR82 WLN82 WVJ82 G82 JC82 SY82 ACU82 AMQ82 AWM82 BGI82 BQE82 CAA82 CJW82 CTS82 DDO82 DNK82 DXG82 EHC82 EQY82 FAU82 FKQ82 FUM82 GEI82 GOE82 GYA82 HHW82 HRS82 IBO82 ILK82 IVG82 JFC82 JOY82 JYU82 KIQ82 KSM82 LCI82 LME82 LWA82 MFW82 MPS82 MZO82 NJK82 NTG82 ODC82 OMY82 OWU82 PGQ82 PQM82 QAI82 QKE82 QUA82 RDW82 RNS82 RXO82 SHK82 SRG82 TBC82 TKY82 TUU82 UEQ82 UOM82 UYI82 VIE82 VSA82 WBW82 WLS82 WVO82 N82 JJ82 TF82 ADB82 AMX82 AWT82 BGP82 BQL82 CAH82 CKD82 CTZ82 DDV82 DNR82 DXN82 EHJ82 ERF82 FBB82 FKX82 FUT82 GEP82 GOL82 GYH82 HID82 HRZ82 IBV82 ILR82 IVN82 JFJ82 JPF82 JZB82 KIX82 KST82 LCP82 LML82 LWH82 MGD82 MPZ82 MZV82 NJR82 NTN82 ODJ82 ONF82 OXB82 PGX82 PQT82 QAP82 QKL82 QUH82 RED82 RNZ82 RXV82 SHR82 SRN82 TBJ82 TLF82 TVB82 UEX82 UOT82 UYP82 VIL82 VSH82 WCD82 WLZ82 WVV82 S82 JO82 TK82 ADG82 ANC82 AWY82 BGU82 BQQ82 CAM82 CKI82 CUE82 DEA82 DNW82 DXS82 EHO82 ERK82 FBG82 FLC82 FUY82 GEU82 GOQ82 GYM82 HII82 HSE82 ICA82 ILW82 IVS82 JFO82 JPK82 JZG82 KJC82 KSY82 LCU82 LMQ82 LWM82 MGI82 MQE82 NAA82 NJW82 NTS82 ODO82 ONK82 OXG82 PHC82 PQY82 QAU82 QKQ82 QUM82 REI82 ROE82 RYA82 SHW82 SRS82 TBO82 TLK82 TVG82 UFC82 UOY82 UYU82 VIQ82 VSM82 WCI82 WME82 WWA82 Y82 JU82 TQ82 ADM82 ANI82 AXE82 BHA82 BQW82 CAS82 CKO82 CUK82 DEG82 DOC82 DXY82 EHU82 ERQ82 FBM82 FLI82 FVE82 GFA82 GOW82 GYS82 HIO82 HSK82 ICG82 IMC82 IVY82 JFU82 JPQ82 JZM82 KJI82 KTE82 LDA82 LMW82 LWS82 MGO82 MQK82 NAG82 NKC82 NTY82 ODU82 ONQ82 OXM82 PHI82 PRE82 QBA82 QKW82 QUS82 REO82 ROK82 RYG82 SIC82 SRY82 TBU82 TLQ82 TVM82 UFI82 UPE82 UZA82 VIW82 VSS82 WCO82 WMK82 WWG82 AD82 JZ82 TV82 ADR82 ANN82 AXJ82 BHF82 BRB82 CAX82 CKT82 CUP82 DEL82 DOH82 DYD82 EHZ82 ERV82 FBR82 FLN82 FVJ82 GFF82 GPB82 GYX82 HIT82 HSP82 ICL82 IMH82 IWD82 JFZ82 JPV82 JZR82 KJN82 KTJ82 LDF82 LNB82 LWX82 MGT82 MQP82 NAL82 NKH82 NUD82 ODZ82 ONV82 OXR82 PHN82 PRJ82 QBF82 QLB82 QUX82 RET82 ROP82 RYL82 SIH82 SSD82 TBZ82 TLV82 TVR82 UFN82 UPJ82 UZF82 VJB82 VSX82 WCT82 WMP82 WWL82 B84 IX84 ST84 ACP84 AML84 AWH84 BGD84 BPZ84 BZV84 CJR84 CTN84 DDJ84 DNF84 DXB84 EGX84 EQT84 FAP84 FKL84 FUH84 GED84 GNZ84 GXV84 HHR84 HRN84 IBJ84 ILF84 IVB84 JEX84 JOT84 JYP84 KIL84 KSH84 LCD84 LLZ84 LVV84 MFR84 MPN84 MZJ84 NJF84 NTB84 OCX84 OMT84 OWP84 PGL84 PQH84 QAD84 QJZ84 QTV84 RDR84 RNN84 RXJ84 SHF84 SRB84 TAX84 TKT84 TUP84 UEL84 UOH84 UYD84 VHZ84 VRV84 WBR84 WLN84 WVJ84 S84 JO84 TK84 ADG84 ANC84 AWY84 BGU84 BQQ84 CAM84 CKI84 CUE84 DEA84 DNW84 DXS84 EHO84 ERK84 FBG84 FLC84 FUY84 GEU84 GOQ84 GYM84 HII84 HSE84 ICA84 ILW84 IVS84 JFO84 JPK84 JZG84 KJC84 KSY84 LCU84 LMQ84 LWM84 MGI84 MQE84 NAA84 NJW84 NTS84 ODO84 ONK84 OXG84 PHC84 PQY84 QAU84 QKQ84 QUM84 REI84 ROE84 RYA84 SHW84 SRS84 TBO84 TLK84 TVG84 UFC84 UOY84 UYU84 VIQ84 VSM84 WCI84 WME84 WWA84 Y84 JU84 TQ84 ADM84 ANI84 AXE84 BHA84 BQW84 CAS84 CKO84 CUK84 DEG84 DOC84 DXY84 EHU84 ERQ84 FBM84 FLI84 FVE84 GFA84 GOW84 GYS84 HIO84 HSK84 ICG84 IMC84 IVY84 JFU84 JPQ84 JZM84 KJI84 KTE84 LDA84 LMW84 LWS84 MGO84 MQK84 NAG84 NKC84 NTY84 ODU84 ONQ84 OXM84 PHI84 PRE84 QBA84 QKW84 QUS84 REO84 ROK84 RYG84 SIC84 SRY84 TBU84 TLQ84 TVM84 UFI84 UPE84 UZA84 VIW84 VSS84 WCO84 WMK84 WWG84 AD84 JZ84 TV84 ADR84 ANN84 AXJ84 BHF84 BRB84 CAX84 CKT84 CUP84 DEL84 DOH84 DYD84 EHZ84 ERV84 FBR84 FLN84 FVJ84 GFF84 GPB84 GYX84 HIT84 HSP84 ICL84 IMH84 IWD84 JFZ84 JPV84 JZR84 KJN84 KTJ84 LDF84 LNB84 LWX84 MGT84 MQP84 NAL84 NKH84 NUD84 ODZ84 ONV84 OXR84 PHN84 PRJ84 QBF84 QLB84 QUX84 RET84 ROP84 RYL84 SIH84 SSD84 TBZ84 TLV84 TVR84 UFN84 UPJ84 UZF84 VJB84 VSX84 WCT84 WMP84 WWL84 B86 IX86 ST86 ACP86 AML86 AWH86 BGD86 BPZ86 BZV86 CJR86 CTN86 DDJ86 DNF86 DXB86 EGX86 EQT86 FAP86 FKL86 FUH86 GED86 GNZ86 GXV86 HHR86 HRN86 IBJ86 ILF86 IVB86 JEX86 JOT86 JYP86 KIL86 KSH86 LCD86 LLZ86 LVV86 MFR86 MPN86 MZJ86 NJF86 NTB86 OCX86 OMT86 OWP86 PGL86 PQH86 QAD86 QJZ86 QTV86 RDR86 RNN86 RXJ86 SHF86 SRB86 TAX86 TKT86 TUP86 UEL86 UOH86 UYD86 VHZ86 VRV86 WBR86 WLN86 WVJ86 B88 IX88 ST88 ACP88 AML88 AWH88 BGD88 BPZ88 BZV88 CJR88 CTN88 DDJ88 DNF88 DXB88 EGX88 EQT88 FAP88 FKL88 FUH88 GED88 GNZ88 GXV88 HHR88 HRN88 IBJ88 ILF88 IVB88 JEX88 JOT88 JYP88 KIL88 KSH88 LCD88 LLZ88 LVV88 MFR88 MPN88 MZJ88 NJF88 NTB88 OCX88 OMT88 OWP88 PGL88 PQH88 QAD88 QJZ88 QTV88 RDR88 RNN88 RXJ88 SHF88 SRB88 TAX88 TKT88 TUP88 UEL88 UOH88 UYD88 VHZ88 VRV88 WBR88 WLN88 WVJ88 G86 JC86 SY86 ACU86 AMQ86 AWM86 BGI86 BQE86 CAA86 CJW86 CTS86 DDO86 DNK86 DXG86 EHC86 EQY86 FAU86 FKQ86 FUM86 GEI86 GOE86 GYA86 HHW86 HRS86 IBO86 ILK86 IVG86 JFC86 JOY86 JYU86 KIQ86 KSM86 LCI86 LME86 LWA86 MFW86 MPS86 MZO86 NJK86 NTG86 ODC86 OMY86 OWU86 PGQ86 PQM86 QAI86 QKE86 QUA86 RDW86 RNS86 RXO86 SHK86 SRG86 TBC86 TKY86 TUU86 UEQ86 UOM86 UYI86 VIE86 VSA86 WBW86 WLS86 WVO86 N86 JJ86 TF86 ADB86 AMX86 AWT86 BGP86 BQL86 CAH86 CKD86 CTZ86 DDV86 DNR86 DXN86 EHJ86 ERF86 FBB86 FKX86 FUT86 GEP86 GOL86 GYH86 HID86 HRZ86 IBV86 ILR86 IVN86 JFJ86 JPF86 JZB86 KIX86 KST86 LCP86 LML86 LWH86 MGD86 MPZ86 MZV86 NJR86 NTN86 ODJ86 ONF86 OXB86 PGX86 PQT86 QAP86 QKL86 QUH86 RED86 RNZ86 RXV86 SHR86 SRN86 TBJ86 TLF86 TVB86 UEX86 UOT86 UYP86 VIL86 VSH86 WCD86 WLZ86 WVV86 P88 JL88 TH88 ADD88 AMZ88 AWV88 BGR88 BQN88 CAJ88 CKF88 CUB88 DDX88 DNT88 DXP88 EHL88 ERH88 FBD88 FKZ88 FUV88 GER88 GON88 GYJ88 HIF88 HSB88 IBX88 ILT88 IVP88 JFL88 JPH88 JZD88 KIZ88 KSV88 LCR88 LMN88 LWJ88 MGF88 MQB88 MZX88 NJT88 NTP88 ODL88 ONH88 OXD88 PGZ88 PQV88 QAR88 QKN88 QUJ88 REF88 ROB88 RXX88 SHT88 SRP88 TBL88 TLH88 TVD88 UEZ88 UOV88 UYR88 VIN88 VSJ88 WCF88 WMB88 WVX88 S86 JO86 TK86 ADG86 ANC86 AWY86 BGU86 BQQ86 CAM86 CKI86 CUE86 DEA86 DNW86 DXS86 EHO86 ERK86 FBG86 FLC86 FUY86 GEU86 GOQ86 GYM86 HII86 HSE86 ICA86 ILW86 IVS86 JFO86 JPK86 JZG86 KJC86 KSY86 LCU86 LMQ86 LWM86 MGI86 MQE86 NAA86 NJW86 NTS86 ODO86 ONK86 OXG86 PHC86 PQY86 QAU86 QKQ86 QUM86 REI86 ROE86 RYA86 SHW86 SRS86 TBO86 TLK86 TVG86 UFC86 UOY86 UYU86 VIQ86 VSM86 WCI86 WME86 WWA86 Y86 JU86 TQ86 ADM86 ANI86 AXE86 BHA86 BQW86 CAS86 CKO86 CUK86 DEG86 DOC86 DXY86 EHU86 ERQ86 FBM86 FLI86 FVE86 GFA86 GOW86 GYS86 HIO86 HSK86 ICG86 IMC86 IVY86 JFU86 JPQ86 JZM86 KJI86 KTE86 LDA86 LMW86 LWS86 MGO86 MQK86 NAG86 NKC86 NTY86 ODU86 ONQ86 OXM86 PHI86 PRE86 QBA86 QKW86 QUS86 REO86 ROK86 RYG86 SIC86 SRY86 TBU86 TLQ86 TVM86 UFI86 UPE86 UZA86 VIW86 VSS86 WCO86 WMK86 WWG86 X88 JT88 TP88 ADL88 ANH88 AXD88 BGZ88 BQV88 CAR88 CKN88 CUJ88 DEF88 DOB88 DXX88 EHT88 ERP88 FBL88 FLH88 FVD88 GEZ88 GOV88 GYR88 HIN88 HSJ88 ICF88 IMB88 IVX88 JFT88 JPP88 JZL88 KJH88 KTD88 LCZ88 LMV88 LWR88 MGN88 MQJ88 NAF88 NKB88 NTX88 ODT88 ONP88 OXL88 PHH88 PRD88 QAZ88 QKV88 QUR88 REN88 ROJ88 RYF88 SIB88 SRX88 TBT88 TLP88 TVL88 UFH88 UPD88 UYZ88 VIV88 VSR88 WCN88 WMJ88 WWF88 B93 IX93 ST93 ACP93 AML93 AWH93 BGD93 BPZ93 BZV93 CJR93 CTN93 DDJ93 DNF93 DXB93 EGX93 EQT93 FAP93 FKL93 FUH93 GED93 GNZ93 GXV93 HHR93 HRN93 IBJ93 ILF93 IVB93 JEX93 JOT93 JYP93 KIL93 KSH93 LCD93 LLZ93 LVV93 MFR93 MPN93 MZJ93 NJF93 NTB93 OCX93 OMT93 OWP93 PGL93 PQH93 QAD93 QJZ93 QTV93 RDR93 RNN93 RXJ93 SHF93 SRB93 TAX93 TKT93 TUP93 UEL93 UOH93 UYD93 VHZ93 VRV93 WBR93 WLN93 WVJ93 B95 IX95 ST95 ACP95 AML95 AWH95 BGD95 BPZ95 BZV95 CJR95 CTN95 DDJ95 DNF95 DXB95 EGX95 EQT95 FAP95 FKL95 FUH95 GED95 GNZ95 GXV95 HHR95 HRN95 IBJ95 ILF95 IVB95 JEX95 JOT95 JYP95 KIL95 KSH95 LCD95 LLZ95 LVV95 MFR95 MPN95 MZJ95 NJF95 NTB95 OCX95 OMT95 OWP95 PGL95 PQH95 QAD95 QJZ95 QTV95 RDR95 RNN95 RXJ95 SHF95 SRB95 TAX95 TKT95 TUP95 UEL95 UOH95 UYD95 VHZ95 VRV95 WBR95 WLN95 WVJ95 G93 JC93 SY93 ACU93 AMQ93 AWM93 BGI93 BQE93 CAA93 CJW93 CTS93 DDO93 DNK93 DXG93 EHC93 EQY93 FAU93 FKQ93 FUM93 GEI93 GOE93 GYA93 HHW93 HRS93 IBO93 ILK93 IVG93 JFC93 JOY93 JYU93 KIQ93 KSM93 LCI93 LME93 LWA93 MFW93 MPS93 MZO93 NJK93 NTG93 ODC93 OMY93 OWU93 PGQ93 PQM93 QAI93 QKE93 QUA93 RDW93 RNS93 RXO93 SHK93 SRG93 TBC93 TKY93 TUU93 UEQ93 UOM93 UYI93 VIE93 VSA93 WBW93 WLS93 WVO93 L93 JH93 TD93 ACZ93 AMV93 AWR93 BGN93 BQJ93 CAF93 CKB93 CTX93 DDT93 DNP93 DXL93 EHH93 ERD93 FAZ93 FKV93 FUR93 GEN93 GOJ93 GYF93 HIB93 HRX93 IBT93 ILP93 IVL93 JFH93 JPD93 JYZ93 KIV93 KSR93 LCN93 LMJ93 LWF93 MGB93 MPX93 MZT93 NJP93 NTL93 ODH93 OND93 OWZ93 PGV93 PQR93 QAN93 QKJ93 QUF93 REB93 RNX93 RXT93 SHP93 SRL93 TBH93 TLD93 TUZ93 UEV93 UOR93 UYN93 VIJ93 VSF93 WCB93 WLX93 WVT93 K95 JG95 TC95 ACY95 AMU95 AWQ95 BGM95 BQI95 CAE95 CKA95 CTW95 DDS95 DNO95 DXK95 EHG95 ERC95 FAY95 FKU95 FUQ95 GEM95 GOI95 GYE95 HIA95 HRW95 IBS95 ILO95 IVK95 JFG95 JPC95 JYY95 KIU95 KSQ95 LCM95 LMI95 LWE95 MGA95 MPW95 MZS95 NJO95 NTK95 ODG95 ONC95 OWY95 PGU95 PQQ95 QAM95 QKI95 QUE95 REA95 RNW95 RXS95 SHO95 SRK95 TBG95 TLC95 TUY95 UEU95 UOQ95 UYM95 VII95 VSE95 WCA95 WLW95 WVS95 U93 JQ93 TM93 ADI93 ANE93 AXA93 BGW93 BQS93 CAO93 CKK93 CUG93 DEC93 DNY93 DXU93 EHQ93 ERM93 FBI93 FLE93 FVA93 GEW93 GOS93 GYO93 HIK93 HSG93 ICC93 ILY93 IVU93 JFQ93 JPM93 JZI93 KJE93 KTA93 LCW93 LMS93 LWO93 MGK93 MQG93 NAC93 NJY93 NTU93 ODQ93 ONM93 OXI93 PHE93 PRA93 QAW93 QKS93 QUO93 REK93 ROG93 RYC93 SHY93 SRU93 TBQ93 TLM93 TVI93 UFE93 UPA93 UYW93 VIS93 VSO93 WCK93 WMG93 WWC93 T95 JP95 TL95 ADH95 AND95 AWZ95 BGV95 BQR95 CAN95 CKJ95 CUF95 DEB95 DNX95 DXT95 EHP95 ERL95 FBH95 FLD95 FUZ95 GEV95 GOR95 GYN95 HIJ95 HSF95 ICB95 ILX95 IVT95 JFP95 JPL95 JZH95 KJD95 KSZ95 LCV95 LMR95 LWN95 MGJ95 MQF95 NAB95 NJX95 NTT95 ODP95 ONL95 OXH95 PHD95 PQZ95 QAV95 QKR95 QUN95 REJ95 ROF95 RYB95 SHX95 SRT95 TBP95 TLL95 TVH95 UFD95 UOZ95 UYV95 VIR95 VSN95 WCJ95 WMF95 WWB95 Z95 JV95 TR95 ADN95 ANJ95 AXF95 BHB95 BQX95 CAT95 CKP95 CUL95 DEH95 DOD95 DXZ95 EHV95 ERR95 FBN95 FLJ95 FVF95 GFB95 GOX95 GYT95 HIP95 HSL95 ICH95 IMD95 IVZ95 JFV95 JPR95 JZN95 KJJ95 KTF95 LDB95 LMX95 LWT95 MGP95 MQL95 NAH95 NKD95 NTZ95 ODV95 ONR95 OXN95 PHJ95 PRF95 QBB95 QKX95 QUT95 REP95 ROL95 RYH95 SID95 SRZ95 TBV95 TLR95 TVN95 UFJ95 UPF95 UZB95 VIX95 VST95 WCP95 WML95 WWH95 M57 JI57 TE57 ADA57 AMW57 AWS57 BGO57 BQK57 CAG57 CKC57 CTY57 DDU57 DNQ57 DXM57 EHI57 ERE57 FBA57 FKW57 FUS57 GEO57 GOK57 GYG57 HIC57 HRY57 IBU57 ILQ57 IVM57 JFI57 JPE57 JZA57 KIW57 KSS57 LCO57 LMK57 LWG57 MGC57 MPY57 MZU57 NJQ57 NTM57 ODI57 ONE57 OXA57 PGW57 PQS57 QAO57 QKK57 QUG57 REC57 RNY57 RXU57 SHQ57 SRM57 TBI57 TLE57 TVA57 UEW57 UOS57 UYO57 VIK57 VSG57 WCC57 WLY57 WVU57 C27 IY27 SU27 ACQ27 AMM27 AWI27 BGE27 BQA27 BZW27 CJS27 CTO27 DDK27 DNG27 DXC27 EGY27 EQU27 FAQ27 FKM27 FUI27 GEE27 GOA27 GXW27 HHS27 HRO27 IBK27 ILG27 IVC27 JEY27 JOU27 JYQ27 KIM27 KSI27 LCE27 LMA27 LVW27 MFS27 MPO27 MZK27 NJG27 NTC27 OCY27 OMU27 OWQ27 PGM27 PQI27 QAE27 QKA27 QTW27 RDS27 RNO27 RXK27 SHG27 SRC27 TAY27 TKU27 TUQ27 UEM27 UOI27 UYE27 VIA27 VRW27 WBS27 WLO27 WVK27 Z57 Z51 Z53">
      <formula1>"□,■"</formula1>
    </dataValidation>
  </dataValidations>
  <printOptions horizontalCentered="1"/>
  <pageMargins left="0.31496062992125984" right="0.31496062992125984" top="0.39370078740157483" bottom="0.39370078740157483" header="0" footer="0"/>
  <pageSetup paperSize="9" scale="85" orientation="portrait" r:id="rId1"/>
  <rowBreaks count="1" manualBreakCount="1">
    <brk id="70" max="37"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AF69"/>
  <sheetViews>
    <sheetView zoomScale="112" zoomScaleNormal="112" workbookViewId="0">
      <selection activeCell="AU39" sqref="AU39"/>
    </sheetView>
  </sheetViews>
  <sheetFormatPr defaultColWidth="3.375" defaultRowHeight="13.5" customHeight="1"/>
  <cols>
    <col min="1" max="29" width="3" style="757" customWidth="1"/>
    <col min="30" max="30" width="3.375" style="757"/>
    <col min="31" max="31" width="5.125" style="757" bestFit="1" customWidth="1"/>
    <col min="32" max="32" width="22.25" style="757" bestFit="1" customWidth="1"/>
    <col min="33" max="256" width="3.375" style="757"/>
    <col min="257" max="285" width="3" style="757" customWidth="1"/>
    <col min="286" max="286" width="3.375" style="757"/>
    <col min="287" max="287" width="5.125" style="757" bestFit="1" customWidth="1"/>
    <col min="288" max="288" width="22.25" style="757" bestFit="1" customWidth="1"/>
    <col min="289" max="512" width="3.375" style="757"/>
    <col min="513" max="541" width="3" style="757" customWidth="1"/>
    <col min="542" max="542" width="3.375" style="757"/>
    <col min="543" max="543" width="5.125" style="757" bestFit="1" customWidth="1"/>
    <col min="544" max="544" width="22.25" style="757" bestFit="1" customWidth="1"/>
    <col min="545" max="768" width="3.375" style="757"/>
    <col min="769" max="797" width="3" style="757" customWidth="1"/>
    <col min="798" max="798" width="3.375" style="757"/>
    <col min="799" max="799" width="5.125" style="757" bestFit="1" customWidth="1"/>
    <col min="800" max="800" width="22.25" style="757" bestFit="1" customWidth="1"/>
    <col min="801" max="1024" width="3.375" style="757"/>
    <col min="1025" max="1053" width="3" style="757" customWidth="1"/>
    <col min="1054" max="1054" width="3.375" style="757"/>
    <col min="1055" max="1055" width="5.125" style="757" bestFit="1" customWidth="1"/>
    <col min="1056" max="1056" width="22.25" style="757" bestFit="1" customWidth="1"/>
    <col min="1057" max="1280" width="3.375" style="757"/>
    <col min="1281" max="1309" width="3" style="757" customWidth="1"/>
    <col min="1310" max="1310" width="3.375" style="757"/>
    <col min="1311" max="1311" width="5.125" style="757" bestFit="1" customWidth="1"/>
    <col min="1312" max="1312" width="22.25" style="757" bestFit="1" customWidth="1"/>
    <col min="1313" max="1536" width="3.375" style="757"/>
    <col min="1537" max="1565" width="3" style="757" customWidth="1"/>
    <col min="1566" max="1566" width="3.375" style="757"/>
    <col min="1567" max="1567" width="5.125" style="757" bestFit="1" customWidth="1"/>
    <col min="1568" max="1568" width="22.25" style="757" bestFit="1" customWidth="1"/>
    <col min="1569" max="1792" width="3.375" style="757"/>
    <col min="1793" max="1821" width="3" style="757" customWidth="1"/>
    <col min="1822" max="1822" width="3.375" style="757"/>
    <col min="1823" max="1823" width="5.125" style="757" bestFit="1" customWidth="1"/>
    <col min="1824" max="1824" width="22.25" style="757" bestFit="1" customWidth="1"/>
    <col min="1825" max="2048" width="3.375" style="757"/>
    <col min="2049" max="2077" width="3" style="757" customWidth="1"/>
    <col min="2078" max="2078" width="3.375" style="757"/>
    <col min="2079" max="2079" width="5.125" style="757" bestFit="1" customWidth="1"/>
    <col min="2080" max="2080" width="22.25" style="757" bestFit="1" customWidth="1"/>
    <col min="2081" max="2304" width="3.375" style="757"/>
    <col min="2305" max="2333" width="3" style="757" customWidth="1"/>
    <col min="2334" max="2334" width="3.375" style="757"/>
    <col min="2335" max="2335" width="5.125" style="757" bestFit="1" customWidth="1"/>
    <col min="2336" max="2336" width="22.25" style="757" bestFit="1" customWidth="1"/>
    <col min="2337" max="2560" width="3.375" style="757"/>
    <col min="2561" max="2589" width="3" style="757" customWidth="1"/>
    <col min="2590" max="2590" width="3.375" style="757"/>
    <col min="2591" max="2591" width="5.125" style="757" bestFit="1" customWidth="1"/>
    <col min="2592" max="2592" width="22.25" style="757" bestFit="1" customWidth="1"/>
    <col min="2593" max="2816" width="3.375" style="757"/>
    <col min="2817" max="2845" width="3" style="757" customWidth="1"/>
    <col min="2846" max="2846" width="3.375" style="757"/>
    <col min="2847" max="2847" width="5.125" style="757" bestFit="1" customWidth="1"/>
    <col min="2848" max="2848" width="22.25" style="757" bestFit="1" customWidth="1"/>
    <col min="2849" max="3072" width="3.375" style="757"/>
    <col min="3073" max="3101" width="3" style="757" customWidth="1"/>
    <col min="3102" max="3102" width="3.375" style="757"/>
    <col min="3103" max="3103" width="5.125" style="757" bestFit="1" customWidth="1"/>
    <col min="3104" max="3104" width="22.25" style="757" bestFit="1" customWidth="1"/>
    <col min="3105" max="3328" width="3.375" style="757"/>
    <col min="3329" max="3357" width="3" style="757" customWidth="1"/>
    <col min="3358" max="3358" width="3.375" style="757"/>
    <col min="3359" max="3359" width="5.125" style="757" bestFit="1" customWidth="1"/>
    <col min="3360" max="3360" width="22.25" style="757" bestFit="1" customWidth="1"/>
    <col min="3361" max="3584" width="3.375" style="757"/>
    <col min="3585" max="3613" width="3" style="757" customWidth="1"/>
    <col min="3614" max="3614" width="3.375" style="757"/>
    <col min="3615" max="3615" width="5.125" style="757" bestFit="1" customWidth="1"/>
    <col min="3616" max="3616" width="22.25" style="757" bestFit="1" customWidth="1"/>
    <col min="3617" max="3840" width="3.375" style="757"/>
    <col min="3841" max="3869" width="3" style="757" customWidth="1"/>
    <col min="3870" max="3870" width="3.375" style="757"/>
    <col min="3871" max="3871" width="5.125" style="757" bestFit="1" customWidth="1"/>
    <col min="3872" max="3872" width="22.25" style="757" bestFit="1" customWidth="1"/>
    <col min="3873" max="4096" width="3.375" style="757"/>
    <col min="4097" max="4125" width="3" style="757" customWidth="1"/>
    <col min="4126" max="4126" width="3.375" style="757"/>
    <col min="4127" max="4127" width="5.125" style="757" bestFit="1" customWidth="1"/>
    <col min="4128" max="4128" width="22.25" style="757" bestFit="1" customWidth="1"/>
    <col min="4129" max="4352" width="3.375" style="757"/>
    <col min="4353" max="4381" width="3" style="757" customWidth="1"/>
    <col min="4382" max="4382" width="3.375" style="757"/>
    <col min="4383" max="4383" width="5.125" style="757" bestFit="1" customWidth="1"/>
    <col min="4384" max="4384" width="22.25" style="757" bestFit="1" customWidth="1"/>
    <col min="4385" max="4608" width="3.375" style="757"/>
    <col min="4609" max="4637" width="3" style="757" customWidth="1"/>
    <col min="4638" max="4638" width="3.375" style="757"/>
    <col min="4639" max="4639" width="5.125" style="757" bestFit="1" customWidth="1"/>
    <col min="4640" max="4640" width="22.25" style="757" bestFit="1" customWidth="1"/>
    <col min="4641" max="4864" width="3.375" style="757"/>
    <col min="4865" max="4893" width="3" style="757" customWidth="1"/>
    <col min="4894" max="4894" width="3.375" style="757"/>
    <col min="4895" max="4895" width="5.125" style="757" bestFit="1" customWidth="1"/>
    <col min="4896" max="4896" width="22.25" style="757" bestFit="1" customWidth="1"/>
    <col min="4897" max="5120" width="3.375" style="757"/>
    <col min="5121" max="5149" width="3" style="757" customWidth="1"/>
    <col min="5150" max="5150" width="3.375" style="757"/>
    <col min="5151" max="5151" width="5.125" style="757" bestFit="1" customWidth="1"/>
    <col min="5152" max="5152" width="22.25" style="757" bestFit="1" customWidth="1"/>
    <col min="5153" max="5376" width="3.375" style="757"/>
    <col min="5377" max="5405" width="3" style="757" customWidth="1"/>
    <col min="5406" max="5406" width="3.375" style="757"/>
    <col min="5407" max="5407" width="5.125" style="757" bestFit="1" customWidth="1"/>
    <col min="5408" max="5408" width="22.25" style="757" bestFit="1" customWidth="1"/>
    <col min="5409" max="5632" width="3.375" style="757"/>
    <col min="5633" max="5661" width="3" style="757" customWidth="1"/>
    <col min="5662" max="5662" width="3.375" style="757"/>
    <col min="5663" max="5663" width="5.125" style="757" bestFit="1" customWidth="1"/>
    <col min="5664" max="5664" width="22.25" style="757" bestFit="1" customWidth="1"/>
    <col min="5665" max="5888" width="3.375" style="757"/>
    <col min="5889" max="5917" width="3" style="757" customWidth="1"/>
    <col min="5918" max="5918" width="3.375" style="757"/>
    <col min="5919" max="5919" width="5.125" style="757" bestFit="1" customWidth="1"/>
    <col min="5920" max="5920" width="22.25" style="757" bestFit="1" customWidth="1"/>
    <col min="5921" max="6144" width="3.375" style="757"/>
    <col min="6145" max="6173" width="3" style="757" customWidth="1"/>
    <col min="6174" max="6174" width="3.375" style="757"/>
    <col min="6175" max="6175" width="5.125" style="757" bestFit="1" customWidth="1"/>
    <col min="6176" max="6176" width="22.25" style="757" bestFit="1" customWidth="1"/>
    <col min="6177" max="6400" width="3.375" style="757"/>
    <col min="6401" max="6429" width="3" style="757" customWidth="1"/>
    <col min="6430" max="6430" width="3.375" style="757"/>
    <col min="6431" max="6431" width="5.125" style="757" bestFit="1" customWidth="1"/>
    <col min="6432" max="6432" width="22.25" style="757" bestFit="1" customWidth="1"/>
    <col min="6433" max="6656" width="3.375" style="757"/>
    <col min="6657" max="6685" width="3" style="757" customWidth="1"/>
    <col min="6686" max="6686" width="3.375" style="757"/>
    <col min="6687" max="6687" width="5.125" style="757" bestFit="1" customWidth="1"/>
    <col min="6688" max="6688" width="22.25" style="757" bestFit="1" customWidth="1"/>
    <col min="6689" max="6912" width="3.375" style="757"/>
    <col min="6913" max="6941" width="3" style="757" customWidth="1"/>
    <col min="6942" max="6942" width="3.375" style="757"/>
    <col min="6943" max="6943" width="5.125" style="757" bestFit="1" customWidth="1"/>
    <col min="6944" max="6944" width="22.25" style="757" bestFit="1" customWidth="1"/>
    <col min="6945" max="7168" width="3.375" style="757"/>
    <col min="7169" max="7197" width="3" style="757" customWidth="1"/>
    <col min="7198" max="7198" width="3.375" style="757"/>
    <col min="7199" max="7199" width="5.125" style="757" bestFit="1" customWidth="1"/>
    <col min="7200" max="7200" width="22.25" style="757" bestFit="1" customWidth="1"/>
    <col min="7201" max="7424" width="3.375" style="757"/>
    <col min="7425" max="7453" width="3" style="757" customWidth="1"/>
    <col min="7454" max="7454" width="3.375" style="757"/>
    <col min="7455" max="7455" width="5.125" style="757" bestFit="1" customWidth="1"/>
    <col min="7456" max="7456" width="22.25" style="757" bestFit="1" customWidth="1"/>
    <col min="7457" max="7680" width="3.375" style="757"/>
    <col min="7681" max="7709" width="3" style="757" customWidth="1"/>
    <col min="7710" max="7710" width="3.375" style="757"/>
    <col min="7711" max="7711" width="5.125" style="757" bestFit="1" customWidth="1"/>
    <col min="7712" max="7712" width="22.25" style="757" bestFit="1" customWidth="1"/>
    <col min="7713" max="7936" width="3.375" style="757"/>
    <col min="7937" max="7965" width="3" style="757" customWidth="1"/>
    <col min="7966" max="7966" width="3.375" style="757"/>
    <col min="7967" max="7967" width="5.125" style="757" bestFit="1" customWidth="1"/>
    <col min="7968" max="7968" width="22.25" style="757" bestFit="1" customWidth="1"/>
    <col min="7969" max="8192" width="3.375" style="757"/>
    <col min="8193" max="8221" width="3" style="757" customWidth="1"/>
    <col min="8222" max="8222" width="3.375" style="757"/>
    <col min="8223" max="8223" width="5.125" style="757" bestFit="1" customWidth="1"/>
    <col min="8224" max="8224" width="22.25" style="757" bestFit="1" customWidth="1"/>
    <col min="8225" max="8448" width="3.375" style="757"/>
    <col min="8449" max="8477" width="3" style="757" customWidth="1"/>
    <col min="8478" max="8478" width="3.375" style="757"/>
    <col min="8479" max="8479" width="5.125" style="757" bestFit="1" customWidth="1"/>
    <col min="8480" max="8480" width="22.25" style="757" bestFit="1" customWidth="1"/>
    <col min="8481" max="8704" width="3.375" style="757"/>
    <col min="8705" max="8733" width="3" style="757" customWidth="1"/>
    <col min="8734" max="8734" width="3.375" style="757"/>
    <col min="8735" max="8735" width="5.125" style="757" bestFit="1" customWidth="1"/>
    <col min="8736" max="8736" width="22.25" style="757" bestFit="1" customWidth="1"/>
    <col min="8737" max="8960" width="3.375" style="757"/>
    <col min="8961" max="8989" width="3" style="757" customWidth="1"/>
    <col min="8990" max="8990" width="3.375" style="757"/>
    <col min="8991" max="8991" width="5.125" style="757" bestFit="1" customWidth="1"/>
    <col min="8992" max="8992" width="22.25" style="757" bestFit="1" customWidth="1"/>
    <col min="8993" max="9216" width="3.375" style="757"/>
    <col min="9217" max="9245" width="3" style="757" customWidth="1"/>
    <col min="9246" max="9246" width="3.375" style="757"/>
    <col min="9247" max="9247" width="5.125" style="757" bestFit="1" customWidth="1"/>
    <col min="9248" max="9248" width="22.25" style="757" bestFit="1" customWidth="1"/>
    <col min="9249" max="9472" width="3.375" style="757"/>
    <col min="9473" max="9501" width="3" style="757" customWidth="1"/>
    <col min="9502" max="9502" width="3.375" style="757"/>
    <col min="9503" max="9503" width="5.125" style="757" bestFit="1" customWidth="1"/>
    <col min="9504" max="9504" width="22.25" style="757" bestFit="1" customWidth="1"/>
    <col min="9505" max="9728" width="3.375" style="757"/>
    <col min="9729" max="9757" width="3" style="757" customWidth="1"/>
    <col min="9758" max="9758" width="3.375" style="757"/>
    <col min="9759" max="9759" width="5.125" style="757" bestFit="1" customWidth="1"/>
    <col min="9760" max="9760" width="22.25" style="757" bestFit="1" customWidth="1"/>
    <col min="9761" max="9984" width="3.375" style="757"/>
    <col min="9985" max="10013" width="3" style="757" customWidth="1"/>
    <col min="10014" max="10014" width="3.375" style="757"/>
    <col min="10015" max="10015" width="5.125" style="757" bestFit="1" customWidth="1"/>
    <col min="10016" max="10016" width="22.25" style="757" bestFit="1" customWidth="1"/>
    <col min="10017" max="10240" width="3.375" style="757"/>
    <col min="10241" max="10269" width="3" style="757" customWidth="1"/>
    <col min="10270" max="10270" width="3.375" style="757"/>
    <col min="10271" max="10271" width="5.125" style="757" bestFit="1" customWidth="1"/>
    <col min="10272" max="10272" width="22.25" style="757" bestFit="1" customWidth="1"/>
    <col min="10273" max="10496" width="3.375" style="757"/>
    <col min="10497" max="10525" width="3" style="757" customWidth="1"/>
    <col min="10526" max="10526" width="3.375" style="757"/>
    <col min="10527" max="10527" width="5.125" style="757" bestFit="1" customWidth="1"/>
    <col min="10528" max="10528" width="22.25" style="757" bestFit="1" customWidth="1"/>
    <col min="10529" max="10752" width="3.375" style="757"/>
    <col min="10753" max="10781" width="3" style="757" customWidth="1"/>
    <col min="10782" max="10782" width="3.375" style="757"/>
    <col min="10783" max="10783" width="5.125" style="757" bestFit="1" customWidth="1"/>
    <col min="10784" max="10784" width="22.25" style="757" bestFit="1" customWidth="1"/>
    <col min="10785" max="11008" width="3.375" style="757"/>
    <col min="11009" max="11037" width="3" style="757" customWidth="1"/>
    <col min="11038" max="11038" width="3.375" style="757"/>
    <col min="11039" max="11039" width="5.125" style="757" bestFit="1" customWidth="1"/>
    <col min="11040" max="11040" width="22.25" style="757" bestFit="1" customWidth="1"/>
    <col min="11041" max="11264" width="3.375" style="757"/>
    <col min="11265" max="11293" width="3" style="757" customWidth="1"/>
    <col min="11294" max="11294" width="3.375" style="757"/>
    <col min="11295" max="11295" width="5.125" style="757" bestFit="1" customWidth="1"/>
    <col min="11296" max="11296" width="22.25" style="757" bestFit="1" customWidth="1"/>
    <col min="11297" max="11520" width="3.375" style="757"/>
    <col min="11521" max="11549" width="3" style="757" customWidth="1"/>
    <col min="11550" max="11550" width="3.375" style="757"/>
    <col min="11551" max="11551" width="5.125" style="757" bestFit="1" customWidth="1"/>
    <col min="11552" max="11552" width="22.25" style="757" bestFit="1" customWidth="1"/>
    <col min="11553" max="11776" width="3.375" style="757"/>
    <col min="11777" max="11805" width="3" style="757" customWidth="1"/>
    <col min="11806" max="11806" width="3.375" style="757"/>
    <col min="11807" max="11807" width="5.125" style="757" bestFit="1" customWidth="1"/>
    <col min="11808" max="11808" width="22.25" style="757" bestFit="1" customWidth="1"/>
    <col min="11809" max="12032" width="3.375" style="757"/>
    <col min="12033" max="12061" width="3" style="757" customWidth="1"/>
    <col min="12062" max="12062" width="3.375" style="757"/>
    <col min="12063" max="12063" width="5.125" style="757" bestFit="1" customWidth="1"/>
    <col min="12064" max="12064" width="22.25" style="757" bestFit="1" customWidth="1"/>
    <col min="12065" max="12288" width="3.375" style="757"/>
    <col min="12289" max="12317" width="3" style="757" customWidth="1"/>
    <col min="12318" max="12318" width="3.375" style="757"/>
    <col min="12319" max="12319" width="5.125" style="757" bestFit="1" customWidth="1"/>
    <col min="12320" max="12320" width="22.25" style="757" bestFit="1" customWidth="1"/>
    <col min="12321" max="12544" width="3.375" style="757"/>
    <col min="12545" max="12573" width="3" style="757" customWidth="1"/>
    <col min="12574" max="12574" width="3.375" style="757"/>
    <col min="12575" max="12575" width="5.125" style="757" bestFit="1" customWidth="1"/>
    <col min="12576" max="12576" width="22.25" style="757" bestFit="1" customWidth="1"/>
    <col min="12577" max="12800" width="3.375" style="757"/>
    <col min="12801" max="12829" width="3" style="757" customWidth="1"/>
    <col min="12830" max="12830" width="3.375" style="757"/>
    <col min="12831" max="12831" width="5.125" style="757" bestFit="1" customWidth="1"/>
    <col min="12832" max="12832" width="22.25" style="757" bestFit="1" customWidth="1"/>
    <col min="12833" max="13056" width="3.375" style="757"/>
    <col min="13057" max="13085" width="3" style="757" customWidth="1"/>
    <col min="13086" max="13086" width="3.375" style="757"/>
    <col min="13087" max="13087" width="5.125" style="757" bestFit="1" customWidth="1"/>
    <col min="13088" max="13088" width="22.25" style="757" bestFit="1" customWidth="1"/>
    <col min="13089" max="13312" width="3.375" style="757"/>
    <col min="13313" max="13341" width="3" style="757" customWidth="1"/>
    <col min="13342" max="13342" width="3.375" style="757"/>
    <col min="13343" max="13343" width="5.125" style="757" bestFit="1" customWidth="1"/>
    <col min="13344" max="13344" width="22.25" style="757" bestFit="1" customWidth="1"/>
    <col min="13345" max="13568" width="3.375" style="757"/>
    <col min="13569" max="13597" width="3" style="757" customWidth="1"/>
    <col min="13598" max="13598" width="3.375" style="757"/>
    <col min="13599" max="13599" width="5.125" style="757" bestFit="1" customWidth="1"/>
    <col min="13600" max="13600" width="22.25" style="757" bestFit="1" customWidth="1"/>
    <col min="13601" max="13824" width="3.375" style="757"/>
    <col min="13825" max="13853" width="3" style="757" customWidth="1"/>
    <col min="13854" max="13854" width="3.375" style="757"/>
    <col min="13855" max="13855" width="5.125" style="757" bestFit="1" customWidth="1"/>
    <col min="13856" max="13856" width="22.25" style="757" bestFit="1" customWidth="1"/>
    <col min="13857" max="14080" width="3.375" style="757"/>
    <col min="14081" max="14109" width="3" style="757" customWidth="1"/>
    <col min="14110" max="14110" width="3.375" style="757"/>
    <col min="14111" max="14111" width="5.125" style="757" bestFit="1" customWidth="1"/>
    <col min="14112" max="14112" width="22.25" style="757" bestFit="1" customWidth="1"/>
    <col min="14113" max="14336" width="3.375" style="757"/>
    <col min="14337" max="14365" width="3" style="757" customWidth="1"/>
    <col min="14366" max="14366" width="3.375" style="757"/>
    <col min="14367" max="14367" width="5.125" style="757" bestFit="1" customWidth="1"/>
    <col min="14368" max="14368" width="22.25" style="757" bestFit="1" customWidth="1"/>
    <col min="14369" max="14592" width="3.375" style="757"/>
    <col min="14593" max="14621" width="3" style="757" customWidth="1"/>
    <col min="14622" max="14622" width="3.375" style="757"/>
    <col min="14623" max="14623" width="5.125" style="757" bestFit="1" customWidth="1"/>
    <col min="14624" max="14624" width="22.25" style="757" bestFit="1" customWidth="1"/>
    <col min="14625" max="14848" width="3.375" style="757"/>
    <col min="14849" max="14877" width="3" style="757" customWidth="1"/>
    <col min="14878" max="14878" width="3.375" style="757"/>
    <col min="14879" max="14879" width="5.125" style="757" bestFit="1" customWidth="1"/>
    <col min="14880" max="14880" width="22.25" style="757" bestFit="1" customWidth="1"/>
    <col min="14881" max="15104" width="3.375" style="757"/>
    <col min="15105" max="15133" width="3" style="757" customWidth="1"/>
    <col min="15134" max="15134" width="3.375" style="757"/>
    <col min="15135" max="15135" width="5.125" style="757" bestFit="1" customWidth="1"/>
    <col min="15136" max="15136" width="22.25" style="757" bestFit="1" customWidth="1"/>
    <col min="15137" max="15360" width="3.375" style="757"/>
    <col min="15361" max="15389" width="3" style="757" customWidth="1"/>
    <col min="15390" max="15390" width="3.375" style="757"/>
    <col min="15391" max="15391" width="5.125" style="757" bestFit="1" customWidth="1"/>
    <col min="15392" max="15392" width="22.25" style="757" bestFit="1" customWidth="1"/>
    <col min="15393" max="15616" width="3.375" style="757"/>
    <col min="15617" max="15645" width="3" style="757" customWidth="1"/>
    <col min="15646" max="15646" width="3.375" style="757"/>
    <col min="15647" max="15647" width="5.125" style="757" bestFit="1" customWidth="1"/>
    <col min="15648" max="15648" width="22.25" style="757" bestFit="1" customWidth="1"/>
    <col min="15649" max="15872" width="3.375" style="757"/>
    <col min="15873" max="15901" width="3" style="757" customWidth="1"/>
    <col min="15902" max="15902" width="3.375" style="757"/>
    <col min="15903" max="15903" width="5.125" style="757" bestFit="1" customWidth="1"/>
    <col min="15904" max="15904" width="22.25" style="757" bestFit="1" customWidth="1"/>
    <col min="15905" max="16128" width="3.375" style="757"/>
    <col min="16129" max="16157" width="3" style="757" customWidth="1"/>
    <col min="16158" max="16158" width="3.375" style="757"/>
    <col min="16159" max="16159" width="5.125" style="757" bestFit="1" customWidth="1"/>
    <col min="16160" max="16160" width="22.25" style="757" bestFit="1" customWidth="1"/>
    <col min="16161" max="16384" width="3.375" style="757"/>
  </cols>
  <sheetData>
    <row r="1" spans="1:32" ht="15">
      <c r="X1" s="1449" t="s">
        <v>1220</v>
      </c>
      <c r="Y1" s="1449"/>
      <c r="Z1" s="1449"/>
      <c r="AA1" s="1449"/>
      <c r="AB1" s="1449"/>
      <c r="AC1" s="1449"/>
    </row>
    <row r="2" spans="1:32" ht="13.5" customHeight="1">
      <c r="A2" s="758" t="s">
        <v>1176</v>
      </c>
      <c r="B2" s="758"/>
      <c r="C2" s="758"/>
      <c r="D2" s="758"/>
      <c r="E2" s="758"/>
      <c r="F2" s="758"/>
      <c r="G2" s="758"/>
      <c r="H2" s="758"/>
      <c r="I2" s="758"/>
      <c r="J2" s="758"/>
      <c r="K2" s="758"/>
      <c r="L2" s="758"/>
      <c r="M2" s="758"/>
      <c r="N2" s="758"/>
      <c r="O2" s="758"/>
      <c r="P2" s="758"/>
      <c r="Q2" s="758"/>
      <c r="R2" s="758"/>
      <c r="S2" s="758"/>
      <c r="T2" s="758"/>
      <c r="U2" s="758"/>
      <c r="V2" s="758"/>
      <c r="W2" s="758"/>
      <c r="X2" s="758"/>
      <c r="Y2" s="758"/>
      <c r="Z2" s="758"/>
      <c r="AA2" s="758"/>
      <c r="AB2" s="758"/>
      <c r="AC2" s="758"/>
      <c r="AF2" s="757" t="s">
        <v>177</v>
      </c>
    </row>
    <row r="3" spans="1:32" ht="13.5" customHeight="1">
      <c r="A3" s="758"/>
      <c r="B3" s="758"/>
      <c r="C3" s="758"/>
      <c r="D3" s="758"/>
      <c r="E3" s="758"/>
      <c r="F3" s="758"/>
      <c r="G3" s="758"/>
      <c r="H3" s="758"/>
      <c r="I3" s="758"/>
      <c r="J3" s="758"/>
      <c r="K3" s="758"/>
      <c r="L3" s="758"/>
      <c r="M3" s="758"/>
      <c r="N3" s="758"/>
      <c r="O3" s="758"/>
      <c r="P3" s="758"/>
      <c r="Q3" s="758"/>
      <c r="R3" s="758"/>
      <c r="S3" s="758"/>
      <c r="T3" s="758"/>
      <c r="U3" s="758"/>
      <c r="V3" s="758"/>
      <c r="W3" s="758"/>
      <c r="X3" s="758"/>
      <c r="Y3" s="758"/>
      <c r="Z3" s="758"/>
      <c r="AA3" s="758"/>
      <c r="AB3" s="758"/>
      <c r="AC3" s="759" t="s">
        <v>1263</v>
      </c>
      <c r="AF3" s="757" t="s">
        <v>127</v>
      </c>
    </row>
    <row r="4" spans="1:32" ht="18.75">
      <c r="A4" s="1450" t="s">
        <v>1177</v>
      </c>
      <c r="B4" s="1450"/>
      <c r="C4" s="1450"/>
      <c r="D4" s="1450"/>
      <c r="E4" s="1450"/>
      <c r="F4" s="1450"/>
      <c r="G4" s="1450"/>
      <c r="H4" s="1450"/>
      <c r="I4" s="1450"/>
      <c r="J4" s="1450"/>
      <c r="K4" s="1450"/>
      <c r="L4" s="1450"/>
      <c r="M4" s="1450"/>
      <c r="N4" s="1450"/>
      <c r="O4" s="1450"/>
      <c r="P4" s="1450"/>
      <c r="Q4" s="1450"/>
      <c r="R4" s="1450"/>
      <c r="S4" s="1450"/>
      <c r="T4" s="1450"/>
      <c r="U4" s="1450"/>
      <c r="V4" s="1450"/>
      <c r="W4" s="1450"/>
      <c r="X4" s="1450"/>
      <c r="Y4" s="1450"/>
      <c r="Z4" s="1450"/>
      <c r="AA4" s="1450"/>
      <c r="AB4" s="1450"/>
      <c r="AC4" s="1450"/>
    </row>
    <row r="5" spans="1:32" ht="13.5" customHeight="1" thickBot="1"/>
    <row r="6" spans="1:32" ht="14.25" customHeight="1" thickBot="1">
      <c r="A6" s="1451" t="s">
        <v>1131</v>
      </c>
      <c r="B6" s="1453"/>
      <c r="C6" s="1453"/>
      <c r="D6" s="1453"/>
      <c r="E6" s="1453"/>
      <c r="F6" s="1453"/>
      <c r="G6" s="1453"/>
      <c r="H6" s="1453"/>
      <c r="I6" s="1453"/>
      <c r="J6" s="1453"/>
      <c r="K6" s="1453"/>
      <c r="L6" s="1453"/>
      <c r="M6" s="1453"/>
      <c r="N6" s="1453"/>
      <c r="O6" s="1453"/>
      <c r="P6" s="1452"/>
      <c r="Q6" s="1451" t="s">
        <v>960</v>
      </c>
      <c r="R6" s="1452"/>
      <c r="S6" s="1451" t="s">
        <v>956</v>
      </c>
      <c r="T6" s="1453"/>
      <c r="U6" s="1453"/>
      <c r="V6" s="1452"/>
      <c r="W6" s="1451" t="s">
        <v>474</v>
      </c>
      <c r="X6" s="1453"/>
      <c r="Y6" s="1453"/>
      <c r="Z6" s="1453"/>
      <c r="AA6" s="1453"/>
      <c r="AB6" s="1453"/>
      <c r="AC6" s="1452"/>
    </row>
    <row r="7" spans="1:32" ht="14.25" customHeight="1" thickTop="1" thickBot="1">
      <c r="A7" s="1454" t="str">
        <f>'01.入学願書'!J11&amp;" "&amp;'01.入学願書'!S11</f>
        <v>BÙI VĂN HẢI</v>
      </c>
      <c r="B7" s="1455"/>
      <c r="C7" s="1455"/>
      <c r="D7" s="1455"/>
      <c r="E7" s="1455"/>
      <c r="F7" s="1455"/>
      <c r="G7" s="1455"/>
      <c r="H7" s="1455"/>
      <c r="I7" s="1455"/>
      <c r="J7" s="1455"/>
      <c r="K7" s="1455"/>
      <c r="L7" s="1455"/>
      <c r="M7" s="1455"/>
      <c r="N7" s="1455"/>
      <c r="O7" s="1455"/>
      <c r="P7" s="1456"/>
      <c r="Q7" s="1440" t="str">
        <f>IF('01.入学願書'!H14="■","男",IF('01.入学願書'!L14="■","女","未記入"))</f>
        <v>男</v>
      </c>
      <c r="R7" s="1441"/>
      <c r="S7" s="1440" t="str">
        <f>VLOOKUP('01.入学願書'!H16,'01.入学願書'!BO4:BP10,2,FALSE)</f>
        <v>ベトナム</v>
      </c>
      <c r="T7" s="1442"/>
      <c r="U7" s="1442"/>
      <c r="V7" s="1441"/>
      <c r="W7" s="1443" t="str">
        <f>IF('01.入学願書'!Z14="","",'01.入学願書'!Z14&amp;"年"&amp;'01.入学願書'!AI14&amp;"月"&amp;'01.入学願書'!AN14&amp;"日")</f>
        <v>1991年11月05日</v>
      </c>
      <c r="X7" s="1444"/>
      <c r="Y7" s="1444"/>
      <c r="Z7" s="1444"/>
      <c r="AA7" s="1444"/>
      <c r="AB7" s="1444"/>
      <c r="AC7" s="1445"/>
    </row>
    <row r="8" spans="1:32" ht="14.25" customHeight="1" thickBot="1">
      <c r="A8" s="760"/>
      <c r="B8" s="760"/>
      <c r="C8" s="760"/>
      <c r="D8" s="760"/>
      <c r="E8" s="760"/>
      <c r="F8" s="760"/>
      <c r="G8" s="760"/>
      <c r="H8" s="760"/>
      <c r="I8" s="760"/>
      <c r="J8" s="760"/>
      <c r="K8" s="760"/>
      <c r="L8" s="760"/>
      <c r="M8" s="760"/>
      <c r="N8" s="760"/>
      <c r="O8" s="760"/>
      <c r="P8" s="760"/>
      <c r="Q8" s="760"/>
      <c r="R8" s="760"/>
      <c r="S8" s="760"/>
      <c r="T8" s="760"/>
      <c r="U8" s="760"/>
      <c r="V8" s="760"/>
      <c r="W8" s="760"/>
      <c r="X8" s="760"/>
      <c r="Y8" s="760"/>
      <c r="Z8" s="760"/>
      <c r="AA8" s="760"/>
      <c r="AB8" s="760"/>
      <c r="AC8" s="760"/>
    </row>
    <row r="9" spans="1:32" ht="13.5" customHeight="1" thickBot="1">
      <c r="A9" s="1446" t="s">
        <v>1178</v>
      </c>
      <c r="B9" s="1447"/>
      <c r="C9" s="1447"/>
      <c r="D9" s="1447"/>
      <c r="E9" s="1447"/>
      <c r="F9" s="1447"/>
      <c r="G9" s="1447"/>
      <c r="H9" s="1447"/>
      <c r="I9" s="1447"/>
      <c r="J9" s="1447"/>
      <c r="K9" s="1447"/>
      <c r="L9" s="1447"/>
      <c r="M9" s="1447"/>
      <c r="N9" s="1447"/>
      <c r="O9" s="1447"/>
      <c r="P9" s="1447"/>
      <c r="Q9" s="1447"/>
      <c r="R9" s="1447"/>
      <c r="S9" s="1447"/>
      <c r="T9" s="1447"/>
      <c r="U9" s="1447"/>
      <c r="V9" s="1447"/>
      <c r="W9" s="1447"/>
      <c r="X9" s="1447"/>
      <c r="Y9" s="1447"/>
      <c r="Z9" s="1447"/>
      <c r="AA9" s="1447"/>
      <c r="AB9" s="1447"/>
      <c r="AC9" s="1448"/>
    </row>
    <row r="10" spans="1:32" ht="13.5" customHeight="1" thickTop="1">
      <c r="A10" s="761">
        <v>1</v>
      </c>
      <c r="B10" s="1457" t="s">
        <v>1179</v>
      </c>
      <c r="C10" s="1458"/>
      <c r="D10" s="1458"/>
      <c r="E10" s="1459" t="s">
        <v>1222</v>
      </c>
      <c r="F10" s="1460"/>
      <c r="G10" s="1460"/>
      <c r="H10" s="1460"/>
      <c r="I10" s="1460"/>
      <c r="J10" s="1460"/>
      <c r="K10" s="1460"/>
      <c r="L10" s="1460"/>
      <c r="M10" s="1460"/>
      <c r="N10" s="1460"/>
      <c r="O10" s="1460"/>
      <c r="P10" s="1460"/>
      <c r="Q10" s="1460"/>
      <c r="R10" s="1460"/>
      <c r="S10" s="1460"/>
      <c r="T10" s="1460"/>
      <c r="U10" s="1460"/>
      <c r="V10" s="1460"/>
      <c r="W10" s="1460"/>
      <c r="X10" s="1460"/>
      <c r="Y10" s="1460"/>
      <c r="Z10" s="1460"/>
      <c r="AA10" s="1460"/>
      <c r="AB10" s="1460"/>
      <c r="AC10" s="1461"/>
    </row>
    <row r="11" spans="1:32" ht="13.5" customHeight="1">
      <c r="A11" s="1476">
        <v>2</v>
      </c>
      <c r="B11" s="1479" t="s">
        <v>1180</v>
      </c>
      <c r="C11" s="1480"/>
      <c r="D11" s="1481"/>
      <c r="E11" s="1462"/>
      <c r="F11" s="764" t="s">
        <v>124</v>
      </c>
      <c r="G11" s="764" t="s">
        <v>1184</v>
      </c>
      <c r="H11" s="764"/>
      <c r="I11" s="764"/>
      <c r="J11" s="764"/>
      <c r="K11" s="764"/>
      <c r="L11" s="764"/>
      <c r="M11" s="764"/>
      <c r="N11" s="764"/>
      <c r="O11" s="764"/>
      <c r="P11" s="764"/>
      <c r="Q11" s="764"/>
      <c r="R11" s="764"/>
      <c r="S11" s="764"/>
      <c r="T11" s="764"/>
      <c r="U11" s="764"/>
      <c r="V11" s="764"/>
      <c r="W11" s="764"/>
      <c r="X11" s="764"/>
      <c r="Y11" s="764"/>
      <c r="Z11" s="764"/>
      <c r="AA11" s="764"/>
      <c r="AB11" s="764"/>
      <c r="AC11" s="765"/>
    </row>
    <row r="12" spans="1:32" ht="13.5" customHeight="1">
      <c r="A12" s="1477"/>
      <c r="B12" s="1482"/>
      <c r="C12" s="1483"/>
      <c r="D12" s="1484"/>
      <c r="E12" s="1463"/>
      <c r="F12" s="1465" t="s">
        <v>1185</v>
      </c>
      <c r="G12" s="1465"/>
      <c r="H12" s="1465"/>
      <c r="I12" s="1465"/>
      <c r="J12" s="1465"/>
      <c r="K12" s="1465"/>
      <c r="L12" s="1465"/>
      <c r="M12" s="1465"/>
      <c r="N12" s="1465"/>
      <c r="O12" s="1465"/>
      <c r="P12" s="1465"/>
      <c r="Q12" s="1465"/>
      <c r="R12" s="1465"/>
      <c r="S12" s="1465"/>
      <c r="T12" s="1465"/>
      <c r="U12" s="1465"/>
      <c r="V12" s="1465"/>
      <c r="W12" s="1465"/>
      <c r="X12" s="1465"/>
      <c r="Y12" s="1465"/>
      <c r="Z12" s="1465"/>
      <c r="AA12" s="1465"/>
      <c r="AB12" s="1465"/>
      <c r="AC12" s="1466"/>
    </row>
    <row r="13" spans="1:32" ht="13.5" customHeight="1">
      <c r="A13" s="1477"/>
      <c r="B13" s="1482"/>
      <c r="C13" s="1483"/>
      <c r="D13" s="1484"/>
      <c r="E13" s="1463"/>
      <c r="F13" s="766"/>
      <c r="G13" s="766" t="s">
        <v>124</v>
      </c>
      <c r="H13" s="766" t="s">
        <v>1186</v>
      </c>
      <c r="I13" s="766"/>
      <c r="J13" s="766"/>
      <c r="K13" s="766"/>
      <c r="L13" s="766"/>
      <c r="M13" s="766" t="s">
        <v>1187</v>
      </c>
      <c r="N13" s="766" t="s">
        <v>1188</v>
      </c>
      <c r="O13" s="766"/>
      <c r="P13" s="766"/>
      <c r="Q13" s="766"/>
      <c r="R13" s="766"/>
      <c r="S13" s="766" t="s">
        <v>1187</v>
      </c>
      <c r="T13" s="766" t="s">
        <v>1225</v>
      </c>
      <c r="U13" s="766"/>
      <c r="V13" s="766"/>
      <c r="W13" s="766"/>
      <c r="X13" s="766"/>
      <c r="Y13" s="766"/>
      <c r="Z13" s="766"/>
      <c r="AA13" s="766"/>
      <c r="AB13" s="766"/>
      <c r="AC13" s="767"/>
    </row>
    <row r="14" spans="1:32" ht="13.5" customHeight="1">
      <c r="A14" s="1477"/>
      <c r="B14" s="1482"/>
      <c r="C14" s="1483"/>
      <c r="D14" s="1484"/>
      <c r="E14" s="1463"/>
      <c r="F14" s="766"/>
      <c r="G14" s="766" t="s">
        <v>124</v>
      </c>
      <c r="H14" s="766" t="s">
        <v>1189</v>
      </c>
      <c r="I14" s="766"/>
      <c r="J14" s="766"/>
      <c r="K14" s="766"/>
      <c r="L14" s="766"/>
      <c r="M14" s="766"/>
      <c r="N14" s="766"/>
      <c r="O14" s="766"/>
      <c r="P14" s="766"/>
      <c r="Q14" s="766"/>
      <c r="R14" s="766"/>
      <c r="S14" s="766"/>
      <c r="T14" s="766"/>
      <c r="U14" s="766"/>
      <c r="V14" s="766"/>
      <c r="W14" s="766"/>
      <c r="X14" s="766"/>
      <c r="Y14" s="766"/>
      <c r="Z14" s="766"/>
      <c r="AA14" s="766"/>
      <c r="AB14" s="766"/>
      <c r="AC14" s="767"/>
    </row>
    <row r="15" spans="1:32" ht="13.5" customHeight="1">
      <c r="A15" s="1478"/>
      <c r="B15" s="1485"/>
      <c r="C15" s="1486"/>
      <c r="D15" s="1487"/>
      <c r="E15" s="1464"/>
      <c r="F15" s="768" t="s">
        <v>1190</v>
      </c>
      <c r="G15" s="762" t="s">
        <v>1191</v>
      </c>
      <c r="H15" s="762"/>
      <c r="I15" s="762"/>
      <c r="J15" s="762"/>
      <c r="K15" s="762"/>
      <c r="L15" s="762"/>
      <c r="M15" s="762"/>
      <c r="N15" s="762"/>
      <c r="O15" s="762"/>
      <c r="P15" s="762"/>
      <c r="Q15" s="762"/>
      <c r="R15" s="762"/>
      <c r="S15" s="762"/>
      <c r="T15" s="762"/>
      <c r="U15" s="762"/>
      <c r="V15" s="762"/>
      <c r="W15" s="762"/>
      <c r="X15" s="762"/>
      <c r="Y15" s="762"/>
      <c r="Z15" s="762"/>
      <c r="AA15" s="762"/>
      <c r="AB15" s="762"/>
      <c r="AC15" s="763"/>
    </row>
    <row r="16" spans="1:32" ht="13.5" customHeight="1">
      <c r="A16" s="1476">
        <v>3</v>
      </c>
      <c r="B16" s="1479" t="s">
        <v>1192</v>
      </c>
      <c r="C16" s="1480"/>
      <c r="D16" s="1481"/>
      <c r="E16" s="1462"/>
      <c r="F16" s="1465" t="s">
        <v>1193</v>
      </c>
      <c r="G16" s="1465"/>
      <c r="H16" s="1465"/>
      <c r="I16" s="1472"/>
      <c r="J16" s="1472"/>
      <c r="K16" s="769" t="s">
        <v>1194</v>
      </c>
      <c r="L16" s="770"/>
      <c r="M16" s="769" t="s">
        <v>1195</v>
      </c>
      <c r="N16" s="770"/>
      <c r="O16" s="769" t="s">
        <v>1196</v>
      </c>
      <c r="P16" s="772"/>
      <c r="Q16" s="1467"/>
      <c r="R16" s="1467"/>
      <c r="S16" s="1467"/>
      <c r="T16" s="1467"/>
      <c r="U16" s="1467"/>
      <c r="V16" s="1467"/>
      <c r="W16" s="1467"/>
      <c r="X16" s="1467"/>
      <c r="Y16" s="1467"/>
      <c r="Z16" s="1467"/>
      <c r="AA16" s="1467"/>
      <c r="AB16" s="1467"/>
      <c r="AC16" s="1468"/>
    </row>
    <row r="17" spans="1:29" ht="13.5" customHeight="1">
      <c r="A17" s="1477"/>
      <c r="B17" s="1482"/>
      <c r="C17" s="1483"/>
      <c r="D17" s="1484"/>
      <c r="E17" s="1463"/>
      <c r="F17" s="1465" t="s">
        <v>1197</v>
      </c>
      <c r="G17" s="1465"/>
      <c r="H17" s="1465"/>
      <c r="I17" s="1469"/>
      <c r="J17" s="1469"/>
      <c r="K17" s="1470"/>
      <c r="L17" s="1470"/>
      <c r="M17" s="1470"/>
      <c r="N17" s="1470"/>
      <c r="O17" s="1470"/>
      <c r="P17" s="1470"/>
      <c r="Q17" s="1470"/>
      <c r="R17" s="1470"/>
      <c r="S17" s="1470"/>
      <c r="T17" s="1470"/>
      <c r="U17" s="1470"/>
      <c r="V17" s="1470"/>
      <c r="W17" s="1470"/>
      <c r="X17" s="1470"/>
      <c r="Y17" s="1470"/>
      <c r="Z17" s="1470"/>
      <c r="AA17" s="1470"/>
      <c r="AB17" s="1470"/>
      <c r="AC17" s="1471"/>
    </row>
    <row r="18" spans="1:29" ht="13.5" customHeight="1">
      <c r="A18" s="1477"/>
      <c r="B18" s="1482"/>
      <c r="C18" s="1483"/>
      <c r="D18" s="1484"/>
      <c r="E18" s="1463"/>
      <c r="F18" s="764" t="s">
        <v>1198</v>
      </c>
      <c r="G18" s="764" t="s">
        <v>1199</v>
      </c>
      <c r="H18" s="764"/>
      <c r="I18" s="764"/>
      <c r="J18" s="764"/>
      <c r="K18" s="764"/>
      <c r="L18" s="764"/>
      <c r="M18" s="764"/>
      <c r="N18" s="764"/>
      <c r="O18" s="764"/>
      <c r="P18" s="764" t="s">
        <v>124</v>
      </c>
      <c r="Q18" s="764" t="s">
        <v>1200</v>
      </c>
      <c r="R18" s="764"/>
      <c r="S18" s="764"/>
      <c r="T18" s="764"/>
      <c r="U18" s="764"/>
      <c r="V18" s="764"/>
      <c r="W18" s="764"/>
      <c r="X18" s="764"/>
      <c r="Y18" s="764"/>
      <c r="Z18" s="764"/>
      <c r="AA18" s="764"/>
      <c r="AB18" s="764"/>
      <c r="AC18" s="765"/>
    </row>
    <row r="19" spans="1:29" ht="13.5" customHeight="1" thickBot="1">
      <c r="A19" s="1488"/>
      <c r="B19" s="1489"/>
      <c r="C19" s="1490"/>
      <c r="D19" s="1491"/>
      <c r="E19" s="1464"/>
      <c r="F19" s="766" t="s">
        <v>124</v>
      </c>
      <c r="G19" s="1465" t="s">
        <v>1201</v>
      </c>
      <c r="H19" s="1465"/>
      <c r="I19" s="1465"/>
      <c r="J19" s="1465"/>
      <c r="K19" s="1465"/>
      <c r="L19" s="1465"/>
      <c r="M19" s="1465"/>
      <c r="N19" s="1465"/>
      <c r="O19" s="1465"/>
      <c r="P19" s="1465"/>
      <c r="Q19" s="1465"/>
      <c r="R19" s="1465"/>
      <c r="S19" s="1465"/>
      <c r="T19" s="1465"/>
      <c r="U19" s="1465"/>
      <c r="V19" s="1465"/>
      <c r="W19" s="1465"/>
      <c r="X19" s="1465"/>
      <c r="Y19" s="1465"/>
      <c r="Z19" s="1465"/>
      <c r="AA19" s="1465"/>
      <c r="AB19" s="1465"/>
      <c r="AC19" s="1466"/>
    </row>
    <row r="20" spans="1:29" ht="13.5" customHeight="1" thickBot="1">
      <c r="A20" s="1446" t="s">
        <v>1202</v>
      </c>
      <c r="B20" s="1447"/>
      <c r="C20" s="1447"/>
      <c r="D20" s="1447"/>
      <c r="E20" s="1447"/>
      <c r="F20" s="1447"/>
      <c r="G20" s="1447"/>
      <c r="H20" s="1447"/>
      <c r="I20" s="1447"/>
      <c r="J20" s="1447"/>
      <c r="K20" s="1447"/>
      <c r="L20" s="1447"/>
      <c r="M20" s="1447"/>
      <c r="N20" s="1447"/>
      <c r="O20" s="1447"/>
      <c r="P20" s="1447"/>
      <c r="Q20" s="1447"/>
      <c r="R20" s="1447"/>
      <c r="S20" s="1447"/>
      <c r="T20" s="1447"/>
      <c r="U20" s="1447"/>
      <c r="V20" s="1447"/>
      <c r="W20" s="1447"/>
      <c r="X20" s="1447"/>
      <c r="Y20" s="1447"/>
      <c r="Z20" s="1447"/>
      <c r="AA20" s="1447"/>
      <c r="AB20" s="1447"/>
      <c r="AC20" s="1448"/>
    </row>
    <row r="21" spans="1:29" ht="13.5" customHeight="1" thickTop="1">
      <c r="A21" s="761">
        <v>1</v>
      </c>
      <c r="B21" s="1457" t="s">
        <v>1179</v>
      </c>
      <c r="C21" s="1458"/>
      <c r="D21" s="1458"/>
      <c r="E21" s="1497" t="s">
        <v>1223</v>
      </c>
      <c r="F21" s="1498"/>
      <c r="G21" s="1498"/>
      <c r="H21" s="1498"/>
      <c r="I21" s="1498"/>
      <c r="J21" s="1498"/>
      <c r="K21" s="1498"/>
      <c r="L21" s="1498"/>
      <c r="M21" s="1498"/>
      <c r="N21" s="1498"/>
      <c r="O21" s="1498"/>
      <c r="P21" s="1498"/>
      <c r="Q21" s="1498"/>
      <c r="R21" s="1498"/>
      <c r="S21" s="1498"/>
      <c r="T21" s="1498"/>
      <c r="U21" s="1498"/>
      <c r="V21" s="1498"/>
      <c r="W21" s="1498"/>
      <c r="X21" s="1498"/>
      <c r="Y21" s="1498"/>
      <c r="Z21" s="1498"/>
      <c r="AA21" s="1498"/>
      <c r="AB21" s="1498"/>
      <c r="AC21" s="1499"/>
    </row>
    <row r="22" spans="1:29" ht="13.5" customHeight="1">
      <c r="A22" s="1476">
        <v>2</v>
      </c>
      <c r="B22" s="1479" t="s">
        <v>1180</v>
      </c>
      <c r="C22" s="1480"/>
      <c r="D22" s="1480"/>
      <c r="E22" s="773" t="s">
        <v>1181</v>
      </c>
      <c r="F22" s="774" t="s">
        <v>124</v>
      </c>
      <c r="G22" s="774" t="s">
        <v>1203</v>
      </c>
      <c r="H22" s="774"/>
      <c r="I22" s="774"/>
      <c r="J22" s="774"/>
      <c r="K22" s="774"/>
      <c r="L22" s="774"/>
      <c r="M22" s="774"/>
      <c r="N22" s="774"/>
      <c r="O22" s="774"/>
      <c r="P22" s="774"/>
      <c r="Q22" s="774"/>
      <c r="R22" s="774"/>
      <c r="S22" s="774"/>
      <c r="T22" s="774"/>
      <c r="U22" s="774"/>
      <c r="V22" s="774"/>
      <c r="W22" s="774"/>
      <c r="X22" s="774"/>
      <c r="Y22" s="774"/>
      <c r="Z22" s="774"/>
      <c r="AA22" s="774"/>
      <c r="AB22" s="774"/>
      <c r="AC22" s="775"/>
    </row>
    <row r="23" spans="1:29" customFormat="1" ht="13.5" customHeight="1">
      <c r="A23" s="1477"/>
      <c r="B23" s="1482"/>
      <c r="C23" s="1483"/>
      <c r="D23" s="1483"/>
      <c r="E23" s="795"/>
      <c r="F23" s="796" t="s">
        <v>124</v>
      </c>
      <c r="G23" s="796" t="s">
        <v>1226</v>
      </c>
      <c r="H23" s="796"/>
      <c r="I23" s="796"/>
      <c r="J23" s="796"/>
      <c r="K23" s="796"/>
      <c r="L23" s="796"/>
      <c r="M23" s="796"/>
      <c r="N23" s="796"/>
      <c r="O23" s="796"/>
      <c r="P23" s="796"/>
      <c r="Q23" s="796"/>
      <c r="R23" s="796"/>
      <c r="S23" s="796"/>
      <c r="T23" s="796"/>
      <c r="U23" s="796"/>
      <c r="V23" s="796"/>
      <c r="W23" s="796"/>
      <c r="X23" s="796"/>
      <c r="Y23" s="796"/>
      <c r="Z23" s="796"/>
      <c r="AA23" s="796"/>
      <c r="AB23" s="796"/>
      <c r="AC23" s="797"/>
    </row>
    <row r="24" spans="1:29" ht="13.5" customHeight="1">
      <c r="A24" s="1477"/>
      <c r="B24" s="1482"/>
      <c r="C24" s="1483"/>
      <c r="D24" s="1483"/>
      <c r="E24" s="773"/>
      <c r="F24" s="774" t="s">
        <v>1204</v>
      </c>
      <c r="G24" s="774"/>
      <c r="H24" s="774"/>
      <c r="I24" s="774"/>
      <c r="J24" s="774"/>
      <c r="K24" s="774"/>
      <c r="L24" s="774"/>
      <c r="M24" s="774"/>
      <c r="N24" s="774"/>
      <c r="O24" s="774"/>
      <c r="P24" s="774"/>
      <c r="Q24" s="774"/>
      <c r="R24" s="774"/>
      <c r="S24" s="774"/>
      <c r="T24" s="774"/>
      <c r="U24" s="774"/>
      <c r="V24" s="774"/>
      <c r="W24" s="774"/>
      <c r="X24" s="774"/>
      <c r="Y24" s="774"/>
      <c r="Z24" s="774"/>
      <c r="AA24" s="774"/>
      <c r="AB24" s="774"/>
      <c r="AC24" s="775"/>
    </row>
    <row r="25" spans="1:29" ht="13.5" customHeight="1">
      <c r="A25" s="1477"/>
      <c r="B25" s="1482"/>
      <c r="C25" s="1483"/>
      <c r="D25" s="1483"/>
      <c r="E25" s="773"/>
      <c r="F25" s="774"/>
      <c r="G25" s="774" t="s">
        <v>1187</v>
      </c>
      <c r="H25" s="774" t="s">
        <v>1205</v>
      </c>
      <c r="I25" s="774"/>
      <c r="J25" s="774"/>
      <c r="K25" s="774"/>
      <c r="L25" s="774"/>
      <c r="M25" s="774"/>
      <c r="N25" s="774"/>
      <c r="O25" s="774" t="s">
        <v>1187</v>
      </c>
      <c r="P25" s="774" t="s">
        <v>1206</v>
      </c>
      <c r="Q25" s="774"/>
      <c r="R25" s="774"/>
      <c r="S25" s="774"/>
      <c r="T25" s="774"/>
      <c r="U25" s="774"/>
      <c r="V25" s="774" t="s">
        <v>1187</v>
      </c>
      <c r="W25" s="774" t="s">
        <v>1207</v>
      </c>
      <c r="X25" s="774"/>
      <c r="Y25" s="774"/>
      <c r="Z25" s="774"/>
      <c r="AA25" s="774"/>
      <c r="AB25" s="774"/>
      <c r="AC25" s="775"/>
    </row>
    <row r="26" spans="1:29" ht="13.5" customHeight="1">
      <c r="A26" s="1477"/>
      <c r="B26" s="1482"/>
      <c r="C26" s="1483"/>
      <c r="D26" s="1483"/>
      <c r="E26" s="773"/>
      <c r="F26" s="774"/>
      <c r="G26" s="774" t="s">
        <v>124</v>
      </c>
      <c r="H26" s="774" t="s">
        <v>1208</v>
      </c>
      <c r="I26" s="774"/>
      <c r="J26" s="774"/>
      <c r="K26" s="774"/>
      <c r="L26" s="774"/>
      <c r="M26" s="774"/>
      <c r="N26" s="774"/>
      <c r="O26" s="774"/>
      <c r="P26" s="774"/>
      <c r="Q26" s="774"/>
      <c r="R26" s="774"/>
      <c r="S26" s="774"/>
      <c r="T26" s="774"/>
      <c r="U26" s="774"/>
      <c r="V26" s="774"/>
      <c r="W26" s="774"/>
      <c r="X26" s="774"/>
      <c r="Y26" s="774"/>
      <c r="Z26" s="774"/>
      <c r="AA26" s="774"/>
      <c r="AB26" s="774"/>
      <c r="AC26" s="775"/>
    </row>
    <row r="27" spans="1:29" ht="13.5" customHeight="1">
      <c r="A27" s="1477"/>
      <c r="B27" s="1482"/>
      <c r="C27" s="1483"/>
      <c r="D27" s="1483"/>
      <c r="E27" s="773"/>
      <c r="F27" s="774"/>
      <c r="G27" s="774" t="s">
        <v>1187</v>
      </c>
      <c r="H27" s="774" t="s">
        <v>1209</v>
      </c>
      <c r="I27" s="774"/>
      <c r="J27" s="774"/>
      <c r="K27" s="774"/>
      <c r="L27" s="774"/>
      <c r="M27" s="774"/>
      <c r="N27" s="774"/>
      <c r="O27" s="774"/>
      <c r="P27" s="774"/>
      <c r="Q27" s="774"/>
      <c r="R27" s="774"/>
      <c r="S27" s="774"/>
      <c r="T27" s="774"/>
      <c r="U27" s="774"/>
      <c r="V27" s="774"/>
      <c r="W27" s="774"/>
      <c r="X27" s="774"/>
      <c r="Y27" s="774"/>
      <c r="Z27" s="774"/>
      <c r="AA27" s="774"/>
      <c r="AB27" s="774"/>
      <c r="AC27" s="775"/>
    </row>
    <row r="28" spans="1:29" ht="13.5" customHeight="1">
      <c r="A28" s="1477"/>
      <c r="B28" s="1482"/>
      <c r="C28" s="1483"/>
      <c r="D28" s="1483"/>
      <c r="E28" s="773" t="s">
        <v>1182</v>
      </c>
      <c r="F28" s="774" t="s">
        <v>124</v>
      </c>
      <c r="G28" s="774" t="s">
        <v>1210</v>
      </c>
      <c r="H28" s="774"/>
      <c r="I28" s="774"/>
      <c r="J28" s="774"/>
      <c r="K28" s="774"/>
      <c r="L28" s="774"/>
      <c r="M28" s="774"/>
      <c r="N28" s="774"/>
      <c r="O28" s="774"/>
      <c r="P28" s="774"/>
      <c r="Q28" s="774"/>
      <c r="R28" s="774"/>
      <c r="S28" s="774"/>
      <c r="T28" s="774"/>
      <c r="U28" s="774"/>
      <c r="V28" s="774"/>
      <c r="W28" s="774"/>
      <c r="X28" s="774"/>
      <c r="Y28" s="774"/>
      <c r="Z28" s="774"/>
      <c r="AA28" s="774"/>
      <c r="AB28" s="774"/>
      <c r="AC28" s="775"/>
    </row>
    <row r="29" spans="1:29" ht="13.5" customHeight="1">
      <c r="A29" s="1478"/>
      <c r="B29" s="1485"/>
      <c r="C29" s="1486"/>
      <c r="D29" s="1486"/>
      <c r="E29" s="773" t="s">
        <v>1183</v>
      </c>
      <c r="F29" s="774" t="s">
        <v>124</v>
      </c>
      <c r="G29" s="774" t="s">
        <v>1211</v>
      </c>
      <c r="H29" s="774"/>
      <c r="I29" s="774"/>
      <c r="J29" s="774"/>
      <c r="K29" s="774"/>
      <c r="L29" s="774"/>
      <c r="M29" s="774"/>
      <c r="N29" s="774"/>
      <c r="O29" s="774"/>
      <c r="P29" s="774"/>
      <c r="Q29" s="774"/>
      <c r="R29" s="774"/>
      <c r="S29" s="774"/>
      <c r="T29" s="774"/>
      <c r="U29" s="774"/>
      <c r="V29" s="774"/>
      <c r="W29" s="774"/>
      <c r="X29" s="774"/>
      <c r="Y29" s="774"/>
      <c r="Z29" s="774"/>
      <c r="AA29" s="774"/>
      <c r="AB29" s="774"/>
      <c r="AC29" s="775"/>
    </row>
    <row r="30" spans="1:29" ht="13.5" customHeight="1">
      <c r="A30" s="1476">
        <v>3</v>
      </c>
      <c r="B30" s="1480" t="s">
        <v>1192</v>
      </c>
      <c r="C30" s="1480"/>
      <c r="D30" s="1480"/>
      <c r="E30" s="1473" t="s">
        <v>1181</v>
      </c>
      <c r="F30" s="774" t="s">
        <v>1193</v>
      </c>
      <c r="G30" s="771"/>
      <c r="H30" s="771"/>
      <c r="I30" s="1472"/>
      <c r="J30" s="1472"/>
      <c r="K30" s="769" t="s">
        <v>1194</v>
      </c>
      <c r="L30" s="770"/>
      <c r="M30" s="769" t="s">
        <v>1195</v>
      </c>
      <c r="N30" s="770"/>
      <c r="O30" s="769" t="s">
        <v>1196</v>
      </c>
      <c r="P30" s="772"/>
      <c r="Q30" s="1467"/>
      <c r="R30" s="1467"/>
      <c r="S30" s="1467"/>
      <c r="T30" s="1467"/>
      <c r="U30" s="1467"/>
      <c r="V30" s="1467"/>
      <c r="W30" s="1467"/>
      <c r="X30" s="1467"/>
      <c r="Y30" s="1467"/>
      <c r="Z30" s="1467"/>
      <c r="AA30" s="1467"/>
      <c r="AB30" s="1467"/>
      <c r="AC30" s="1468"/>
    </row>
    <row r="31" spans="1:29" ht="13.5" customHeight="1">
      <c r="A31" s="1477"/>
      <c r="B31" s="1483"/>
      <c r="C31" s="1483"/>
      <c r="D31" s="1483"/>
      <c r="E31" s="1474"/>
      <c r="F31" s="774" t="s">
        <v>1212</v>
      </c>
      <c r="G31" s="771"/>
      <c r="H31" s="771"/>
      <c r="I31" s="1469"/>
      <c r="J31" s="1469"/>
      <c r="K31" s="1470"/>
      <c r="L31" s="1470"/>
      <c r="M31" s="1470"/>
      <c r="N31" s="1470"/>
      <c r="O31" s="1470"/>
      <c r="P31" s="1470"/>
      <c r="Q31" s="1470"/>
      <c r="R31" s="1470"/>
      <c r="S31" s="1470"/>
      <c r="T31" s="1470"/>
      <c r="U31" s="1470"/>
      <c r="V31" s="1470"/>
      <c r="W31" s="1470"/>
      <c r="X31" s="1470"/>
      <c r="Y31" s="1470"/>
      <c r="Z31" s="1470"/>
      <c r="AA31" s="1470"/>
      <c r="AB31" s="1470"/>
      <c r="AC31" s="1471"/>
    </row>
    <row r="32" spans="1:29" ht="13.5" customHeight="1">
      <c r="A32" s="1477"/>
      <c r="B32" s="1483"/>
      <c r="C32" s="1483"/>
      <c r="D32" s="1483"/>
      <c r="E32" s="1474"/>
      <c r="F32" s="774" t="s">
        <v>1213</v>
      </c>
      <c r="G32" s="771"/>
      <c r="H32" s="771"/>
      <c r="I32" s="776" t="s">
        <v>124</v>
      </c>
      <c r="J32" s="776" t="s">
        <v>1214</v>
      </c>
      <c r="K32" s="776"/>
      <c r="L32" s="776"/>
      <c r="M32" s="776"/>
      <c r="N32" s="776"/>
      <c r="O32" s="776"/>
      <c r="P32" s="776"/>
      <c r="Q32" s="776"/>
      <c r="R32" s="776"/>
      <c r="S32" s="776" t="s">
        <v>124</v>
      </c>
      <c r="T32" s="776" t="s">
        <v>1215</v>
      </c>
      <c r="U32" s="776"/>
      <c r="V32" s="776"/>
      <c r="W32" s="776"/>
      <c r="X32" s="776"/>
      <c r="Y32" s="776"/>
      <c r="Z32" s="776"/>
      <c r="AA32" s="776"/>
      <c r="AB32" s="776"/>
      <c r="AC32" s="777"/>
    </row>
    <row r="33" spans="1:29" ht="13.5" customHeight="1">
      <c r="A33" s="1477"/>
      <c r="B33" s="1483"/>
      <c r="C33" s="1483"/>
      <c r="D33" s="1483"/>
      <c r="E33" s="1473" t="s">
        <v>1182</v>
      </c>
      <c r="F33" s="774" t="s">
        <v>1193</v>
      </c>
      <c r="G33" s="771"/>
      <c r="H33" s="771"/>
      <c r="I33" s="1472"/>
      <c r="J33" s="1472"/>
      <c r="K33" s="769" t="s">
        <v>1194</v>
      </c>
      <c r="L33" s="770"/>
      <c r="M33" s="769" t="s">
        <v>1195</v>
      </c>
      <c r="N33" s="770"/>
      <c r="O33" s="769" t="s">
        <v>1196</v>
      </c>
      <c r="P33" s="772"/>
      <c r="Q33" s="1467"/>
      <c r="R33" s="1467"/>
      <c r="S33" s="1467"/>
      <c r="T33" s="1467"/>
      <c r="U33" s="1467"/>
      <c r="V33" s="1467"/>
      <c r="W33" s="1467"/>
      <c r="X33" s="1467"/>
      <c r="Y33" s="1467"/>
      <c r="Z33" s="1467"/>
      <c r="AA33" s="1467"/>
      <c r="AB33" s="1467"/>
      <c r="AC33" s="1468"/>
    </row>
    <row r="34" spans="1:29" ht="13.5" customHeight="1">
      <c r="A34" s="1477"/>
      <c r="B34" s="1483"/>
      <c r="C34" s="1483"/>
      <c r="D34" s="1483"/>
      <c r="E34" s="1474"/>
      <c r="F34" s="774" t="s">
        <v>1212</v>
      </c>
      <c r="G34" s="771"/>
      <c r="H34" s="771"/>
      <c r="I34" s="1469"/>
      <c r="J34" s="1469"/>
      <c r="K34" s="1470"/>
      <c r="L34" s="1470"/>
      <c r="M34" s="1470"/>
      <c r="N34" s="1470"/>
      <c r="O34" s="1470"/>
      <c r="P34" s="1470"/>
      <c r="Q34" s="1470"/>
      <c r="R34" s="1470"/>
      <c r="S34" s="1470"/>
      <c r="T34" s="1470"/>
      <c r="U34" s="1470"/>
      <c r="V34" s="1470"/>
      <c r="W34" s="1470"/>
      <c r="X34" s="1470"/>
      <c r="Y34" s="1470"/>
      <c r="Z34" s="1470"/>
      <c r="AA34" s="1470"/>
      <c r="AB34" s="1470"/>
      <c r="AC34" s="1471"/>
    </row>
    <row r="35" spans="1:29" ht="13.5" customHeight="1">
      <c r="A35" s="1477"/>
      <c r="B35" s="1483"/>
      <c r="C35" s="1483"/>
      <c r="D35" s="1483"/>
      <c r="E35" s="1474"/>
      <c r="F35" s="762" t="s">
        <v>1213</v>
      </c>
      <c r="G35" s="762"/>
      <c r="H35" s="762"/>
      <c r="I35" s="762" t="s">
        <v>124</v>
      </c>
      <c r="J35" s="762" t="s">
        <v>1214</v>
      </c>
      <c r="K35" s="762"/>
      <c r="L35" s="762"/>
      <c r="M35" s="762"/>
      <c r="N35" s="762"/>
      <c r="O35" s="762"/>
      <c r="P35" s="762"/>
      <c r="Q35" s="762"/>
      <c r="R35" s="762"/>
      <c r="S35" s="762" t="s">
        <v>124</v>
      </c>
      <c r="T35" s="762" t="s">
        <v>1215</v>
      </c>
      <c r="U35" s="762"/>
      <c r="V35" s="762"/>
      <c r="W35" s="762"/>
      <c r="X35" s="762"/>
      <c r="Y35" s="762"/>
      <c r="Z35" s="762"/>
      <c r="AA35" s="762"/>
      <c r="AB35" s="762"/>
      <c r="AC35" s="763"/>
    </row>
    <row r="36" spans="1:29" ht="13.5" customHeight="1">
      <c r="A36" s="1477"/>
      <c r="B36" s="1483"/>
      <c r="C36" s="1483"/>
      <c r="D36" s="1483"/>
      <c r="E36" s="1473" t="s">
        <v>1183</v>
      </c>
      <c r="F36" s="774" t="s">
        <v>1193</v>
      </c>
      <c r="G36" s="771"/>
      <c r="H36" s="771"/>
      <c r="I36" s="1472"/>
      <c r="J36" s="1472"/>
      <c r="K36" s="769" t="s">
        <v>1194</v>
      </c>
      <c r="L36" s="770"/>
      <c r="M36" s="769" t="s">
        <v>1195</v>
      </c>
      <c r="N36" s="770"/>
      <c r="O36" s="769" t="s">
        <v>1196</v>
      </c>
      <c r="P36" s="772"/>
      <c r="Q36" s="1467"/>
      <c r="R36" s="1467"/>
      <c r="S36" s="1467"/>
      <c r="T36" s="1467"/>
      <c r="U36" s="1467"/>
      <c r="V36" s="1467"/>
      <c r="W36" s="1467"/>
      <c r="X36" s="1467"/>
      <c r="Y36" s="1467"/>
      <c r="Z36" s="1467"/>
      <c r="AA36" s="1467"/>
      <c r="AB36" s="1467"/>
      <c r="AC36" s="1468"/>
    </row>
    <row r="37" spans="1:29" ht="13.5" customHeight="1">
      <c r="A37" s="1477"/>
      <c r="B37" s="1483"/>
      <c r="C37" s="1483"/>
      <c r="D37" s="1483"/>
      <c r="E37" s="1474"/>
      <c r="F37" s="774" t="s">
        <v>1212</v>
      </c>
      <c r="G37" s="771"/>
      <c r="H37" s="771"/>
      <c r="I37" s="1469"/>
      <c r="J37" s="1469"/>
      <c r="K37" s="1470"/>
      <c r="L37" s="1470"/>
      <c r="M37" s="1470"/>
      <c r="N37" s="1470"/>
      <c r="O37" s="1470"/>
      <c r="P37" s="1470"/>
      <c r="Q37" s="1470"/>
      <c r="R37" s="1470"/>
      <c r="S37" s="1470"/>
      <c r="T37" s="1470"/>
      <c r="U37" s="1470"/>
      <c r="V37" s="1470"/>
      <c r="W37" s="1470"/>
      <c r="X37" s="1470"/>
      <c r="Y37" s="1470"/>
      <c r="Z37" s="1470"/>
      <c r="AA37" s="1470"/>
      <c r="AB37" s="1470"/>
      <c r="AC37" s="1471"/>
    </row>
    <row r="38" spans="1:29" ht="13.5" customHeight="1">
      <c r="A38" s="1477"/>
      <c r="B38" s="1483"/>
      <c r="C38" s="1483"/>
      <c r="D38" s="1483"/>
      <c r="E38" s="1474"/>
      <c r="F38" s="778" t="s">
        <v>1213</v>
      </c>
      <c r="G38" s="779"/>
      <c r="H38" s="779"/>
      <c r="I38" s="780" t="s">
        <v>124</v>
      </c>
      <c r="J38" s="780" t="s">
        <v>1214</v>
      </c>
      <c r="K38" s="780"/>
      <c r="L38" s="780"/>
      <c r="M38" s="780"/>
      <c r="N38" s="780"/>
      <c r="O38" s="780"/>
      <c r="P38" s="780"/>
      <c r="Q38" s="780"/>
      <c r="R38" s="780"/>
      <c r="S38" s="780" t="s">
        <v>124</v>
      </c>
      <c r="T38" s="780" t="s">
        <v>1216</v>
      </c>
      <c r="U38" s="780"/>
      <c r="V38" s="780"/>
      <c r="W38" s="780"/>
      <c r="X38" s="780"/>
      <c r="Y38" s="780"/>
      <c r="Z38" s="780"/>
      <c r="AA38" s="780"/>
      <c r="AB38" s="780"/>
      <c r="AC38" s="781"/>
    </row>
    <row r="39" spans="1:29" ht="13.5" customHeight="1" thickBot="1">
      <c r="A39" s="1488"/>
      <c r="B39" s="1490"/>
      <c r="C39" s="1490"/>
      <c r="D39" s="1490"/>
      <c r="E39" s="1475"/>
      <c r="F39" s="782"/>
      <c r="G39" s="782"/>
      <c r="H39" s="782"/>
      <c r="I39" s="782" t="s">
        <v>124</v>
      </c>
      <c r="J39" s="782" t="s">
        <v>1217</v>
      </c>
      <c r="K39" s="782"/>
      <c r="L39" s="782"/>
      <c r="M39" s="782"/>
      <c r="N39" s="782"/>
      <c r="O39" s="782"/>
      <c r="P39" s="782"/>
      <c r="Q39" s="782"/>
      <c r="R39" s="782"/>
      <c r="S39" s="782"/>
      <c r="T39" s="782"/>
      <c r="U39" s="782"/>
      <c r="V39" s="782"/>
      <c r="W39" s="782"/>
      <c r="X39" s="782"/>
      <c r="Y39" s="782"/>
      <c r="Z39" s="782"/>
      <c r="AA39" s="782"/>
      <c r="AB39" s="782"/>
      <c r="AC39" s="783"/>
    </row>
    <row r="40" spans="1:29" ht="13.5" customHeight="1" thickBot="1">
      <c r="A40" s="1446" t="s">
        <v>1233</v>
      </c>
      <c r="B40" s="1447"/>
      <c r="C40" s="1447"/>
      <c r="D40" s="1447"/>
      <c r="E40" s="1447"/>
      <c r="F40" s="1447"/>
      <c r="G40" s="1447"/>
      <c r="H40" s="1447"/>
      <c r="I40" s="1447"/>
      <c r="J40" s="1447"/>
      <c r="K40" s="1447"/>
      <c r="L40" s="1447"/>
      <c r="M40" s="1447"/>
      <c r="N40" s="1447"/>
      <c r="O40" s="1447"/>
      <c r="P40" s="1447"/>
      <c r="Q40" s="1447"/>
      <c r="R40" s="1447"/>
      <c r="S40" s="1447"/>
      <c r="T40" s="1447"/>
      <c r="U40" s="1447"/>
      <c r="V40" s="1447"/>
      <c r="W40" s="1447"/>
      <c r="X40" s="1447"/>
      <c r="Y40" s="1447"/>
      <c r="Z40" s="1447"/>
      <c r="AA40" s="1447"/>
      <c r="AB40" s="1447"/>
      <c r="AC40" s="1448"/>
    </row>
    <row r="41" spans="1:29" ht="15.75" thickTop="1">
      <c r="A41" s="784">
        <v>1</v>
      </c>
      <c r="B41" s="1493" t="s">
        <v>1179</v>
      </c>
      <c r="C41" s="1493"/>
      <c r="D41" s="1493"/>
      <c r="E41" s="1494" t="s">
        <v>1234</v>
      </c>
      <c r="F41" s="1495"/>
      <c r="G41" s="1495"/>
      <c r="H41" s="1495"/>
      <c r="I41" s="1495"/>
      <c r="J41" s="1495"/>
      <c r="K41" s="1495"/>
      <c r="L41" s="1495"/>
      <c r="M41" s="1495"/>
      <c r="N41" s="1495"/>
      <c r="O41" s="1495"/>
      <c r="P41" s="1495"/>
      <c r="Q41" s="1495"/>
      <c r="R41" s="1495"/>
      <c r="S41" s="1495"/>
      <c r="T41" s="1495"/>
      <c r="U41" s="1495"/>
      <c r="V41" s="1495"/>
      <c r="W41" s="1495"/>
      <c r="X41" s="1495"/>
      <c r="Y41" s="1495"/>
      <c r="Z41" s="1495"/>
      <c r="AA41" s="1495"/>
      <c r="AB41" s="1495"/>
      <c r="AC41" s="1496"/>
    </row>
    <row r="42" spans="1:29" ht="20.25" customHeight="1">
      <c r="A42" s="1504">
        <v>2</v>
      </c>
      <c r="B42" s="1504" t="s">
        <v>1180</v>
      </c>
      <c r="C42" s="1504"/>
      <c r="D42" s="1504"/>
      <c r="E42" s="798" t="s">
        <v>1224</v>
      </c>
      <c r="F42" s="800" t="s">
        <v>1228</v>
      </c>
      <c r="G42" s="799"/>
      <c r="H42" s="799"/>
      <c r="I42" s="1505" t="s">
        <v>1229</v>
      </c>
      <c r="J42" s="1506"/>
      <c r="K42" s="1506"/>
      <c r="L42" s="1506"/>
      <c r="M42" s="1506"/>
      <c r="N42" s="1506"/>
      <c r="O42" s="1506"/>
      <c r="P42" s="1506"/>
      <c r="Q42" s="1506"/>
      <c r="R42" s="1502"/>
      <c r="S42" s="1492"/>
      <c r="T42" s="1492"/>
      <c r="U42" s="1505" t="s">
        <v>1230</v>
      </c>
      <c r="V42" s="1506"/>
      <c r="W42" s="1506"/>
      <c r="X42" s="1506"/>
      <c r="Y42" s="1506"/>
      <c r="Z42" s="1502"/>
      <c r="AA42" s="1492"/>
      <c r="AB42" s="1492"/>
      <c r="AC42" s="1492"/>
    </row>
    <row r="43" spans="1:29" ht="14.25" customHeight="1">
      <c r="A43" s="1504"/>
      <c r="B43" s="1504"/>
      <c r="C43" s="1504"/>
      <c r="D43" s="1504"/>
      <c r="E43" s="1501" t="s">
        <v>1232</v>
      </c>
      <c r="F43" s="1502" t="s">
        <v>1231</v>
      </c>
      <c r="G43" s="1503"/>
      <c r="H43" s="1503"/>
      <c r="I43" s="1500" t="s">
        <v>1227</v>
      </c>
      <c r="J43" s="1500"/>
      <c r="K43" s="1500"/>
      <c r="L43" s="1500"/>
      <c r="M43" s="1500"/>
      <c r="N43" s="1500"/>
      <c r="O43" s="1500"/>
      <c r="P43" s="1500"/>
      <c r="Q43" s="1500"/>
      <c r="R43" s="1500"/>
      <c r="S43" s="1500"/>
      <c r="T43" s="1500"/>
      <c r="U43" s="1500"/>
      <c r="V43" s="1500"/>
      <c r="W43" s="1500"/>
      <c r="X43" s="1500"/>
      <c r="Y43" s="1500"/>
      <c r="Z43" s="1500"/>
      <c r="AA43" s="1500"/>
      <c r="AB43" s="1500"/>
      <c r="AC43" s="1500"/>
    </row>
    <row r="44" spans="1:29" ht="14.25" customHeight="1">
      <c r="A44" s="1504"/>
      <c r="B44" s="1504"/>
      <c r="C44" s="1504"/>
      <c r="D44" s="1504"/>
      <c r="E44" s="1501"/>
      <c r="F44" s="1502"/>
      <c r="G44" s="1503"/>
      <c r="H44" s="1503"/>
      <c r="I44" s="1500"/>
      <c r="J44" s="1500"/>
      <c r="K44" s="1500"/>
      <c r="L44" s="1500"/>
      <c r="M44" s="1500"/>
      <c r="N44" s="1500"/>
      <c r="O44" s="1500"/>
      <c r="P44" s="1500"/>
      <c r="Q44" s="1500"/>
      <c r="R44" s="1500"/>
      <c r="S44" s="1500"/>
      <c r="T44" s="1500"/>
      <c r="U44" s="1500"/>
      <c r="V44" s="1500"/>
      <c r="W44" s="1500"/>
      <c r="X44" s="1500"/>
      <c r="Y44" s="1500"/>
      <c r="Z44" s="1500"/>
      <c r="AA44" s="1500"/>
      <c r="AB44" s="1500"/>
      <c r="AC44" s="1500"/>
    </row>
    <row r="45" spans="1:29" ht="14.25" customHeight="1">
      <c r="A45" s="1504"/>
      <c r="B45" s="1504"/>
      <c r="C45" s="1504"/>
      <c r="D45" s="1504"/>
      <c r="E45" s="1501"/>
      <c r="F45" s="1502"/>
      <c r="G45" s="1503"/>
      <c r="H45" s="1503"/>
      <c r="I45" s="1500"/>
      <c r="J45" s="1500"/>
      <c r="K45" s="1500"/>
      <c r="L45" s="1500"/>
      <c r="M45" s="1500"/>
      <c r="N45" s="1500"/>
      <c r="O45" s="1500"/>
      <c r="P45" s="1500"/>
      <c r="Q45" s="1500"/>
      <c r="R45" s="1500"/>
      <c r="S45" s="1500"/>
      <c r="T45" s="1500"/>
      <c r="U45" s="1500"/>
      <c r="V45" s="1500"/>
      <c r="W45" s="1500"/>
      <c r="X45" s="1500"/>
      <c r="Y45" s="1500"/>
      <c r="Z45" s="1500"/>
      <c r="AA45" s="1500"/>
      <c r="AB45" s="1500"/>
      <c r="AC45" s="1500"/>
    </row>
    <row r="46" spans="1:29" ht="14.25" customHeight="1">
      <c r="A46" s="1504"/>
      <c r="B46" s="1504"/>
      <c r="C46" s="1504"/>
      <c r="D46" s="1504"/>
      <c r="E46" s="1501"/>
      <c r="F46" s="1502"/>
      <c r="G46" s="1503"/>
      <c r="H46" s="1503"/>
      <c r="I46" s="1500"/>
      <c r="J46" s="1500"/>
      <c r="K46" s="1500"/>
      <c r="L46" s="1500"/>
      <c r="M46" s="1500"/>
      <c r="N46" s="1500"/>
      <c r="O46" s="1500"/>
      <c r="P46" s="1500"/>
      <c r="Q46" s="1500"/>
      <c r="R46" s="1500"/>
      <c r="S46" s="1500"/>
      <c r="T46" s="1500"/>
      <c r="U46" s="1500"/>
      <c r="V46" s="1500"/>
      <c r="W46" s="1500"/>
      <c r="X46" s="1500"/>
      <c r="Y46" s="1500"/>
      <c r="Z46" s="1500"/>
      <c r="AA46" s="1500"/>
      <c r="AB46" s="1500"/>
      <c r="AC46" s="1500"/>
    </row>
    <row r="47" spans="1:29" ht="14.25" customHeight="1">
      <c r="A47" s="785"/>
      <c r="B47" s="786" t="s">
        <v>1235</v>
      </c>
      <c r="C47" s="786"/>
      <c r="D47" s="786"/>
      <c r="E47" s="786"/>
      <c r="F47" s="786"/>
      <c r="G47" s="786"/>
      <c r="H47" s="786"/>
      <c r="I47" s="786"/>
      <c r="J47" s="786"/>
      <c r="K47" s="786"/>
      <c r="L47" s="786"/>
      <c r="M47" s="786"/>
      <c r="P47" s="786"/>
      <c r="Q47" s="786"/>
      <c r="R47" s="786"/>
      <c r="S47" s="786"/>
      <c r="T47" s="786"/>
      <c r="U47" s="786"/>
      <c r="V47" s="786"/>
      <c r="W47" s="786"/>
      <c r="X47" s="786"/>
      <c r="Y47" s="786"/>
      <c r="Z47" s="786"/>
      <c r="AA47" s="786"/>
      <c r="AB47" s="786"/>
      <c r="AC47" s="787"/>
    </row>
    <row r="48" spans="1:29" ht="14.25" customHeight="1">
      <c r="A48" s="785"/>
      <c r="B48" s="786"/>
      <c r="C48" s="786"/>
      <c r="D48" s="786"/>
      <c r="E48" s="786"/>
      <c r="F48" s="786"/>
      <c r="G48" s="786"/>
      <c r="H48" s="786"/>
      <c r="I48" s="786"/>
      <c r="J48" s="786"/>
      <c r="K48" s="786"/>
      <c r="L48" s="786"/>
      <c r="M48" s="786"/>
      <c r="P48" s="786"/>
      <c r="Q48" s="786"/>
      <c r="R48" s="786"/>
      <c r="S48" s="786"/>
      <c r="T48" s="786"/>
      <c r="U48" s="786"/>
      <c r="V48" s="786"/>
      <c r="W48" s="786"/>
      <c r="X48" s="786"/>
      <c r="Y48" s="786"/>
      <c r="Z48" s="786"/>
      <c r="AA48" s="786"/>
      <c r="AB48" s="786"/>
      <c r="AC48" s="787"/>
    </row>
    <row r="49" spans="1:29" ht="14.25" customHeight="1">
      <c r="A49" s="785"/>
      <c r="B49" s="786"/>
      <c r="C49" s="786"/>
      <c r="D49" s="786"/>
      <c r="E49" s="786"/>
      <c r="F49" s="786"/>
      <c r="G49" s="786"/>
      <c r="H49" s="786"/>
      <c r="I49" s="786"/>
      <c r="J49" s="786"/>
      <c r="K49" s="786"/>
      <c r="L49" s="786"/>
      <c r="M49" s="786"/>
      <c r="P49" s="786"/>
      <c r="Q49" s="786"/>
      <c r="R49" s="786"/>
      <c r="S49" s="786"/>
      <c r="T49" s="786"/>
      <c r="U49" s="786"/>
      <c r="V49" s="786"/>
      <c r="W49" s="786"/>
      <c r="X49" s="786"/>
      <c r="Y49" s="786"/>
      <c r="Z49" s="786"/>
      <c r="AA49" s="786"/>
      <c r="AB49" s="786"/>
      <c r="AC49" s="787"/>
    </row>
    <row r="50" spans="1:29" ht="14.25" customHeight="1">
      <c r="A50" s="785"/>
      <c r="B50" s="786"/>
      <c r="C50" s="786"/>
      <c r="D50" s="786"/>
      <c r="E50" s="786"/>
      <c r="F50" s="786"/>
      <c r="G50" s="786"/>
      <c r="H50" s="786"/>
      <c r="I50" s="786"/>
      <c r="J50" s="786"/>
      <c r="K50" s="786"/>
      <c r="L50" s="786"/>
      <c r="M50" s="786"/>
      <c r="P50" s="786"/>
      <c r="Q50" s="786"/>
      <c r="R50" s="786"/>
      <c r="S50" s="786"/>
      <c r="T50" s="786"/>
      <c r="U50" s="786"/>
      <c r="V50" s="786"/>
      <c r="W50" s="786"/>
      <c r="X50" s="786"/>
      <c r="Y50" s="786"/>
      <c r="Z50" s="786"/>
      <c r="AA50" s="786"/>
      <c r="AB50" s="786"/>
      <c r="AC50" s="787"/>
    </row>
    <row r="51" spans="1:29" ht="14.25" customHeight="1">
      <c r="A51" s="785"/>
      <c r="B51" s="786"/>
      <c r="C51" s="786"/>
      <c r="D51" s="786"/>
      <c r="E51" s="786"/>
      <c r="F51" s="786"/>
      <c r="G51" s="786"/>
      <c r="H51" s="786"/>
      <c r="I51" s="786"/>
      <c r="J51" s="786"/>
      <c r="K51" s="786"/>
      <c r="L51" s="786"/>
      <c r="M51" s="786"/>
      <c r="P51" s="786"/>
      <c r="Q51" s="786"/>
      <c r="R51" s="786"/>
      <c r="S51" s="786"/>
      <c r="T51" s="786"/>
      <c r="U51" s="786"/>
      <c r="V51" s="786"/>
      <c r="W51" s="786"/>
      <c r="X51" s="786"/>
      <c r="Y51" s="786"/>
      <c r="Z51" s="786"/>
      <c r="AA51" s="786"/>
      <c r="AB51" s="786"/>
      <c r="AC51" s="787"/>
    </row>
    <row r="52" spans="1:29" ht="14.25" customHeight="1">
      <c r="A52" s="785"/>
      <c r="B52" s="786"/>
      <c r="C52" s="786"/>
      <c r="D52" s="786"/>
      <c r="E52" s="786"/>
      <c r="F52" s="786"/>
      <c r="G52" s="786"/>
      <c r="H52" s="786"/>
      <c r="I52" s="786"/>
      <c r="J52" s="786"/>
      <c r="K52" s="786"/>
      <c r="L52" s="786"/>
      <c r="M52" s="786"/>
      <c r="P52" s="786"/>
      <c r="Q52" s="786"/>
      <c r="R52" s="786"/>
      <c r="S52" s="786"/>
      <c r="T52" s="786"/>
      <c r="U52" s="786"/>
      <c r="V52" s="786"/>
      <c r="W52" s="786"/>
      <c r="X52" s="786"/>
      <c r="Y52" s="786"/>
      <c r="Z52" s="786"/>
      <c r="AA52" s="786"/>
      <c r="AB52" s="786"/>
      <c r="AC52" s="787"/>
    </row>
    <row r="53" spans="1:29" ht="14.25" customHeight="1">
      <c r="A53" s="785"/>
      <c r="B53" s="786"/>
      <c r="C53" s="786"/>
      <c r="D53" s="786"/>
      <c r="E53" s="786"/>
      <c r="F53" s="786"/>
      <c r="G53" s="786"/>
      <c r="H53" s="786"/>
      <c r="I53" s="786"/>
      <c r="J53" s="786"/>
      <c r="K53" s="786"/>
      <c r="L53" s="786"/>
      <c r="M53" s="786"/>
      <c r="P53" s="786"/>
      <c r="Q53" s="786"/>
      <c r="R53" s="786"/>
      <c r="S53" s="786"/>
      <c r="T53" s="786"/>
      <c r="U53" s="786"/>
      <c r="V53" s="786"/>
      <c r="W53" s="786"/>
      <c r="X53" s="786"/>
      <c r="Y53" s="786"/>
      <c r="Z53" s="786"/>
      <c r="AA53" s="786"/>
      <c r="AB53" s="786"/>
      <c r="AC53" s="787"/>
    </row>
    <row r="54" spans="1:29" ht="14.25" customHeight="1">
      <c r="A54" s="785"/>
      <c r="B54" s="786"/>
      <c r="C54" s="786"/>
      <c r="D54" s="786"/>
      <c r="E54" s="786"/>
      <c r="F54" s="786"/>
      <c r="G54" s="786"/>
      <c r="H54" s="786"/>
      <c r="I54" s="786"/>
      <c r="J54" s="786"/>
      <c r="K54" s="786"/>
      <c r="L54" s="786"/>
      <c r="M54" s="786"/>
      <c r="P54" s="786"/>
      <c r="Q54" s="786"/>
      <c r="R54" s="786"/>
      <c r="S54" s="786"/>
      <c r="T54" s="786"/>
      <c r="U54" s="786"/>
      <c r="V54" s="786"/>
      <c r="W54" s="786"/>
      <c r="X54" s="786"/>
      <c r="Y54" s="786"/>
      <c r="Z54" s="786"/>
      <c r="AA54" s="786"/>
      <c r="AB54" s="786"/>
      <c r="AC54" s="787"/>
    </row>
    <row r="55" spans="1:29" ht="14.25" customHeight="1">
      <c r="A55" s="785"/>
      <c r="B55" s="786"/>
      <c r="C55" s="786"/>
      <c r="D55" s="786"/>
      <c r="E55" s="786"/>
      <c r="F55" s="786"/>
      <c r="G55" s="786"/>
      <c r="H55" s="786"/>
      <c r="I55" s="786"/>
      <c r="J55" s="786"/>
      <c r="K55" s="786"/>
      <c r="L55" s="786"/>
      <c r="M55" s="786"/>
      <c r="P55" s="786"/>
      <c r="Q55" s="786"/>
      <c r="R55" s="786"/>
      <c r="S55" s="786"/>
      <c r="T55" s="786"/>
      <c r="U55" s="786"/>
      <c r="V55" s="786"/>
      <c r="W55" s="786"/>
      <c r="X55" s="786"/>
      <c r="Y55" s="786"/>
      <c r="Z55" s="786"/>
      <c r="AA55" s="786"/>
      <c r="AB55" s="786"/>
      <c r="AC55" s="787"/>
    </row>
    <row r="56" spans="1:29" ht="14.25" customHeight="1">
      <c r="A56" s="785"/>
      <c r="B56" s="786"/>
      <c r="C56" s="786"/>
      <c r="D56" s="786"/>
      <c r="E56" s="786"/>
      <c r="F56" s="786"/>
      <c r="G56" s="786"/>
      <c r="H56" s="786"/>
      <c r="I56" s="786"/>
      <c r="J56" s="786"/>
      <c r="K56" s="786"/>
      <c r="L56" s="786"/>
      <c r="M56" s="786"/>
      <c r="P56" s="786"/>
      <c r="Q56" s="786"/>
      <c r="R56" s="786"/>
      <c r="S56" s="786"/>
      <c r="T56" s="786"/>
      <c r="U56" s="786"/>
      <c r="V56" s="786"/>
      <c r="W56" s="786"/>
      <c r="X56" s="786"/>
      <c r="Y56" s="786"/>
      <c r="Z56" s="786"/>
      <c r="AA56" s="786"/>
      <c r="AB56" s="786"/>
      <c r="AC56" s="787"/>
    </row>
    <row r="57" spans="1:29" ht="14.25" customHeight="1">
      <c r="A57" s="785"/>
      <c r="B57" s="786"/>
      <c r="C57" s="786"/>
      <c r="D57" s="786"/>
      <c r="E57" s="786"/>
      <c r="F57" s="786"/>
      <c r="G57" s="786"/>
      <c r="H57" s="786"/>
      <c r="I57" s="786"/>
      <c r="J57" s="786"/>
      <c r="K57" s="786"/>
      <c r="L57" s="786"/>
      <c r="M57" s="786"/>
      <c r="P57" s="786"/>
      <c r="Q57" s="786"/>
      <c r="R57" s="786"/>
      <c r="S57" s="786"/>
      <c r="T57" s="786"/>
      <c r="U57" s="786"/>
      <c r="V57" s="786"/>
      <c r="W57" s="786"/>
      <c r="X57" s="786"/>
      <c r="Y57" s="786"/>
      <c r="Z57" s="786"/>
      <c r="AA57" s="786"/>
      <c r="AB57" s="786"/>
      <c r="AC57" s="787"/>
    </row>
    <row r="58" spans="1:29" ht="14.25" customHeight="1">
      <c r="A58" s="785"/>
      <c r="B58" s="786"/>
      <c r="C58" s="786"/>
      <c r="D58" s="786"/>
      <c r="E58" s="786"/>
      <c r="F58" s="786"/>
      <c r="G58" s="786"/>
      <c r="H58" s="786"/>
      <c r="I58" s="786"/>
      <c r="J58" s="786"/>
      <c r="K58" s="786"/>
      <c r="L58" s="786"/>
      <c r="M58" s="786"/>
      <c r="P58" s="786"/>
      <c r="Q58" s="786"/>
      <c r="R58" s="786"/>
      <c r="S58" s="786"/>
      <c r="T58" s="786"/>
      <c r="U58" s="786"/>
      <c r="V58" s="786"/>
      <c r="W58" s="786"/>
      <c r="X58" s="786"/>
      <c r="Y58" s="786"/>
      <c r="Z58" s="786"/>
      <c r="AA58" s="786"/>
      <c r="AB58" s="786"/>
      <c r="AC58" s="787"/>
    </row>
    <row r="59" spans="1:29" ht="14.25" customHeight="1" thickBot="1">
      <c r="A59" s="788"/>
      <c r="B59" s="789"/>
      <c r="C59" s="789"/>
      <c r="D59" s="789"/>
      <c r="E59" s="789"/>
      <c r="F59" s="789"/>
      <c r="G59" s="789"/>
      <c r="H59" s="789"/>
      <c r="I59" s="789"/>
      <c r="J59" s="789"/>
      <c r="K59" s="789"/>
      <c r="L59" s="789"/>
      <c r="M59" s="789"/>
      <c r="N59" s="789"/>
      <c r="O59" s="789"/>
      <c r="P59" s="789"/>
      <c r="Q59" s="789"/>
      <c r="R59" s="789"/>
      <c r="S59" s="789"/>
      <c r="T59" s="789"/>
      <c r="U59" s="789"/>
      <c r="V59" s="789"/>
      <c r="W59" s="789"/>
      <c r="X59" s="789"/>
      <c r="Y59" s="789"/>
      <c r="Z59" s="789"/>
      <c r="AA59" s="789"/>
      <c r="AB59" s="789"/>
      <c r="AC59" s="790"/>
    </row>
    <row r="60" spans="1:29" ht="29.25" customHeight="1" thickBot="1"/>
    <row r="61" spans="1:29" ht="15">
      <c r="H61" s="791" t="s">
        <v>1218</v>
      </c>
      <c r="I61" s="792"/>
      <c r="J61" s="792"/>
      <c r="K61" s="792"/>
      <c r="L61" s="792"/>
      <c r="M61" s="792"/>
      <c r="N61" s="792"/>
      <c r="O61" s="792"/>
      <c r="P61" s="792"/>
      <c r="Q61" s="792"/>
      <c r="R61" s="792"/>
      <c r="S61" s="792"/>
      <c r="T61" s="792"/>
      <c r="U61" s="792"/>
      <c r="V61" s="792"/>
      <c r="W61" s="793"/>
    </row>
    <row r="62" spans="1:29" ht="15">
      <c r="H62" s="794" t="s">
        <v>1221</v>
      </c>
      <c r="I62" s="786"/>
      <c r="J62" s="786"/>
      <c r="K62" s="786"/>
      <c r="L62" s="786"/>
      <c r="M62" s="786"/>
      <c r="N62" s="786"/>
      <c r="O62" s="786"/>
      <c r="P62" s="786"/>
      <c r="Q62" s="786"/>
      <c r="R62" s="786"/>
      <c r="S62" s="786"/>
      <c r="T62" s="786"/>
      <c r="U62" s="786"/>
      <c r="V62" s="786"/>
      <c r="W62" s="787"/>
    </row>
    <row r="63" spans="1:29" ht="15">
      <c r="H63" s="785" t="s">
        <v>1219</v>
      </c>
      <c r="I63" s="786"/>
      <c r="J63" s="786"/>
      <c r="K63" s="786"/>
      <c r="L63" s="786"/>
      <c r="M63" s="786"/>
      <c r="N63" s="786"/>
      <c r="O63" s="786"/>
      <c r="P63" s="786"/>
      <c r="Q63" s="786"/>
      <c r="R63" s="786"/>
      <c r="S63" s="786"/>
      <c r="T63" s="786"/>
      <c r="U63" s="786"/>
      <c r="V63" s="786"/>
      <c r="W63" s="787"/>
    </row>
    <row r="64" spans="1:29" ht="15">
      <c r="H64" s="785" t="s">
        <v>1219</v>
      </c>
      <c r="I64" s="786"/>
      <c r="J64" s="786"/>
      <c r="K64" s="786"/>
      <c r="L64" s="786"/>
      <c r="M64" s="786"/>
      <c r="N64" s="786"/>
      <c r="O64" s="786"/>
      <c r="P64" s="786"/>
      <c r="Q64" s="786"/>
      <c r="R64" s="786"/>
      <c r="S64" s="786"/>
      <c r="T64" s="786"/>
      <c r="U64" s="786"/>
      <c r="V64" s="786"/>
      <c r="W64" s="787"/>
    </row>
    <row r="65" spans="8:23" ht="15">
      <c r="H65" s="785"/>
      <c r="I65" s="786"/>
      <c r="J65" s="786"/>
      <c r="K65" s="786"/>
      <c r="L65" s="786"/>
      <c r="M65" s="786"/>
      <c r="N65" s="786"/>
      <c r="O65" s="786"/>
      <c r="P65" s="786"/>
      <c r="Q65" s="786"/>
      <c r="R65" s="786"/>
      <c r="S65" s="786"/>
      <c r="T65" s="786"/>
      <c r="U65" s="786"/>
      <c r="V65" s="786"/>
      <c r="W65" s="787"/>
    </row>
    <row r="66" spans="8:23" ht="15" customHeight="1">
      <c r="H66" s="785"/>
      <c r="I66" s="786"/>
      <c r="J66" s="786"/>
      <c r="K66" s="786"/>
      <c r="L66" s="786"/>
      <c r="M66" s="786"/>
      <c r="N66" s="786"/>
      <c r="O66" s="786"/>
      <c r="P66" s="786"/>
      <c r="Q66" s="786"/>
      <c r="R66" s="786"/>
      <c r="S66" s="786"/>
      <c r="T66" s="786"/>
      <c r="U66" s="786"/>
      <c r="V66" s="786"/>
      <c r="W66" s="787"/>
    </row>
    <row r="67" spans="8:23" ht="13.5" customHeight="1">
      <c r="H67" s="785"/>
      <c r="I67" s="786"/>
      <c r="J67" s="786"/>
      <c r="K67" s="786"/>
      <c r="L67" s="786"/>
      <c r="M67" s="786"/>
      <c r="N67" s="786"/>
      <c r="O67" s="786"/>
      <c r="P67" s="786"/>
      <c r="Q67" s="786"/>
      <c r="R67" s="786"/>
      <c r="S67" s="786"/>
      <c r="T67" s="786"/>
      <c r="U67" s="786"/>
      <c r="V67" s="786"/>
      <c r="W67" s="787"/>
    </row>
    <row r="68" spans="8:23" ht="13.5" customHeight="1">
      <c r="H68" s="785"/>
      <c r="I68" s="786"/>
      <c r="J68" s="786"/>
      <c r="K68" s="786"/>
      <c r="L68" s="786"/>
      <c r="M68" s="786"/>
      <c r="N68" s="786"/>
      <c r="O68" s="786"/>
      <c r="P68" s="786"/>
      <c r="Q68" s="786"/>
      <c r="R68" s="786"/>
      <c r="S68" s="786"/>
      <c r="T68" s="786"/>
      <c r="U68" s="786"/>
      <c r="V68" s="786"/>
      <c r="W68" s="787"/>
    </row>
    <row r="69" spans="8:23" ht="13.5" customHeight="1" thickBot="1">
      <c r="H69" s="788"/>
      <c r="I69" s="789"/>
      <c r="J69" s="789"/>
      <c r="K69" s="789"/>
      <c r="L69" s="789"/>
      <c r="M69" s="789"/>
      <c r="N69" s="789"/>
      <c r="O69" s="789"/>
      <c r="P69" s="789"/>
      <c r="Q69" s="789"/>
      <c r="R69" s="789"/>
      <c r="S69" s="789"/>
      <c r="T69" s="789"/>
      <c r="U69" s="789"/>
      <c r="V69" s="789"/>
      <c r="W69" s="790"/>
    </row>
  </sheetData>
  <mergeCells count="66">
    <mergeCell ref="I43:AC46"/>
    <mergeCell ref="E43:E46"/>
    <mergeCell ref="F43:H46"/>
    <mergeCell ref="A42:A46"/>
    <mergeCell ref="B42:D46"/>
    <mergeCell ref="AA42:AC42"/>
    <mergeCell ref="I42:R42"/>
    <mergeCell ref="U42:Z42"/>
    <mergeCell ref="A11:A15"/>
    <mergeCell ref="B11:D15"/>
    <mergeCell ref="A16:A19"/>
    <mergeCell ref="B16:D19"/>
    <mergeCell ref="S42:T42"/>
    <mergeCell ref="A40:AC40"/>
    <mergeCell ref="B41:D41"/>
    <mergeCell ref="E41:AC41"/>
    <mergeCell ref="T36:AC36"/>
    <mergeCell ref="E21:AC21"/>
    <mergeCell ref="A22:A29"/>
    <mergeCell ref="B22:D29"/>
    <mergeCell ref="A30:A39"/>
    <mergeCell ref="B30:D39"/>
    <mergeCell ref="E30:E32"/>
    <mergeCell ref="I30:J30"/>
    <mergeCell ref="I31:J31"/>
    <mergeCell ref="K31:AC31"/>
    <mergeCell ref="E33:E35"/>
    <mergeCell ref="I33:J33"/>
    <mergeCell ref="Q33:S33"/>
    <mergeCell ref="T33:AC33"/>
    <mergeCell ref="I34:J34"/>
    <mergeCell ref="K34:AC34"/>
    <mergeCell ref="E36:E39"/>
    <mergeCell ref="I36:J36"/>
    <mergeCell ref="Q36:S36"/>
    <mergeCell ref="I37:J37"/>
    <mergeCell ref="K37:AC37"/>
    <mergeCell ref="Q30:S30"/>
    <mergeCell ref="T30:AC30"/>
    <mergeCell ref="T16:AC16"/>
    <mergeCell ref="F17:H17"/>
    <mergeCell ref="I17:J17"/>
    <mergeCell ref="K17:AC17"/>
    <mergeCell ref="G19:AC19"/>
    <mergeCell ref="A20:AC20"/>
    <mergeCell ref="E16:E19"/>
    <mergeCell ref="F16:H16"/>
    <mergeCell ref="I16:J16"/>
    <mergeCell ref="Q16:S16"/>
    <mergeCell ref="B21:D21"/>
    <mergeCell ref="B10:D10"/>
    <mergeCell ref="E10:AC10"/>
    <mergeCell ref="E11:E15"/>
    <mergeCell ref="F12:O12"/>
    <mergeCell ref="P12:AC12"/>
    <mergeCell ref="Q7:R7"/>
    <mergeCell ref="S7:V7"/>
    <mergeCell ref="W7:AC7"/>
    <mergeCell ref="A9:AC9"/>
    <mergeCell ref="X1:AC1"/>
    <mergeCell ref="A4:AC4"/>
    <mergeCell ref="Q6:R6"/>
    <mergeCell ref="S6:V6"/>
    <mergeCell ref="W6:AC6"/>
    <mergeCell ref="A6:P6"/>
    <mergeCell ref="A7:P7"/>
  </mergeCells>
  <phoneticPr fontId="5"/>
  <dataValidations count="2">
    <dataValidation type="list" allowBlank="1" showInputMessage="1" showErrorMessage="1" sqref="WVL983047:WVX983047 WLP983047:WMB983047 WBT983047:WCF983047 VRX983047:VSJ983047 VIB983047:VIN983047 UYF983047:UYR983047 UOJ983047:UOV983047 UEN983047:UEZ983047 TUR983047:TVD983047 TKV983047:TLH983047 TAZ983047:TBL983047 SRD983047:SRP983047 SHH983047:SHT983047 RXL983047:RXX983047 RNP983047:ROB983047 RDT983047:REF983047 QTX983047:QUJ983047 QKB983047:QKN983047 QAF983047:QAR983047 PQJ983047:PQV983047 PGN983047:PGZ983047 OWR983047:OXD983047 OMV983047:ONH983047 OCZ983047:ODL983047 NTD983047:NTP983047 NJH983047:NJT983047 MZL983047:MZX983047 MPP983047:MQB983047 MFT983047:MGF983047 LVX983047:LWJ983047 LMB983047:LMN983047 LCF983047:LCR983047 KSJ983047:KSV983047 KIN983047:KIZ983047 JYR983047:JZD983047 JOV983047:JPH983047 JEZ983047:JFL983047 IVD983047:IVP983047 ILH983047:ILT983047 IBL983047:IBX983047 HRP983047:HSB983047 HHT983047:HIF983047 GXX983047:GYJ983047 GOB983047:GON983047 GEF983047:GER983047 FUJ983047:FUV983047 FKN983047:FKZ983047 FAR983047:FBD983047 EQV983047:ERH983047 EGZ983047:EHL983047 DXD983047:DXP983047 DNH983047:DNT983047 DDL983047:DDX983047 CTP983047:CUB983047 CJT983047:CKF983047 BZX983047:CAJ983047 BQB983047:BQN983047 BGF983047:BGR983047 AWJ983047:AWV983047 AMN983047:AMZ983047 ACR983047:ADD983047 SV983047:TH983047 IZ983047:JL983047 D983047:P983047 WVL917511:WVX917511 WLP917511:WMB917511 WBT917511:WCF917511 VRX917511:VSJ917511 VIB917511:VIN917511 UYF917511:UYR917511 UOJ917511:UOV917511 UEN917511:UEZ917511 TUR917511:TVD917511 TKV917511:TLH917511 TAZ917511:TBL917511 SRD917511:SRP917511 SHH917511:SHT917511 RXL917511:RXX917511 RNP917511:ROB917511 RDT917511:REF917511 QTX917511:QUJ917511 QKB917511:QKN917511 QAF917511:QAR917511 PQJ917511:PQV917511 PGN917511:PGZ917511 OWR917511:OXD917511 OMV917511:ONH917511 OCZ917511:ODL917511 NTD917511:NTP917511 NJH917511:NJT917511 MZL917511:MZX917511 MPP917511:MQB917511 MFT917511:MGF917511 LVX917511:LWJ917511 LMB917511:LMN917511 LCF917511:LCR917511 KSJ917511:KSV917511 KIN917511:KIZ917511 JYR917511:JZD917511 JOV917511:JPH917511 JEZ917511:JFL917511 IVD917511:IVP917511 ILH917511:ILT917511 IBL917511:IBX917511 HRP917511:HSB917511 HHT917511:HIF917511 GXX917511:GYJ917511 GOB917511:GON917511 GEF917511:GER917511 FUJ917511:FUV917511 FKN917511:FKZ917511 FAR917511:FBD917511 EQV917511:ERH917511 EGZ917511:EHL917511 DXD917511:DXP917511 DNH917511:DNT917511 DDL917511:DDX917511 CTP917511:CUB917511 CJT917511:CKF917511 BZX917511:CAJ917511 BQB917511:BQN917511 BGF917511:BGR917511 AWJ917511:AWV917511 AMN917511:AMZ917511 ACR917511:ADD917511 SV917511:TH917511 IZ917511:JL917511 D917511:P917511 WVL851975:WVX851975 WLP851975:WMB851975 WBT851975:WCF851975 VRX851975:VSJ851975 VIB851975:VIN851975 UYF851975:UYR851975 UOJ851975:UOV851975 UEN851975:UEZ851975 TUR851975:TVD851975 TKV851975:TLH851975 TAZ851975:TBL851975 SRD851975:SRP851975 SHH851975:SHT851975 RXL851975:RXX851975 RNP851975:ROB851975 RDT851975:REF851975 QTX851975:QUJ851975 QKB851975:QKN851975 QAF851975:QAR851975 PQJ851975:PQV851975 PGN851975:PGZ851975 OWR851975:OXD851975 OMV851975:ONH851975 OCZ851975:ODL851975 NTD851975:NTP851975 NJH851975:NJT851975 MZL851975:MZX851975 MPP851975:MQB851975 MFT851975:MGF851975 LVX851975:LWJ851975 LMB851975:LMN851975 LCF851975:LCR851975 KSJ851975:KSV851975 KIN851975:KIZ851975 JYR851975:JZD851975 JOV851975:JPH851975 JEZ851975:JFL851975 IVD851975:IVP851975 ILH851975:ILT851975 IBL851975:IBX851975 HRP851975:HSB851975 HHT851975:HIF851975 GXX851975:GYJ851975 GOB851975:GON851975 GEF851975:GER851975 FUJ851975:FUV851975 FKN851975:FKZ851975 FAR851975:FBD851975 EQV851975:ERH851975 EGZ851975:EHL851975 DXD851975:DXP851975 DNH851975:DNT851975 DDL851975:DDX851975 CTP851975:CUB851975 CJT851975:CKF851975 BZX851975:CAJ851975 BQB851975:BQN851975 BGF851975:BGR851975 AWJ851975:AWV851975 AMN851975:AMZ851975 ACR851975:ADD851975 SV851975:TH851975 IZ851975:JL851975 D851975:P851975 WVL786439:WVX786439 WLP786439:WMB786439 WBT786439:WCF786439 VRX786439:VSJ786439 VIB786439:VIN786439 UYF786439:UYR786439 UOJ786439:UOV786439 UEN786439:UEZ786439 TUR786439:TVD786439 TKV786439:TLH786439 TAZ786439:TBL786439 SRD786439:SRP786439 SHH786439:SHT786439 RXL786439:RXX786439 RNP786439:ROB786439 RDT786439:REF786439 QTX786439:QUJ786439 QKB786439:QKN786439 QAF786439:QAR786439 PQJ786439:PQV786439 PGN786439:PGZ786439 OWR786439:OXD786439 OMV786439:ONH786439 OCZ786439:ODL786439 NTD786439:NTP786439 NJH786439:NJT786439 MZL786439:MZX786439 MPP786439:MQB786439 MFT786439:MGF786439 LVX786439:LWJ786439 LMB786439:LMN786439 LCF786439:LCR786439 KSJ786439:KSV786439 KIN786439:KIZ786439 JYR786439:JZD786439 JOV786439:JPH786439 JEZ786439:JFL786439 IVD786439:IVP786439 ILH786439:ILT786439 IBL786439:IBX786439 HRP786439:HSB786439 HHT786439:HIF786439 GXX786439:GYJ786439 GOB786439:GON786439 GEF786439:GER786439 FUJ786439:FUV786439 FKN786439:FKZ786439 FAR786439:FBD786439 EQV786439:ERH786439 EGZ786439:EHL786439 DXD786439:DXP786439 DNH786439:DNT786439 DDL786439:DDX786439 CTP786439:CUB786439 CJT786439:CKF786439 BZX786439:CAJ786439 BQB786439:BQN786439 BGF786439:BGR786439 AWJ786439:AWV786439 AMN786439:AMZ786439 ACR786439:ADD786439 SV786439:TH786439 IZ786439:JL786439 D786439:P786439 WVL720903:WVX720903 WLP720903:WMB720903 WBT720903:WCF720903 VRX720903:VSJ720903 VIB720903:VIN720903 UYF720903:UYR720903 UOJ720903:UOV720903 UEN720903:UEZ720903 TUR720903:TVD720903 TKV720903:TLH720903 TAZ720903:TBL720903 SRD720903:SRP720903 SHH720903:SHT720903 RXL720903:RXX720903 RNP720903:ROB720903 RDT720903:REF720903 QTX720903:QUJ720903 QKB720903:QKN720903 QAF720903:QAR720903 PQJ720903:PQV720903 PGN720903:PGZ720903 OWR720903:OXD720903 OMV720903:ONH720903 OCZ720903:ODL720903 NTD720903:NTP720903 NJH720903:NJT720903 MZL720903:MZX720903 MPP720903:MQB720903 MFT720903:MGF720903 LVX720903:LWJ720903 LMB720903:LMN720903 LCF720903:LCR720903 KSJ720903:KSV720903 KIN720903:KIZ720903 JYR720903:JZD720903 JOV720903:JPH720903 JEZ720903:JFL720903 IVD720903:IVP720903 ILH720903:ILT720903 IBL720903:IBX720903 HRP720903:HSB720903 HHT720903:HIF720903 GXX720903:GYJ720903 GOB720903:GON720903 GEF720903:GER720903 FUJ720903:FUV720903 FKN720903:FKZ720903 FAR720903:FBD720903 EQV720903:ERH720903 EGZ720903:EHL720903 DXD720903:DXP720903 DNH720903:DNT720903 DDL720903:DDX720903 CTP720903:CUB720903 CJT720903:CKF720903 BZX720903:CAJ720903 BQB720903:BQN720903 BGF720903:BGR720903 AWJ720903:AWV720903 AMN720903:AMZ720903 ACR720903:ADD720903 SV720903:TH720903 IZ720903:JL720903 D720903:P720903 WVL655367:WVX655367 WLP655367:WMB655367 WBT655367:WCF655367 VRX655367:VSJ655367 VIB655367:VIN655367 UYF655367:UYR655367 UOJ655367:UOV655367 UEN655367:UEZ655367 TUR655367:TVD655367 TKV655367:TLH655367 TAZ655367:TBL655367 SRD655367:SRP655367 SHH655367:SHT655367 RXL655367:RXX655367 RNP655367:ROB655367 RDT655367:REF655367 QTX655367:QUJ655367 QKB655367:QKN655367 QAF655367:QAR655367 PQJ655367:PQV655367 PGN655367:PGZ655367 OWR655367:OXD655367 OMV655367:ONH655367 OCZ655367:ODL655367 NTD655367:NTP655367 NJH655367:NJT655367 MZL655367:MZX655367 MPP655367:MQB655367 MFT655367:MGF655367 LVX655367:LWJ655367 LMB655367:LMN655367 LCF655367:LCR655367 KSJ655367:KSV655367 KIN655367:KIZ655367 JYR655367:JZD655367 JOV655367:JPH655367 JEZ655367:JFL655367 IVD655367:IVP655367 ILH655367:ILT655367 IBL655367:IBX655367 HRP655367:HSB655367 HHT655367:HIF655367 GXX655367:GYJ655367 GOB655367:GON655367 GEF655367:GER655367 FUJ655367:FUV655367 FKN655367:FKZ655367 FAR655367:FBD655367 EQV655367:ERH655367 EGZ655367:EHL655367 DXD655367:DXP655367 DNH655367:DNT655367 DDL655367:DDX655367 CTP655367:CUB655367 CJT655367:CKF655367 BZX655367:CAJ655367 BQB655367:BQN655367 BGF655367:BGR655367 AWJ655367:AWV655367 AMN655367:AMZ655367 ACR655367:ADD655367 SV655367:TH655367 IZ655367:JL655367 D655367:P655367 WVL589831:WVX589831 WLP589831:WMB589831 WBT589831:WCF589831 VRX589831:VSJ589831 VIB589831:VIN589831 UYF589831:UYR589831 UOJ589831:UOV589831 UEN589831:UEZ589831 TUR589831:TVD589831 TKV589831:TLH589831 TAZ589831:TBL589831 SRD589831:SRP589831 SHH589831:SHT589831 RXL589831:RXX589831 RNP589831:ROB589831 RDT589831:REF589831 QTX589831:QUJ589831 QKB589831:QKN589831 QAF589831:QAR589831 PQJ589831:PQV589831 PGN589831:PGZ589831 OWR589831:OXD589831 OMV589831:ONH589831 OCZ589831:ODL589831 NTD589831:NTP589831 NJH589831:NJT589831 MZL589831:MZX589831 MPP589831:MQB589831 MFT589831:MGF589831 LVX589831:LWJ589831 LMB589831:LMN589831 LCF589831:LCR589831 KSJ589831:KSV589831 KIN589831:KIZ589831 JYR589831:JZD589831 JOV589831:JPH589831 JEZ589831:JFL589831 IVD589831:IVP589831 ILH589831:ILT589831 IBL589831:IBX589831 HRP589831:HSB589831 HHT589831:HIF589831 GXX589831:GYJ589831 GOB589831:GON589831 GEF589831:GER589831 FUJ589831:FUV589831 FKN589831:FKZ589831 FAR589831:FBD589831 EQV589831:ERH589831 EGZ589831:EHL589831 DXD589831:DXP589831 DNH589831:DNT589831 DDL589831:DDX589831 CTP589831:CUB589831 CJT589831:CKF589831 BZX589831:CAJ589831 BQB589831:BQN589831 BGF589831:BGR589831 AWJ589831:AWV589831 AMN589831:AMZ589831 ACR589831:ADD589831 SV589831:TH589831 IZ589831:JL589831 D589831:P589831 WVL524295:WVX524295 WLP524295:WMB524295 WBT524295:WCF524295 VRX524295:VSJ524295 VIB524295:VIN524295 UYF524295:UYR524295 UOJ524295:UOV524295 UEN524295:UEZ524295 TUR524295:TVD524295 TKV524295:TLH524295 TAZ524295:TBL524295 SRD524295:SRP524295 SHH524295:SHT524295 RXL524295:RXX524295 RNP524295:ROB524295 RDT524295:REF524295 QTX524295:QUJ524295 QKB524295:QKN524295 QAF524295:QAR524295 PQJ524295:PQV524295 PGN524295:PGZ524295 OWR524295:OXD524295 OMV524295:ONH524295 OCZ524295:ODL524295 NTD524295:NTP524295 NJH524295:NJT524295 MZL524295:MZX524295 MPP524295:MQB524295 MFT524295:MGF524295 LVX524295:LWJ524295 LMB524295:LMN524295 LCF524295:LCR524295 KSJ524295:KSV524295 KIN524295:KIZ524295 JYR524295:JZD524295 JOV524295:JPH524295 JEZ524295:JFL524295 IVD524295:IVP524295 ILH524295:ILT524295 IBL524295:IBX524295 HRP524295:HSB524295 HHT524295:HIF524295 GXX524295:GYJ524295 GOB524295:GON524295 GEF524295:GER524295 FUJ524295:FUV524295 FKN524295:FKZ524295 FAR524295:FBD524295 EQV524295:ERH524295 EGZ524295:EHL524295 DXD524295:DXP524295 DNH524295:DNT524295 DDL524295:DDX524295 CTP524295:CUB524295 CJT524295:CKF524295 BZX524295:CAJ524295 BQB524295:BQN524295 BGF524295:BGR524295 AWJ524295:AWV524295 AMN524295:AMZ524295 ACR524295:ADD524295 SV524295:TH524295 IZ524295:JL524295 D524295:P524295 WVL458759:WVX458759 WLP458759:WMB458759 WBT458759:WCF458759 VRX458759:VSJ458759 VIB458759:VIN458759 UYF458759:UYR458759 UOJ458759:UOV458759 UEN458759:UEZ458759 TUR458759:TVD458759 TKV458759:TLH458759 TAZ458759:TBL458759 SRD458759:SRP458759 SHH458759:SHT458759 RXL458759:RXX458759 RNP458759:ROB458759 RDT458759:REF458759 QTX458759:QUJ458759 QKB458759:QKN458759 QAF458759:QAR458759 PQJ458759:PQV458759 PGN458759:PGZ458759 OWR458759:OXD458759 OMV458759:ONH458759 OCZ458759:ODL458759 NTD458759:NTP458759 NJH458759:NJT458759 MZL458759:MZX458759 MPP458759:MQB458759 MFT458759:MGF458759 LVX458759:LWJ458759 LMB458759:LMN458759 LCF458759:LCR458759 KSJ458759:KSV458759 KIN458759:KIZ458759 JYR458759:JZD458759 JOV458759:JPH458759 JEZ458759:JFL458759 IVD458759:IVP458759 ILH458759:ILT458759 IBL458759:IBX458759 HRP458759:HSB458759 HHT458759:HIF458759 GXX458759:GYJ458759 GOB458759:GON458759 GEF458759:GER458759 FUJ458759:FUV458759 FKN458759:FKZ458759 FAR458759:FBD458759 EQV458759:ERH458759 EGZ458759:EHL458759 DXD458759:DXP458759 DNH458759:DNT458759 DDL458759:DDX458759 CTP458759:CUB458759 CJT458759:CKF458759 BZX458759:CAJ458759 BQB458759:BQN458759 BGF458759:BGR458759 AWJ458759:AWV458759 AMN458759:AMZ458759 ACR458759:ADD458759 SV458759:TH458759 IZ458759:JL458759 D458759:P458759 WVL393223:WVX393223 WLP393223:WMB393223 WBT393223:WCF393223 VRX393223:VSJ393223 VIB393223:VIN393223 UYF393223:UYR393223 UOJ393223:UOV393223 UEN393223:UEZ393223 TUR393223:TVD393223 TKV393223:TLH393223 TAZ393223:TBL393223 SRD393223:SRP393223 SHH393223:SHT393223 RXL393223:RXX393223 RNP393223:ROB393223 RDT393223:REF393223 QTX393223:QUJ393223 QKB393223:QKN393223 QAF393223:QAR393223 PQJ393223:PQV393223 PGN393223:PGZ393223 OWR393223:OXD393223 OMV393223:ONH393223 OCZ393223:ODL393223 NTD393223:NTP393223 NJH393223:NJT393223 MZL393223:MZX393223 MPP393223:MQB393223 MFT393223:MGF393223 LVX393223:LWJ393223 LMB393223:LMN393223 LCF393223:LCR393223 KSJ393223:KSV393223 KIN393223:KIZ393223 JYR393223:JZD393223 JOV393223:JPH393223 JEZ393223:JFL393223 IVD393223:IVP393223 ILH393223:ILT393223 IBL393223:IBX393223 HRP393223:HSB393223 HHT393223:HIF393223 GXX393223:GYJ393223 GOB393223:GON393223 GEF393223:GER393223 FUJ393223:FUV393223 FKN393223:FKZ393223 FAR393223:FBD393223 EQV393223:ERH393223 EGZ393223:EHL393223 DXD393223:DXP393223 DNH393223:DNT393223 DDL393223:DDX393223 CTP393223:CUB393223 CJT393223:CKF393223 BZX393223:CAJ393223 BQB393223:BQN393223 BGF393223:BGR393223 AWJ393223:AWV393223 AMN393223:AMZ393223 ACR393223:ADD393223 SV393223:TH393223 IZ393223:JL393223 D393223:P393223 WVL327687:WVX327687 WLP327687:WMB327687 WBT327687:WCF327687 VRX327687:VSJ327687 VIB327687:VIN327687 UYF327687:UYR327687 UOJ327687:UOV327687 UEN327687:UEZ327687 TUR327687:TVD327687 TKV327687:TLH327687 TAZ327687:TBL327687 SRD327687:SRP327687 SHH327687:SHT327687 RXL327687:RXX327687 RNP327687:ROB327687 RDT327687:REF327687 QTX327687:QUJ327687 QKB327687:QKN327687 QAF327687:QAR327687 PQJ327687:PQV327687 PGN327687:PGZ327687 OWR327687:OXD327687 OMV327687:ONH327687 OCZ327687:ODL327687 NTD327687:NTP327687 NJH327687:NJT327687 MZL327687:MZX327687 MPP327687:MQB327687 MFT327687:MGF327687 LVX327687:LWJ327687 LMB327687:LMN327687 LCF327687:LCR327687 KSJ327687:KSV327687 KIN327687:KIZ327687 JYR327687:JZD327687 JOV327687:JPH327687 JEZ327687:JFL327687 IVD327687:IVP327687 ILH327687:ILT327687 IBL327687:IBX327687 HRP327687:HSB327687 HHT327687:HIF327687 GXX327687:GYJ327687 GOB327687:GON327687 GEF327687:GER327687 FUJ327687:FUV327687 FKN327687:FKZ327687 FAR327687:FBD327687 EQV327687:ERH327687 EGZ327687:EHL327687 DXD327687:DXP327687 DNH327687:DNT327687 DDL327687:DDX327687 CTP327687:CUB327687 CJT327687:CKF327687 BZX327687:CAJ327687 BQB327687:BQN327687 BGF327687:BGR327687 AWJ327687:AWV327687 AMN327687:AMZ327687 ACR327687:ADD327687 SV327687:TH327687 IZ327687:JL327687 D327687:P327687 WVL262151:WVX262151 WLP262151:WMB262151 WBT262151:WCF262151 VRX262151:VSJ262151 VIB262151:VIN262151 UYF262151:UYR262151 UOJ262151:UOV262151 UEN262151:UEZ262151 TUR262151:TVD262151 TKV262151:TLH262151 TAZ262151:TBL262151 SRD262151:SRP262151 SHH262151:SHT262151 RXL262151:RXX262151 RNP262151:ROB262151 RDT262151:REF262151 QTX262151:QUJ262151 QKB262151:QKN262151 QAF262151:QAR262151 PQJ262151:PQV262151 PGN262151:PGZ262151 OWR262151:OXD262151 OMV262151:ONH262151 OCZ262151:ODL262151 NTD262151:NTP262151 NJH262151:NJT262151 MZL262151:MZX262151 MPP262151:MQB262151 MFT262151:MGF262151 LVX262151:LWJ262151 LMB262151:LMN262151 LCF262151:LCR262151 KSJ262151:KSV262151 KIN262151:KIZ262151 JYR262151:JZD262151 JOV262151:JPH262151 JEZ262151:JFL262151 IVD262151:IVP262151 ILH262151:ILT262151 IBL262151:IBX262151 HRP262151:HSB262151 HHT262151:HIF262151 GXX262151:GYJ262151 GOB262151:GON262151 GEF262151:GER262151 FUJ262151:FUV262151 FKN262151:FKZ262151 FAR262151:FBD262151 EQV262151:ERH262151 EGZ262151:EHL262151 DXD262151:DXP262151 DNH262151:DNT262151 DDL262151:DDX262151 CTP262151:CUB262151 CJT262151:CKF262151 BZX262151:CAJ262151 BQB262151:BQN262151 BGF262151:BGR262151 AWJ262151:AWV262151 AMN262151:AMZ262151 ACR262151:ADD262151 SV262151:TH262151 IZ262151:JL262151 D262151:P262151 WVL196615:WVX196615 WLP196615:WMB196615 WBT196615:WCF196615 VRX196615:VSJ196615 VIB196615:VIN196615 UYF196615:UYR196615 UOJ196615:UOV196615 UEN196615:UEZ196615 TUR196615:TVD196615 TKV196615:TLH196615 TAZ196615:TBL196615 SRD196615:SRP196615 SHH196615:SHT196615 RXL196615:RXX196615 RNP196615:ROB196615 RDT196615:REF196615 QTX196615:QUJ196615 QKB196615:QKN196615 QAF196615:QAR196615 PQJ196615:PQV196615 PGN196615:PGZ196615 OWR196615:OXD196615 OMV196615:ONH196615 OCZ196615:ODL196615 NTD196615:NTP196615 NJH196615:NJT196615 MZL196615:MZX196615 MPP196615:MQB196615 MFT196615:MGF196615 LVX196615:LWJ196615 LMB196615:LMN196615 LCF196615:LCR196615 KSJ196615:KSV196615 KIN196615:KIZ196615 JYR196615:JZD196615 JOV196615:JPH196615 JEZ196615:JFL196615 IVD196615:IVP196615 ILH196615:ILT196615 IBL196615:IBX196615 HRP196615:HSB196615 HHT196615:HIF196615 GXX196615:GYJ196615 GOB196615:GON196615 GEF196615:GER196615 FUJ196615:FUV196615 FKN196615:FKZ196615 FAR196615:FBD196615 EQV196615:ERH196615 EGZ196615:EHL196615 DXD196615:DXP196615 DNH196615:DNT196615 DDL196615:DDX196615 CTP196615:CUB196615 CJT196615:CKF196615 BZX196615:CAJ196615 BQB196615:BQN196615 BGF196615:BGR196615 AWJ196615:AWV196615 AMN196615:AMZ196615 ACR196615:ADD196615 SV196615:TH196615 IZ196615:JL196615 D196615:P196615 WVL131079:WVX131079 WLP131079:WMB131079 WBT131079:WCF131079 VRX131079:VSJ131079 VIB131079:VIN131079 UYF131079:UYR131079 UOJ131079:UOV131079 UEN131079:UEZ131079 TUR131079:TVD131079 TKV131079:TLH131079 TAZ131079:TBL131079 SRD131079:SRP131079 SHH131079:SHT131079 RXL131079:RXX131079 RNP131079:ROB131079 RDT131079:REF131079 QTX131079:QUJ131079 QKB131079:QKN131079 QAF131079:QAR131079 PQJ131079:PQV131079 PGN131079:PGZ131079 OWR131079:OXD131079 OMV131079:ONH131079 OCZ131079:ODL131079 NTD131079:NTP131079 NJH131079:NJT131079 MZL131079:MZX131079 MPP131079:MQB131079 MFT131079:MGF131079 LVX131079:LWJ131079 LMB131079:LMN131079 LCF131079:LCR131079 KSJ131079:KSV131079 KIN131079:KIZ131079 JYR131079:JZD131079 JOV131079:JPH131079 JEZ131079:JFL131079 IVD131079:IVP131079 ILH131079:ILT131079 IBL131079:IBX131079 HRP131079:HSB131079 HHT131079:HIF131079 GXX131079:GYJ131079 GOB131079:GON131079 GEF131079:GER131079 FUJ131079:FUV131079 FKN131079:FKZ131079 FAR131079:FBD131079 EQV131079:ERH131079 EGZ131079:EHL131079 DXD131079:DXP131079 DNH131079:DNT131079 DDL131079:DDX131079 CTP131079:CUB131079 CJT131079:CKF131079 BZX131079:CAJ131079 BQB131079:BQN131079 BGF131079:BGR131079 AWJ131079:AWV131079 AMN131079:AMZ131079 ACR131079:ADD131079 SV131079:TH131079 IZ131079:JL131079 D131079:P131079 WVL65543:WVX65543 WLP65543:WMB65543 WBT65543:WCF65543 VRX65543:VSJ65543 VIB65543:VIN65543 UYF65543:UYR65543 UOJ65543:UOV65543 UEN65543:UEZ65543 TUR65543:TVD65543 TKV65543:TLH65543 TAZ65543:TBL65543 SRD65543:SRP65543 SHH65543:SHT65543 RXL65543:RXX65543 RNP65543:ROB65543 RDT65543:REF65543 QTX65543:QUJ65543 QKB65543:QKN65543 QAF65543:QAR65543 PQJ65543:PQV65543 PGN65543:PGZ65543 OWR65543:OXD65543 OMV65543:ONH65543 OCZ65543:ODL65543 NTD65543:NTP65543 NJH65543:NJT65543 MZL65543:MZX65543 MPP65543:MQB65543 MFT65543:MGF65543 LVX65543:LWJ65543 LMB65543:LMN65543 LCF65543:LCR65543 KSJ65543:KSV65543 KIN65543:KIZ65543 JYR65543:JZD65543 JOV65543:JPH65543 JEZ65543:JFL65543 IVD65543:IVP65543 ILH65543:ILT65543 IBL65543:IBX65543 HRP65543:HSB65543 HHT65543:HIF65543 GXX65543:GYJ65543 GOB65543:GON65543 GEF65543:GER65543 FUJ65543:FUV65543 FKN65543:FKZ65543 FAR65543:FBD65543 EQV65543:ERH65543 EGZ65543:EHL65543 DXD65543:DXP65543 DNH65543:DNT65543 DDL65543:DDX65543 CTP65543:CUB65543 CJT65543:CKF65543 BZX65543:CAJ65543 BQB65543:BQN65543 BGF65543:BGR65543 AWJ65543:AWV65543 AMN65543:AMZ65543 ACR65543:ADD65543 SV65543:TH65543 IZ65543:JL65543 D65543:P65543 WVL7:WVX7 WLP7:WMB7 WBT7:WCF7 VRX7:VSJ7 VIB7:VIN7 UYF7:UYR7 UOJ7:UOV7 UEN7:UEZ7 TUR7:TVD7 TKV7:TLH7 TAZ7:TBL7 SRD7:SRP7 SHH7:SHT7 RXL7:RXX7 RNP7:ROB7 RDT7:REF7 QTX7:QUJ7 QKB7:QKN7 QAF7:QAR7 PQJ7:PQV7 PGN7:PGZ7 OWR7:OXD7 OMV7:ONH7 OCZ7:ODL7 NTD7:NTP7 NJH7:NJT7 MZL7:MZX7 MPP7:MQB7 MFT7:MGF7 LVX7:LWJ7 LMB7:LMN7 LCF7:LCR7 KSJ7:KSV7 KIN7:KIZ7 JYR7:JZD7 JOV7:JPH7 JEZ7:JFL7 IVD7:IVP7 ILH7:ILT7 IBL7:IBX7 HRP7:HSB7 HHT7:HIF7 GXX7:GYJ7 GOB7:GON7 GEF7:GER7 FUJ7:FUV7 FKN7:FKZ7 FAR7:FBD7 EQV7:ERH7 EGZ7:EHL7 DXD7:DXP7 DNH7:DNT7 DDL7:DDX7 CTP7:CUB7 CJT7:CKF7 BZX7:CAJ7 BQB7:BQN7 BGF7:BGR7 AWJ7:AWV7 AMN7:AMZ7 ACR7:ADD7 SV7:TH7 IZ7:JL7">
      <formula1>$AF$5:$AF$75</formula1>
    </dataValidation>
    <dataValidation type="list" allowBlank="1" showInputMessage="1" showErrorMessage="1" sqref="WVY983091:WVY983098 Q47:Q58 WMC983091:WMC983098 WCG983091:WCG983098 VSK983091:VSK983098 VIO983091:VIO983098 UYS983091:UYS983098 UOW983091:UOW983098 UFA983091:UFA983098 TVE983091:TVE983098 TLI983091:TLI983098 TBM983091:TBM983098 SRQ983091:SRQ983098 SHU983091:SHU983098 RXY983091:RXY983098 ROC983091:ROC983098 REG983091:REG983098 QUK983091:QUK983098 QKO983091:QKO983098 QAS983091:QAS983098 PQW983091:PQW983098 PHA983091:PHA983098 OXE983091:OXE983098 ONI983091:ONI983098 ODM983091:ODM983098 NTQ983091:NTQ983098 NJU983091:NJU983098 MZY983091:MZY983098 MQC983091:MQC983098 MGG983091:MGG983098 LWK983091:LWK983098 LMO983091:LMO983098 LCS983091:LCS983098 KSW983091:KSW983098 KJA983091:KJA983098 JZE983091:JZE983098 JPI983091:JPI983098 JFM983091:JFM983098 IVQ983091:IVQ983098 ILU983091:ILU983098 IBY983091:IBY983098 HSC983091:HSC983098 HIG983091:HIG983098 GYK983091:GYK983098 GOO983091:GOO983098 GES983091:GES983098 FUW983091:FUW983098 FLA983091:FLA983098 FBE983091:FBE983098 ERI983091:ERI983098 EHM983091:EHM983098 DXQ983091:DXQ983098 DNU983091:DNU983098 DDY983091:DDY983098 CUC983091:CUC983098 CKG983091:CKG983098 CAK983091:CAK983098 BQO983091:BQO983098 BGS983091:BGS983098 AWW983091:AWW983098 ANA983091:ANA983098 ADE983091:ADE983098 TI983091:TI983098 JM983091:JM983098 Q983091:Q983098 WVY917555:WVY917562 WMC917555:WMC917562 WCG917555:WCG917562 VSK917555:VSK917562 VIO917555:VIO917562 UYS917555:UYS917562 UOW917555:UOW917562 UFA917555:UFA917562 TVE917555:TVE917562 TLI917555:TLI917562 TBM917555:TBM917562 SRQ917555:SRQ917562 SHU917555:SHU917562 RXY917555:RXY917562 ROC917555:ROC917562 REG917555:REG917562 QUK917555:QUK917562 QKO917555:QKO917562 QAS917555:QAS917562 PQW917555:PQW917562 PHA917555:PHA917562 OXE917555:OXE917562 ONI917555:ONI917562 ODM917555:ODM917562 NTQ917555:NTQ917562 NJU917555:NJU917562 MZY917555:MZY917562 MQC917555:MQC917562 MGG917555:MGG917562 LWK917555:LWK917562 LMO917555:LMO917562 LCS917555:LCS917562 KSW917555:KSW917562 KJA917555:KJA917562 JZE917555:JZE917562 JPI917555:JPI917562 JFM917555:JFM917562 IVQ917555:IVQ917562 ILU917555:ILU917562 IBY917555:IBY917562 HSC917555:HSC917562 HIG917555:HIG917562 GYK917555:GYK917562 GOO917555:GOO917562 GES917555:GES917562 FUW917555:FUW917562 FLA917555:FLA917562 FBE917555:FBE917562 ERI917555:ERI917562 EHM917555:EHM917562 DXQ917555:DXQ917562 DNU917555:DNU917562 DDY917555:DDY917562 CUC917555:CUC917562 CKG917555:CKG917562 CAK917555:CAK917562 BQO917555:BQO917562 BGS917555:BGS917562 AWW917555:AWW917562 ANA917555:ANA917562 ADE917555:ADE917562 TI917555:TI917562 JM917555:JM917562 Q917555:Q917562 WVY852019:WVY852026 WMC852019:WMC852026 WCG852019:WCG852026 VSK852019:VSK852026 VIO852019:VIO852026 UYS852019:UYS852026 UOW852019:UOW852026 UFA852019:UFA852026 TVE852019:TVE852026 TLI852019:TLI852026 TBM852019:TBM852026 SRQ852019:SRQ852026 SHU852019:SHU852026 RXY852019:RXY852026 ROC852019:ROC852026 REG852019:REG852026 QUK852019:QUK852026 QKO852019:QKO852026 QAS852019:QAS852026 PQW852019:PQW852026 PHA852019:PHA852026 OXE852019:OXE852026 ONI852019:ONI852026 ODM852019:ODM852026 NTQ852019:NTQ852026 NJU852019:NJU852026 MZY852019:MZY852026 MQC852019:MQC852026 MGG852019:MGG852026 LWK852019:LWK852026 LMO852019:LMO852026 LCS852019:LCS852026 KSW852019:KSW852026 KJA852019:KJA852026 JZE852019:JZE852026 JPI852019:JPI852026 JFM852019:JFM852026 IVQ852019:IVQ852026 ILU852019:ILU852026 IBY852019:IBY852026 HSC852019:HSC852026 HIG852019:HIG852026 GYK852019:GYK852026 GOO852019:GOO852026 GES852019:GES852026 FUW852019:FUW852026 FLA852019:FLA852026 FBE852019:FBE852026 ERI852019:ERI852026 EHM852019:EHM852026 DXQ852019:DXQ852026 DNU852019:DNU852026 DDY852019:DDY852026 CUC852019:CUC852026 CKG852019:CKG852026 CAK852019:CAK852026 BQO852019:BQO852026 BGS852019:BGS852026 AWW852019:AWW852026 ANA852019:ANA852026 ADE852019:ADE852026 TI852019:TI852026 JM852019:JM852026 Q852019:Q852026 WVY786483:WVY786490 WMC786483:WMC786490 WCG786483:WCG786490 VSK786483:VSK786490 VIO786483:VIO786490 UYS786483:UYS786490 UOW786483:UOW786490 UFA786483:UFA786490 TVE786483:TVE786490 TLI786483:TLI786490 TBM786483:TBM786490 SRQ786483:SRQ786490 SHU786483:SHU786490 RXY786483:RXY786490 ROC786483:ROC786490 REG786483:REG786490 QUK786483:QUK786490 QKO786483:QKO786490 QAS786483:QAS786490 PQW786483:PQW786490 PHA786483:PHA786490 OXE786483:OXE786490 ONI786483:ONI786490 ODM786483:ODM786490 NTQ786483:NTQ786490 NJU786483:NJU786490 MZY786483:MZY786490 MQC786483:MQC786490 MGG786483:MGG786490 LWK786483:LWK786490 LMO786483:LMO786490 LCS786483:LCS786490 KSW786483:KSW786490 KJA786483:KJA786490 JZE786483:JZE786490 JPI786483:JPI786490 JFM786483:JFM786490 IVQ786483:IVQ786490 ILU786483:ILU786490 IBY786483:IBY786490 HSC786483:HSC786490 HIG786483:HIG786490 GYK786483:GYK786490 GOO786483:GOO786490 GES786483:GES786490 FUW786483:FUW786490 FLA786483:FLA786490 FBE786483:FBE786490 ERI786483:ERI786490 EHM786483:EHM786490 DXQ786483:DXQ786490 DNU786483:DNU786490 DDY786483:DDY786490 CUC786483:CUC786490 CKG786483:CKG786490 CAK786483:CAK786490 BQO786483:BQO786490 BGS786483:BGS786490 AWW786483:AWW786490 ANA786483:ANA786490 ADE786483:ADE786490 TI786483:TI786490 JM786483:JM786490 Q786483:Q786490 WVY720947:WVY720954 WMC720947:WMC720954 WCG720947:WCG720954 VSK720947:VSK720954 VIO720947:VIO720954 UYS720947:UYS720954 UOW720947:UOW720954 UFA720947:UFA720954 TVE720947:TVE720954 TLI720947:TLI720954 TBM720947:TBM720954 SRQ720947:SRQ720954 SHU720947:SHU720954 RXY720947:RXY720954 ROC720947:ROC720954 REG720947:REG720954 QUK720947:QUK720954 QKO720947:QKO720954 QAS720947:QAS720954 PQW720947:PQW720954 PHA720947:PHA720954 OXE720947:OXE720954 ONI720947:ONI720954 ODM720947:ODM720954 NTQ720947:NTQ720954 NJU720947:NJU720954 MZY720947:MZY720954 MQC720947:MQC720954 MGG720947:MGG720954 LWK720947:LWK720954 LMO720947:LMO720954 LCS720947:LCS720954 KSW720947:KSW720954 KJA720947:KJA720954 JZE720947:JZE720954 JPI720947:JPI720954 JFM720947:JFM720954 IVQ720947:IVQ720954 ILU720947:ILU720954 IBY720947:IBY720954 HSC720947:HSC720954 HIG720947:HIG720954 GYK720947:GYK720954 GOO720947:GOO720954 GES720947:GES720954 FUW720947:FUW720954 FLA720947:FLA720954 FBE720947:FBE720954 ERI720947:ERI720954 EHM720947:EHM720954 DXQ720947:DXQ720954 DNU720947:DNU720954 DDY720947:DDY720954 CUC720947:CUC720954 CKG720947:CKG720954 CAK720947:CAK720954 BQO720947:BQO720954 BGS720947:BGS720954 AWW720947:AWW720954 ANA720947:ANA720954 ADE720947:ADE720954 TI720947:TI720954 JM720947:JM720954 Q720947:Q720954 WVY655411:WVY655418 WMC655411:WMC655418 WCG655411:WCG655418 VSK655411:VSK655418 VIO655411:VIO655418 UYS655411:UYS655418 UOW655411:UOW655418 UFA655411:UFA655418 TVE655411:TVE655418 TLI655411:TLI655418 TBM655411:TBM655418 SRQ655411:SRQ655418 SHU655411:SHU655418 RXY655411:RXY655418 ROC655411:ROC655418 REG655411:REG655418 QUK655411:QUK655418 QKO655411:QKO655418 QAS655411:QAS655418 PQW655411:PQW655418 PHA655411:PHA655418 OXE655411:OXE655418 ONI655411:ONI655418 ODM655411:ODM655418 NTQ655411:NTQ655418 NJU655411:NJU655418 MZY655411:MZY655418 MQC655411:MQC655418 MGG655411:MGG655418 LWK655411:LWK655418 LMO655411:LMO655418 LCS655411:LCS655418 KSW655411:KSW655418 KJA655411:KJA655418 JZE655411:JZE655418 JPI655411:JPI655418 JFM655411:JFM655418 IVQ655411:IVQ655418 ILU655411:ILU655418 IBY655411:IBY655418 HSC655411:HSC655418 HIG655411:HIG655418 GYK655411:GYK655418 GOO655411:GOO655418 GES655411:GES655418 FUW655411:FUW655418 FLA655411:FLA655418 FBE655411:FBE655418 ERI655411:ERI655418 EHM655411:EHM655418 DXQ655411:DXQ655418 DNU655411:DNU655418 DDY655411:DDY655418 CUC655411:CUC655418 CKG655411:CKG655418 CAK655411:CAK655418 BQO655411:BQO655418 BGS655411:BGS655418 AWW655411:AWW655418 ANA655411:ANA655418 ADE655411:ADE655418 TI655411:TI655418 JM655411:JM655418 Q655411:Q655418 WVY589875:WVY589882 WMC589875:WMC589882 WCG589875:WCG589882 VSK589875:VSK589882 VIO589875:VIO589882 UYS589875:UYS589882 UOW589875:UOW589882 UFA589875:UFA589882 TVE589875:TVE589882 TLI589875:TLI589882 TBM589875:TBM589882 SRQ589875:SRQ589882 SHU589875:SHU589882 RXY589875:RXY589882 ROC589875:ROC589882 REG589875:REG589882 QUK589875:QUK589882 QKO589875:QKO589882 QAS589875:QAS589882 PQW589875:PQW589882 PHA589875:PHA589882 OXE589875:OXE589882 ONI589875:ONI589882 ODM589875:ODM589882 NTQ589875:NTQ589882 NJU589875:NJU589882 MZY589875:MZY589882 MQC589875:MQC589882 MGG589875:MGG589882 LWK589875:LWK589882 LMO589875:LMO589882 LCS589875:LCS589882 KSW589875:KSW589882 KJA589875:KJA589882 JZE589875:JZE589882 JPI589875:JPI589882 JFM589875:JFM589882 IVQ589875:IVQ589882 ILU589875:ILU589882 IBY589875:IBY589882 HSC589875:HSC589882 HIG589875:HIG589882 GYK589875:GYK589882 GOO589875:GOO589882 GES589875:GES589882 FUW589875:FUW589882 FLA589875:FLA589882 FBE589875:FBE589882 ERI589875:ERI589882 EHM589875:EHM589882 DXQ589875:DXQ589882 DNU589875:DNU589882 DDY589875:DDY589882 CUC589875:CUC589882 CKG589875:CKG589882 CAK589875:CAK589882 BQO589875:BQO589882 BGS589875:BGS589882 AWW589875:AWW589882 ANA589875:ANA589882 ADE589875:ADE589882 TI589875:TI589882 JM589875:JM589882 Q589875:Q589882 WVY524339:WVY524346 WMC524339:WMC524346 WCG524339:WCG524346 VSK524339:VSK524346 VIO524339:VIO524346 UYS524339:UYS524346 UOW524339:UOW524346 UFA524339:UFA524346 TVE524339:TVE524346 TLI524339:TLI524346 TBM524339:TBM524346 SRQ524339:SRQ524346 SHU524339:SHU524346 RXY524339:RXY524346 ROC524339:ROC524346 REG524339:REG524346 QUK524339:QUK524346 QKO524339:QKO524346 QAS524339:QAS524346 PQW524339:PQW524346 PHA524339:PHA524346 OXE524339:OXE524346 ONI524339:ONI524346 ODM524339:ODM524346 NTQ524339:NTQ524346 NJU524339:NJU524346 MZY524339:MZY524346 MQC524339:MQC524346 MGG524339:MGG524346 LWK524339:LWK524346 LMO524339:LMO524346 LCS524339:LCS524346 KSW524339:KSW524346 KJA524339:KJA524346 JZE524339:JZE524346 JPI524339:JPI524346 JFM524339:JFM524346 IVQ524339:IVQ524346 ILU524339:ILU524346 IBY524339:IBY524346 HSC524339:HSC524346 HIG524339:HIG524346 GYK524339:GYK524346 GOO524339:GOO524346 GES524339:GES524346 FUW524339:FUW524346 FLA524339:FLA524346 FBE524339:FBE524346 ERI524339:ERI524346 EHM524339:EHM524346 DXQ524339:DXQ524346 DNU524339:DNU524346 DDY524339:DDY524346 CUC524339:CUC524346 CKG524339:CKG524346 CAK524339:CAK524346 BQO524339:BQO524346 BGS524339:BGS524346 AWW524339:AWW524346 ANA524339:ANA524346 ADE524339:ADE524346 TI524339:TI524346 JM524339:JM524346 Q524339:Q524346 WVY458803:WVY458810 WMC458803:WMC458810 WCG458803:WCG458810 VSK458803:VSK458810 VIO458803:VIO458810 UYS458803:UYS458810 UOW458803:UOW458810 UFA458803:UFA458810 TVE458803:TVE458810 TLI458803:TLI458810 TBM458803:TBM458810 SRQ458803:SRQ458810 SHU458803:SHU458810 RXY458803:RXY458810 ROC458803:ROC458810 REG458803:REG458810 QUK458803:QUK458810 QKO458803:QKO458810 QAS458803:QAS458810 PQW458803:PQW458810 PHA458803:PHA458810 OXE458803:OXE458810 ONI458803:ONI458810 ODM458803:ODM458810 NTQ458803:NTQ458810 NJU458803:NJU458810 MZY458803:MZY458810 MQC458803:MQC458810 MGG458803:MGG458810 LWK458803:LWK458810 LMO458803:LMO458810 LCS458803:LCS458810 KSW458803:KSW458810 KJA458803:KJA458810 JZE458803:JZE458810 JPI458803:JPI458810 JFM458803:JFM458810 IVQ458803:IVQ458810 ILU458803:ILU458810 IBY458803:IBY458810 HSC458803:HSC458810 HIG458803:HIG458810 GYK458803:GYK458810 GOO458803:GOO458810 GES458803:GES458810 FUW458803:FUW458810 FLA458803:FLA458810 FBE458803:FBE458810 ERI458803:ERI458810 EHM458803:EHM458810 DXQ458803:DXQ458810 DNU458803:DNU458810 DDY458803:DDY458810 CUC458803:CUC458810 CKG458803:CKG458810 CAK458803:CAK458810 BQO458803:BQO458810 BGS458803:BGS458810 AWW458803:AWW458810 ANA458803:ANA458810 ADE458803:ADE458810 TI458803:TI458810 JM458803:JM458810 Q458803:Q458810 WVY393267:WVY393274 WMC393267:WMC393274 WCG393267:WCG393274 VSK393267:VSK393274 VIO393267:VIO393274 UYS393267:UYS393274 UOW393267:UOW393274 UFA393267:UFA393274 TVE393267:TVE393274 TLI393267:TLI393274 TBM393267:TBM393274 SRQ393267:SRQ393274 SHU393267:SHU393274 RXY393267:RXY393274 ROC393267:ROC393274 REG393267:REG393274 QUK393267:QUK393274 QKO393267:QKO393274 QAS393267:QAS393274 PQW393267:PQW393274 PHA393267:PHA393274 OXE393267:OXE393274 ONI393267:ONI393274 ODM393267:ODM393274 NTQ393267:NTQ393274 NJU393267:NJU393274 MZY393267:MZY393274 MQC393267:MQC393274 MGG393267:MGG393274 LWK393267:LWK393274 LMO393267:LMO393274 LCS393267:LCS393274 KSW393267:KSW393274 KJA393267:KJA393274 JZE393267:JZE393274 JPI393267:JPI393274 JFM393267:JFM393274 IVQ393267:IVQ393274 ILU393267:ILU393274 IBY393267:IBY393274 HSC393267:HSC393274 HIG393267:HIG393274 GYK393267:GYK393274 GOO393267:GOO393274 GES393267:GES393274 FUW393267:FUW393274 FLA393267:FLA393274 FBE393267:FBE393274 ERI393267:ERI393274 EHM393267:EHM393274 DXQ393267:DXQ393274 DNU393267:DNU393274 DDY393267:DDY393274 CUC393267:CUC393274 CKG393267:CKG393274 CAK393267:CAK393274 BQO393267:BQO393274 BGS393267:BGS393274 AWW393267:AWW393274 ANA393267:ANA393274 ADE393267:ADE393274 TI393267:TI393274 JM393267:JM393274 Q393267:Q393274 WVY327731:WVY327738 WMC327731:WMC327738 WCG327731:WCG327738 VSK327731:VSK327738 VIO327731:VIO327738 UYS327731:UYS327738 UOW327731:UOW327738 UFA327731:UFA327738 TVE327731:TVE327738 TLI327731:TLI327738 TBM327731:TBM327738 SRQ327731:SRQ327738 SHU327731:SHU327738 RXY327731:RXY327738 ROC327731:ROC327738 REG327731:REG327738 QUK327731:QUK327738 QKO327731:QKO327738 QAS327731:QAS327738 PQW327731:PQW327738 PHA327731:PHA327738 OXE327731:OXE327738 ONI327731:ONI327738 ODM327731:ODM327738 NTQ327731:NTQ327738 NJU327731:NJU327738 MZY327731:MZY327738 MQC327731:MQC327738 MGG327731:MGG327738 LWK327731:LWK327738 LMO327731:LMO327738 LCS327731:LCS327738 KSW327731:KSW327738 KJA327731:KJA327738 JZE327731:JZE327738 JPI327731:JPI327738 JFM327731:JFM327738 IVQ327731:IVQ327738 ILU327731:ILU327738 IBY327731:IBY327738 HSC327731:HSC327738 HIG327731:HIG327738 GYK327731:GYK327738 GOO327731:GOO327738 GES327731:GES327738 FUW327731:FUW327738 FLA327731:FLA327738 FBE327731:FBE327738 ERI327731:ERI327738 EHM327731:EHM327738 DXQ327731:DXQ327738 DNU327731:DNU327738 DDY327731:DDY327738 CUC327731:CUC327738 CKG327731:CKG327738 CAK327731:CAK327738 BQO327731:BQO327738 BGS327731:BGS327738 AWW327731:AWW327738 ANA327731:ANA327738 ADE327731:ADE327738 TI327731:TI327738 JM327731:JM327738 Q327731:Q327738 WVY262195:WVY262202 WMC262195:WMC262202 WCG262195:WCG262202 VSK262195:VSK262202 VIO262195:VIO262202 UYS262195:UYS262202 UOW262195:UOW262202 UFA262195:UFA262202 TVE262195:TVE262202 TLI262195:TLI262202 TBM262195:TBM262202 SRQ262195:SRQ262202 SHU262195:SHU262202 RXY262195:RXY262202 ROC262195:ROC262202 REG262195:REG262202 QUK262195:QUK262202 QKO262195:QKO262202 QAS262195:QAS262202 PQW262195:PQW262202 PHA262195:PHA262202 OXE262195:OXE262202 ONI262195:ONI262202 ODM262195:ODM262202 NTQ262195:NTQ262202 NJU262195:NJU262202 MZY262195:MZY262202 MQC262195:MQC262202 MGG262195:MGG262202 LWK262195:LWK262202 LMO262195:LMO262202 LCS262195:LCS262202 KSW262195:KSW262202 KJA262195:KJA262202 JZE262195:JZE262202 JPI262195:JPI262202 JFM262195:JFM262202 IVQ262195:IVQ262202 ILU262195:ILU262202 IBY262195:IBY262202 HSC262195:HSC262202 HIG262195:HIG262202 GYK262195:GYK262202 GOO262195:GOO262202 GES262195:GES262202 FUW262195:FUW262202 FLA262195:FLA262202 FBE262195:FBE262202 ERI262195:ERI262202 EHM262195:EHM262202 DXQ262195:DXQ262202 DNU262195:DNU262202 DDY262195:DDY262202 CUC262195:CUC262202 CKG262195:CKG262202 CAK262195:CAK262202 BQO262195:BQO262202 BGS262195:BGS262202 AWW262195:AWW262202 ANA262195:ANA262202 ADE262195:ADE262202 TI262195:TI262202 JM262195:JM262202 Q262195:Q262202 WVY196659:WVY196666 WMC196659:WMC196666 WCG196659:WCG196666 VSK196659:VSK196666 VIO196659:VIO196666 UYS196659:UYS196666 UOW196659:UOW196666 UFA196659:UFA196666 TVE196659:TVE196666 TLI196659:TLI196666 TBM196659:TBM196666 SRQ196659:SRQ196666 SHU196659:SHU196666 RXY196659:RXY196666 ROC196659:ROC196666 REG196659:REG196666 QUK196659:QUK196666 QKO196659:QKO196666 QAS196659:QAS196666 PQW196659:PQW196666 PHA196659:PHA196666 OXE196659:OXE196666 ONI196659:ONI196666 ODM196659:ODM196666 NTQ196659:NTQ196666 NJU196659:NJU196666 MZY196659:MZY196666 MQC196659:MQC196666 MGG196659:MGG196666 LWK196659:LWK196666 LMO196659:LMO196666 LCS196659:LCS196666 KSW196659:KSW196666 KJA196659:KJA196666 JZE196659:JZE196666 JPI196659:JPI196666 JFM196659:JFM196666 IVQ196659:IVQ196666 ILU196659:ILU196666 IBY196659:IBY196666 HSC196659:HSC196666 HIG196659:HIG196666 GYK196659:GYK196666 GOO196659:GOO196666 GES196659:GES196666 FUW196659:FUW196666 FLA196659:FLA196666 FBE196659:FBE196666 ERI196659:ERI196666 EHM196659:EHM196666 DXQ196659:DXQ196666 DNU196659:DNU196666 DDY196659:DDY196666 CUC196659:CUC196666 CKG196659:CKG196666 CAK196659:CAK196666 BQO196659:BQO196666 BGS196659:BGS196666 AWW196659:AWW196666 ANA196659:ANA196666 ADE196659:ADE196666 TI196659:TI196666 JM196659:JM196666 Q196659:Q196666 WVY131123:WVY131130 WMC131123:WMC131130 WCG131123:WCG131130 VSK131123:VSK131130 VIO131123:VIO131130 UYS131123:UYS131130 UOW131123:UOW131130 UFA131123:UFA131130 TVE131123:TVE131130 TLI131123:TLI131130 TBM131123:TBM131130 SRQ131123:SRQ131130 SHU131123:SHU131130 RXY131123:RXY131130 ROC131123:ROC131130 REG131123:REG131130 QUK131123:QUK131130 QKO131123:QKO131130 QAS131123:QAS131130 PQW131123:PQW131130 PHA131123:PHA131130 OXE131123:OXE131130 ONI131123:ONI131130 ODM131123:ODM131130 NTQ131123:NTQ131130 NJU131123:NJU131130 MZY131123:MZY131130 MQC131123:MQC131130 MGG131123:MGG131130 LWK131123:LWK131130 LMO131123:LMO131130 LCS131123:LCS131130 KSW131123:KSW131130 KJA131123:KJA131130 JZE131123:JZE131130 JPI131123:JPI131130 JFM131123:JFM131130 IVQ131123:IVQ131130 ILU131123:ILU131130 IBY131123:IBY131130 HSC131123:HSC131130 HIG131123:HIG131130 GYK131123:GYK131130 GOO131123:GOO131130 GES131123:GES131130 FUW131123:FUW131130 FLA131123:FLA131130 FBE131123:FBE131130 ERI131123:ERI131130 EHM131123:EHM131130 DXQ131123:DXQ131130 DNU131123:DNU131130 DDY131123:DDY131130 CUC131123:CUC131130 CKG131123:CKG131130 CAK131123:CAK131130 BQO131123:BQO131130 BGS131123:BGS131130 AWW131123:AWW131130 ANA131123:ANA131130 ADE131123:ADE131130 TI131123:TI131130 JM131123:JM131130 Q131123:Q131130 WVY65587:WVY65594 WMC65587:WMC65594 WCG65587:WCG65594 VSK65587:VSK65594 VIO65587:VIO65594 UYS65587:UYS65594 UOW65587:UOW65594 UFA65587:UFA65594 TVE65587:TVE65594 TLI65587:TLI65594 TBM65587:TBM65594 SRQ65587:SRQ65594 SHU65587:SHU65594 RXY65587:RXY65594 ROC65587:ROC65594 REG65587:REG65594 QUK65587:QUK65594 QKO65587:QKO65594 QAS65587:QAS65594 PQW65587:PQW65594 PHA65587:PHA65594 OXE65587:OXE65594 ONI65587:ONI65594 ODM65587:ODM65594 NTQ65587:NTQ65594 NJU65587:NJU65594 MZY65587:MZY65594 MQC65587:MQC65594 MGG65587:MGG65594 LWK65587:LWK65594 LMO65587:LMO65594 LCS65587:LCS65594 KSW65587:KSW65594 KJA65587:KJA65594 JZE65587:JZE65594 JPI65587:JPI65594 JFM65587:JFM65594 IVQ65587:IVQ65594 ILU65587:ILU65594 IBY65587:IBY65594 HSC65587:HSC65594 HIG65587:HIG65594 GYK65587:GYK65594 GOO65587:GOO65594 GES65587:GES65594 FUW65587:FUW65594 FLA65587:FLA65594 FBE65587:FBE65594 ERI65587:ERI65594 EHM65587:EHM65594 DXQ65587:DXQ65594 DNU65587:DNU65594 DDY65587:DDY65594 CUC65587:CUC65594 CKG65587:CKG65594 CAK65587:CAK65594 BQO65587:BQO65594 BGS65587:BGS65594 AWW65587:AWW65594 ANA65587:ANA65594 ADE65587:ADE65594 TI65587:TI65594 JM65587:JM65594 Q65587:Q65594 WVY45:WVY58 WMC45:WMC58 WCG45:WCG58 VSK45:VSK58 VIO45:VIO58 UYS45:UYS58 UOW45:UOW58 UFA45:UFA58 TVE45:TVE58 TLI45:TLI58 TBM45:TBM58 SRQ45:SRQ58 SHU45:SHU58 RXY45:RXY58 ROC45:ROC58 REG45:REG58 QUK45:QUK58 QKO45:QKO58 QAS45:QAS58 PQW45:PQW58 PHA45:PHA58 OXE45:OXE58 ONI45:ONI58 ODM45:ODM58 NTQ45:NTQ58 NJU45:NJU58 MZY45:MZY58 MQC45:MQC58 MGG45:MGG58 LWK45:LWK58 LMO45:LMO58 LCS45:LCS58 KSW45:KSW58 KJA45:KJA58 JZE45:JZE58 JPI45:JPI58 JFM45:JFM58 IVQ45:IVQ58 ILU45:ILU58 IBY45:IBY58 HSC45:HSC58 HIG45:HIG58 GYK45:GYK58 GOO45:GOO58 GES45:GES58 FUW45:FUW58 FLA45:FLA58 FBE45:FBE58 ERI45:ERI58 EHM45:EHM58 DXQ45:DXQ58 DNU45:DNU58 DDY45:DDY58 CUC45:CUC58 CKG45:CKG58 CAK45:CAK58 BQO45:BQO58 BGS45:BGS58 AWW45:AWW58 ANA45:ANA58 ADE45:ADE58 TI45:TI58 JM45:JM58">
      <formula1>$H$61:$H$69</formula1>
    </dataValidation>
  </dataValidations>
  <pageMargins left="0.70866141732283472" right="0.70866141732283472" top="0.35433070866141736" bottom="0.35433070866141736" header="0.31496062992125984" footer="0.31496062992125984"/>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$AF$2:$AF$3</xm:f>
          </x14:formula1>
          <xm:sqref>WVN983058 WLR983058 WBV983058 VRZ983058 VID983058 UYH983058 UOL983058 UEP983058 TUT983058 TKX983058 TBB983058 SRF983058 SHJ983058 RXN983058 RNR983058 RDV983058 QTZ983058 QKD983058 QAH983058 PQL983058 PGP983058 OWT983058 OMX983058 ODB983058 NTF983058 NJJ983058 MZN983058 MPR983058 MFV983058 LVZ983058 LMD983058 LCH983058 KSL983058 KIP983058 JYT983058 JOX983058 JFB983058 IVF983058 ILJ983058 IBN983058 HRR983058 HHV983058 GXZ983058 GOD983058 GEH983058 FUL983058 FKP983058 FAT983058 EQX983058 EHB983058 DXF983058 DNJ983058 DDN983058 CTR983058 CJV983058 BZZ983058 BQD983058 BGH983058 AWL983058 AMP983058 ACT983058 SX983058 JB983058 F983058 WVN917522 WLR917522 WBV917522 VRZ917522 VID917522 UYH917522 UOL917522 UEP917522 TUT917522 TKX917522 TBB917522 SRF917522 SHJ917522 RXN917522 RNR917522 RDV917522 QTZ917522 QKD917522 QAH917522 PQL917522 PGP917522 OWT917522 OMX917522 ODB917522 NTF917522 NJJ917522 MZN917522 MPR917522 MFV917522 LVZ917522 LMD917522 LCH917522 KSL917522 KIP917522 JYT917522 JOX917522 JFB917522 IVF917522 ILJ917522 IBN917522 HRR917522 HHV917522 GXZ917522 GOD917522 GEH917522 FUL917522 FKP917522 FAT917522 EQX917522 EHB917522 DXF917522 DNJ917522 DDN917522 CTR917522 CJV917522 BZZ917522 BQD917522 BGH917522 AWL917522 AMP917522 ACT917522 SX917522 JB917522 F917522 WVN851986 WLR851986 WBV851986 VRZ851986 VID851986 UYH851986 UOL851986 UEP851986 TUT851986 TKX851986 TBB851986 SRF851986 SHJ851986 RXN851986 RNR851986 RDV851986 QTZ851986 QKD851986 QAH851986 PQL851986 PGP851986 OWT851986 OMX851986 ODB851986 NTF851986 NJJ851986 MZN851986 MPR851986 MFV851986 LVZ851986 LMD851986 LCH851986 KSL851986 KIP851986 JYT851986 JOX851986 JFB851986 IVF851986 ILJ851986 IBN851986 HRR851986 HHV851986 GXZ851986 GOD851986 GEH851986 FUL851986 FKP851986 FAT851986 EQX851986 EHB851986 DXF851986 DNJ851986 DDN851986 CTR851986 CJV851986 BZZ851986 BQD851986 BGH851986 AWL851986 AMP851986 ACT851986 SX851986 JB851986 F851986 WVN786450 WLR786450 WBV786450 VRZ786450 VID786450 UYH786450 UOL786450 UEP786450 TUT786450 TKX786450 TBB786450 SRF786450 SHJ786450 RXN786450 RNR786450 RDV786450 QTZ786450 QKD786450 QAH786450 PQL786450 PGP786450 OWT786450 OMX786450 ODB786450 NTF786450 NJJ786450 MZN786450 MPR786450 MFV786450 LVZ786450 LMD786450 LCH786450 KSL786450 KIP786450 JYT786450 JOX786450 JFB786450 IVF786450 ILJ786450 IBN786450 HRR786450 HHV786450 GXZ786450 GOD786450 GEH786450 FUL786450 FKP786450 FAT786450 EQX786450 EHB786450 DXF786450 DNJ786450 DDN786450 CTR786450 CJV786450 BZZ786450 BQD786450 BGH786450 AWL786450 AMP786450 ACT786450 SX786450 JB786450 F786450 WVN720914 WLR720914 WBV720914 VRZ720914 VID720914 UYH720914 UOL720914 UEP720914 TUT720914 TKX720914 TBB720914 SRF720914 SHJ720914 RXN720914 RNR720914 RDV720914 QTZ720914 QKD720914 QAH720914 PQL720914 PGP720914 OWT720914 OMX720914 ODB720914 NTF720914 NJJ720914 MZN720914 MPR720914 MFV720914 LVZ720914 LMD720914 LCH720914 KSL720914 KIP720914 JYT720914 JOX720914 JFB720914 IVF720914 ILJ720914 IBN720914 HRR720914 HHV720914 GXZ720914 GOD720914 GEH720914 FUL720914 FKP720914 FAT720914 EQX720914 EHB720914 DXF720914 DNJ720914 DDN720914 CTR720914 CJV720914 BZZ720914 BQD720914 BGH720914 AWL720914 AMP720914 ACT720914 SX720914 JB720914 F720914 WVN655378 WLR655378 WBV655378 VRZ655378 VID655378 UYH655378 UOL655378 UEP655378 TUT655378 TKX655378 TBB655378 SRF655378 SHJ655378 RXN655378 RNR655378 RDV655378 QTZ655378 QKD655378 QAH655378 PQL655378 PGP655378 OWT655378 OMX655378 ODB655378 NTF655378 NJJ655378 MZN655378 MPR655378 MFV655378 LVZ655378 LMD655378 LCH655378 KSL655378 KIP655378 JYT655378 JOX655378 JFB655378 IVF655378 ILJ655378 IBN655378 HRR655378 HHV655378 GXZ655378 GOD655378 GEH655378 FUL655378 FKP655378 FAT655378 EQX655378 EHB655378 DXF655378 DNJ655378 DDN655378 CTR655378 CJV655378 BZZ655378 BQD655378 BGH655378 AWL655378 AMP655378 ACT655378 SX655378 JB655378 F655378 WVN589842 WLR589842 WBV589842 VRZ589842 VID589842 UYH589842 UOL589842 UEP589842 TUT589842 TKX589842 TBB589842 SRF589842 SHJ589842 RXN589842 RNR589842 RDV589842 QTZ589842 QKD589842 QAH589842 PQL589842 PGP589842 OWT589842 OMX589842 ODB589842 NTF589842 NJJ589842 MZN589842 MPR589842 MFV589842 LVZ589842 LMD589842 LCH589842 KSL589842 KIP589842 JYT589842 JOX589842 JFB589842 IVF589842 ILJ589842 IBN589842 HRR589842 HHV589842 GXZ589842 GOD589842 GEH589842 FUL589842 FKP589842 FAT589842 EQX589842 EHB589842 DXF589842 DNJ589842 DDN589842 CTR589842 CJV589842 BZZ589842 BQD589842 BGH589842 AWL589842 AMP589842 ACT589842 SX589842 JB589842 F589842 WVN524306 WLR524306 WBV524306 VRZ524306 VID524306 UYH524306 UOL524306 UEP524306 TUT524306 TKX524306 TBB524306 SRF524306 SHJ524306 RXN524306 RNR524306 RDV524306 QTZ524306 QKD524306 QAH524306 PQL524306 PGP524306 OWT524306 OMX524306 ODB524306 NTF524306 NJJ524306 MZN524306 MPR524306 MFV524306 LVZ524306 LMD524306 LCH524306 KSL524306 KIP524306 JYT524306 JOX524306 JFB524306 IVF524306 ILJ524306 IBN524306 HRR524306 HHV524306 GXZ524306 GOD524306 GEH524306 FUL524306 FKP524306 FAT524306 EQX524306 EHB524306 DXF524306 DNJ524306 DDN524306 CTR524306 CJV524306 BZZ524306 BQD524306 BGH524306 AWL524306 AMP524306 ACT524306 SX524306 JB524306 F524306 WVN458770 WLR458770 WBV458770 VRZ458770 VID458770 UYH458770 UOL458770 UEP458770 TUT458770 TKX458770 TBB458770 SRF458770 SHJ458770 RXN458770 RNR458770 RDV458770 QTZ458770 QKD458770 QAH458770 PQL458770 PGP458770 OWT458770 OMX458770 ODB458770 NTF458770 NJJ458770 MZN458770 MPR458770 MFV458770 LVZ458770 LMD458770 LCH458770 KSL458770 KIP458770 JYT458770 JOX458770 JFB458770 IVF458770 ILJ458770 IBN458770 HRR458770 HHV458770 GXZ458770 GOD458770 GEH458770 FUL458770 FKP458770 FAT458770 EQX458770 EHB458770 DXF458770 DNJ458770 DDN458770 CTR458770 CJV458770 BZZ458770 BQD458770 BGH458770 AWL458770 AMP458770 ACT458770 SX458770 JB458770 F458770 WVN393234 WLR393234 WBV393234 VRZ393234 VID393234 UYH393234 UOL393234 UEP393234 TUT393234 TKX393234 TBB393234 SRF393234 SHJ393234 RXN393234 RNR393234 RDV393234 QTZ393234 QKD393234 QAH393234 PQL393234 PGP393234 OWT393234 OMX393234 ODB393234 NTF393234 NJJ393234 MZN393234 MPR393234 MFV393234 LVZ393234 LMD393234 LCH393234 KSL393234 KIP393234 JYT393234 JOX393234 JFB393234 IVF393234 ILJ393234 IBN393234 HRR393234 HHV393234 GXZ393234 GOD393234 GEH393234 FUL393234 FKP393234 FAT393234 EQX393234 EHB393234 DXF393234 DNJ393234 DDN393234 CTR393234 CJV393234 BZZ393234 BQD393234 BGH393234 AWL393234 AMP393234 ACT393234 SX393234 JB393234 F393234 WVN327698 WLR327698 WBV327698 VRZ327698 VID327698 UYH327698 UOL327698 UEP327698 TUT327698 TKX327698 TBB327698 SRF327698 SHJ327698 RXN327698 RNR327698 RDV327698 QTZ327698 QKD327698 QAH327698 PQL327698 PGP327698 OWT327698 OMX327698 ODB327698 NTF327698 NJJ327698 MZN327698 MPR327698 MFV327698 LVZ327698 LMD327698 LCH327698 KSL327698 KIP327698 JYT327698 JOX327698 JFB327698 IVF327698 ILJ327698 IBN327698 HRR327698 HHV327698 GXZ327698 GOD327698 GEH327698 FUL327698 FKP327698 FAT327698 EQX327698 EHB327698 DXF327698 DNJ327698 DDN327698 CTR327698 CJV327698 BZZ327698 BQD327698 BGH327698 AWL327698 AMP327698 ACT327698 SX327698 JB327698 F327698 WVN262162 WLR262162 WBV262162 VRZ262162 VID262162 UYH262162 UOL262162 UEP262162 TUT262162 TKX262162 TBB262162 SRF262162 SHJ262162 RXN262162 RNR262162 RDV262162 QTZ262162 QKD262162 QAH262162 PQL262162 PGP262162 OWT262162 OMX262162 ODB262162 NTF262162 NJJ262162 MZN262162 MPR262162 MFV262162 LVZ262162 LMD262162 LCH262162 KSL262162 KIP262162 JYT262162 JOX262162 JFB262162 IVF262162 ILJ262162 IBN262162 HRR262162 HHV262162 GXZ262162 GOD262162 GEH262162 FUL262162 FKP262162 FAT262162 EQX262162 EHB262162 DXF262162 DNJ262162 DDN262162 CTR262162 CJV262162 BZZ262162 BQD262162 BGH262162 AWL262162 AMP262162 ACT262162 SX262162 JB262162 F262162 WVN196626 WLR196626 WBV196626 VRZ196626 VID196626 UYH196626 UOL196626 UEP196626 TUT196626 TKX196626 TBB196626 SRF196626 SHJ196626 RXN196626 RNR196626 RDV196626 QTZ196626 QKD196626 QAH196626 PQL196626 PGP196626 OWT196626 OMX196626 ODB196626 NTF196626 NJJ196626 MZN196626 MPR196626 MFV196626 LVZ196626 LMD196626 LCH196626 KSL196626 KIP196626 JYT196626 JOX196626 JFB196626 IVF196626 ILJ196626 IBN196626 HRR196626 HHV196626 GXZ196626 GOD196626 GEH196626 FUL196626 FKP196626 FAT196626 EQX196626 EHB196626 DXF196626 DNJ196626 DDN196626 CTR196626 CJV196626 BZZ196626 BQD196626 BGH196626 AWL196626 AMP196626 ACT196626 SX196626 JB196626 F196626 WVN131090 WLR131090 WBV131090 VRZ131090 VID131090 UYH131090 UOL131090 UEP131090 TUT131090 TKX131090 TBB131090 SRF131090 SHJ131090 RXN131090 RNR131090 RDV131090 QTZ131090 QKD131090 QAH131090 PQL131090 PGP131090 OWT131090 OMX131090 ODB131090 NTF131090 NJJ131090 MZN131090 MPR131090 MFV131090 LVZ131090 LMD131090 LCH131090 KSL131090 KIP131090 JYT131090 JOX131090 JFB131090 IVF131090 ILJ131090 IBN131090 HRR131090 HHV131090 GXZ131090 GOD131090 GEH131090 FUL131090 FKP131090 FAT131090 EQX131090 EHB131090 DXF131090 DNJ131090 DDN131090 CTR131090 CJV131090 BZZ131090 BQD131090 BGH131090 AWL131090 AMP131090 ACT131090 SX131090 JB131090 F131090 WVN65554 WLR65554 WBV65554 VRZ65554 VID65554 UYH65554 UOL65554 UEP65554 TUT65554 TKX65554 TBB65554 SRF65554 SHJ65554 RXN65554 RNR65554 RDV65554 QTZ65554 QKD65554 QAH65554 PQL65554 PGP65554 OWT65554 OMX65554 ODB65554 NTF65554 NJJ65554 MZN65554 MPR65554 MFV65554 LVZ65554 LMD65554 LCH65554 KSL65554 KIP65554 JYT65554 JOX65554 JFB65554 IVF65554 ILJ65554 IBN65554 HRR65554 HHV65554 GXZ65554 GOD65554 GEH65554 FUL65554 FKP65554 FAT65554 EQX65554 EHB65554 DXF65554 DNJ65554 DDN65554 CTR65554 CJV65554 BZZ65554 BQD65554 BGH65554 AWL65554 AMP65554 ACT65554 SX65554 JB65554 F65554 WVO983055:WVO983057 WLS983055:WLS983057 WBW983055:WBW983057 VSA983055:VSA983057 VIE983055:VIE983057 UYI983055:UYI983057 UOM983055:UOM983057 UEQ983055:UEQ983057 TUU983055:TUU983057 TKY983055:TKY983057 TBC983055:TBC983057 SRG983055:SRG983057 SHK983055:SHK983057 RXO983055:RXO983057 RNS983055:RNS983057 RDW983055:RDW983057 QUA983055:QUA983057 QKE983055:QKE983057 QAI983055:QAI983057 PQM983055:PQM983057 PGQ983055:PGQ983057 OWU983055:OWU983057 OMY983055:OMY983057 ODC983055:ODC983057 NTG983055:NTG983057 NJK983055:NJK983057 MZO983055:MZO983057 MPS983055:MPS983057 MFW983055:MFW983057 LWA983055:LWA983057 LME983055:LME983057 LCI983055:LCI983057 KSM983055:KSM983057 KIQ983055:KIQ983057 JYU983055:JYU983057 JOY983055:JOY983057 JFC983055:JFC983057 IVG983055:IVG983057 ILK983055:ILK983057 IBO983055:IBO983057 HRS983055:HRS983057 HHW983055:HHW983057 GYA983055:GYA983057 GOE983055:GOE983057 GEI983055:GEI983057 FUM983055:FUM983057 FKQ983055:FKQ983057 FAU983055:FAU983057 EQY983055:EQY983057 EHC983055:EHC983057 DXG983055:DXG983057 DNK983055:DNK983057 DDO983055:DDO983057 CTS983055:CTS983057 CJW983055:CJW983057 CAA983055:CAA983057 BQE983055:BQE983057 BGI983055:BGI983057 AWM983055:AWM983057 AMQ983055:AMQ983057 ACU983055:ACU983057 SY983055:SY983057 JC983055:JC983057 G983055:G983057 WVO917519:WVO917521 WLS917519:WLS917521 WBW917519:WBW917521 VSA917519:VSA917521 VIE917519:VIE917521 UYI917519:UYI917521 UOM917519:UOM917521 UEQ917519:UEQ917521 TUU917519:TUU917521 TKY917519:TKY917521 TBC917519:TBC917521 SRG917519:SRG917521 SHK917519:SHK917521 RXO917519:RXO917521 RNS917519:RNS917521 RDW917519:RDW917521 QUA917519:QUA917521 QKE917519:QKE917521 QAI917519:QAI917521 PQM917519:PQM917521 PGQ917519:PGQ917521 OWU917519:OWU917521 OMY917519:OMY917521 ODC917519:ODC917521 NTG917519:NTG917521 NJK917519:NJK917521 MZO917519:MZO917521 MPS917519:MPS917521 MFW917519:MFW917521 LWA917519:LWA917521 LME917519:LME917521 LCI917519:LCI917521 KSM917519:KSM917521 KIQ917519:KIQ917521 JYU917519:JYU917521 JOY917519:JOY917521 JFC917519:JFC917521 IVG917519:IVG917521 ILK917519:ILK917521 IBO917519:IBO917521 HRS917519:HRS917521 HHW917519:HHW917521 GYA917519:GYA917521 GOE917519:GOE917521 GEI917519:GEI917521 FUM917519:FUM917521 FKQ917519:FKQ917521 FAU917519:FAU917521 EQY917519:EQY917521 EHC917519:EHC917521 DXG917519:DXG917521 DNK917519:DNK917521 DDO917519:DDO917521 CTS917519:CTS917521 CJW917519:CJW917521 CAA917519:CAA917521 BQE917519:BQE917521 BGI917519:BGI917521 AWM917519:AWM917521 AMQ917519:AMQ917521 ACU917519:ACU917521 SY917519:SY917521 JC917519:JC917521 G917519:G917521 WVO851983:WVO851985 WLS851983:WLS851985 WBW851983:WBW851985 VSA851983:VSA851985 VIE851983:VIE851985 UYI851983:UYI851985 UOM851983:UOM851985 UEQ851983:UEQ851985 TUU851983:TUU851985 TKY851983:TKY851985 TBC851983:TBC851985 SRG851983:SRG851985 SHK851983:SHK851985 RXO851983:RXO851985 RNS851983:RNS851985 RDW851983:RDW851985 QUA851983:QUA851985 QKE851983:QKE851985 QAI851983:QAI851985 PQM851983:PQM851985 PGQ851983:PGQ851985 OWU851983:OWU851985 OMY851983:OMY851985 ODC851983:ODC851985 NTG851983:NTG851985 NJK851983:NJK851985 MZO851983:MZO851985 MPS851983:MPS851985 MFW851983:MFW851985 LWA851983:LWA851985 LME851983:LME851985 LCI851983:LCI851985 KSM851983:KSM851985 KIQ851983:KIQ851985 JYU851983:JYU851985 JOY851983:JOY851985 JFC851983:JFC851985 IVG851983:IVG851985 ILK851983:ILK851985 IBO851983:IBO851985 HRS851983:HRS851985 HHW851983:HHW851985 GYA851983:GYA851985 GOE851983:GOE851985 GEI851983:GEI851985 FUM851983:FUM851985 FKQ851983:FKQ851985 FAU851983:FAU851985 EQY851983:EQY851985 EHC851983:EHC851985 DXG851983:DXG851985 DNK851983:DNK851985 DDO851983:DDO851985 CTS851983:CTS851985 CJW851983:CJW851985 CAA851983:CAA851985 BQE851983:BQE851985 BGI851983:BGI851985 AWM851983:AWM851985 AMQ851983:AMQ851985 ACU851983:ACU851985 SY851983:SY851985 JC851983:JC851985 G851983:G851985 WVO786447:WVO786449 WLS786447:WLS786449 WBW786447:WBW786449 VSA786447:VSA786449 VIE786447:VIE786449 UYI786447:UYI786449 UOM786447:UOM786449 UEQ786447:UEQ786449 TUU786447:TUU786449 TKY786447:TKY786449 TBC786447:TBC786449 SRG786447:SRG786449 SHK786447:SHK786449 RXO786447:RXO786449 RNS786447:RNS786449 RDW786447:RDW786449 QUA786447:QUA786449 QKE786447:QKE786449 QAI786447:QAI786449 PQM786447:PQM786449 PGQ786447:PGQ786449 OWU786447:OWU786449 OMY786447:OMY786449 ODC786447:ODC786449 NTG786447:NTG786449 NJK786447:NJK786449 MZO786447:MZO786449 MPS786447:MPS786449 MFW786447:MFW786449 LWA786447:LWA786449 LME786447:LME786449 LCI786447:LCI786449 KSM786447:KSM786449 KIQ786447:KIQ786449 JYU786447:JYU786449 JOY786447:JOY786449 JFC786447:JFC786449 IVG786447:IVG786449 ILK786447:ILK786449 IBO786447:IBO786449 HRS786447:HRS786449 HHW786447:HHW786449 GYA786447:GYA786449 GOE786447:GOE786449 GEI786447:GEI786449 FUM786447:FUM786449 FKQ786447:FKQ786449 FAU786447:FAU786449 EQY786447:EQY786449 EHC786447:EHC786449 DXG786447:DXG786449 DNK786447:DNK786449 DDO786447:DDO786449 CTS786447:CTS786449 CJW786447:CJW786449 CAA786447:CAA786449 BQE786447:BQE786449 BGI786447:BGI786449 AWM786447:AWM786449 AMQ786447:AMQ786449 ACU786447:ACU786449 SY786447:SY786449 JC786447:JC786449 G786447:G786449 WVO720911:WVO720913 WLS720911:WLS720913 WBW720911:WBW720913 VSA720911:VSA720913 VIE720911:VIE720913 UYI720911:UYI720913 UOM720911:UOM720913 UEQ720911:UEQ720913 TUU720911:TUU720913 TKY720911:TKY720913 TBC720911:TBC720913 SRG720911:SRG720913 SHK720911:SHK720913 RXO720911:RXO720913 RNS720911:RNS720913 RDW720911:RDW720913 QUA720911:QUA720913 QKE720911:QKE720913 QAI720911:QAI720913 PQM720911:PQM720913 PGQ720911:PGQ720913 OWU720911:OWU720913 OMY720911:OMY720913 ODC720911:ODC720913 NTG720911:NTG720913 NJK720911:NJK720913 MZO720911:MZO720913 MPS720911:MPS720913 MFW720911:MFW720913 LWA720911:LWA720913 LME720911:LME720913 LCI720911:LCI720913 KSM720911:KSM720913 KIQ720911:KIQ720913 JYU720911:JYU720913 JOY720911:JOY720913 JFC720911:JFC720913 IVG720911:IVG720913 ILK720911:ILK720913 IBO720911:IBO720913 HRS720911:HRS720913 HHW720911:HHW720913 GYA720911:GYA720913 GOE720911:GOE720913 GEI720911:GEI720913 FUM720911:FUM720913 FKQ720911:FKQ720913 FAU720911:FAU720913 EQY720911:EQY720913 EHC720911:EHC720913 DXG720911:DXG720913 DNK720911:DNK720913 DDO720911:DDO720913 CTS720911:CTS720913 CJW720911:CJW720913 CAA720911:CAA720913 BQE720911:BQE720913 BGI720911:BGI720913 AWM720911:AWM720913 AMQ720911:AMQ720913 ACU720911:ACU720913 SY720911:SY720913 JC720911:JC720913 G720911:G720913 WVO655375:WVO655377 WLS655375:WLS655377 WBW655375:WBW655377 VSA655375:VSA655377 VIE655375:VIE655377 UYI655375:UYI655377 UOM655375:UOM655377 UEQ655375:UEQ655377 TUU655375:TUU655377 TKY655375:TKY655377 TBC655375:TBC655377 SRG655375:SRG655377 SHK655375:SHK655377 RXO655375:RXO655377 RNS655375:RNS655377 RDW655375:RDW655377 QUA655375:QUA655377 QKE655375:QKE655377 QAI655375:QAI655377 PQM655375:PQM655377 PGQ655375:PGQ655377 OWU655375:OWU655377 OMY655375:OMY655377 ODC655375:ODC655377 NTG655375:NTG655377 NJK655375:NJK655377 MZO655375:MZO655377 MPS655375:MPS655377 MFW655375:MFW655377 LWA655375:LWA655377 LME655375:LME655377 LCI655375:LCI655377 KSM655375:KSM655377 KIQ655375:KIQ655377 JYU655375:JYU655377 JOY655375:JOY655377 JFC655375:JFC655377 IVG655375:IVG655377 ILK655375:ILK655377 IBO655375:IBO655377 HRS655375:HRS655377 HHW655375:HHW655377 GYA655375:GYA655377 GOE655375:GOE655377 GEI655375:GEI655377 FUM655375:FUM655377 FKQ655375:FKQ655377 FAU655375:FAU655377 EQY655375:EQY655377 EHC655375:EHC655377 DXG655375:DXG655377 DNK655375:DNK655377 DDO655375:DDO655377 CTS655375:CTS655377 CJW655375:CJW655377 CAA655375:CAA655377 BQE655375:BQE655377 BGI655375:BGI655377 AWM655375:AWM655377 AMQ655375:AMQ655377 ACU655375:ACU655377 SY655375:SY655377 JC655375:JC655377 G655375:G655377 WVO589839:WVO589841 WLS589839:WLS589841 WBW589839:WBW589841 VSA589839:VSA589841 VIE589839:VIE589841 UYI589839:UYI589841 UOM589839:UOM589841 UEQ589839:UEQ589841 TUU589839:TUU589841 TKY589839:TKY589841 TBC589839:TBC589841 SRG589839:SRG589841 SHK589839:SHK589841 RXO589839:RXO589841 RNS589839:RNS589841 RDW589839:RDW589841 QUA589839:QUA589841 QKE589839:QKE589841 QAI589839:QAI589841 PQM589839:PQM589841 PGQ589839:PGQ589841 OWU589839:OWU589841 OMY589839:OMY589841 ODC589839:ODC589841 NTG589839:NTG589841 NJK589839:NJK589841 MZO589839:MZO589841 MPS589839:MPS589841 MFW589839:MFW589841 LWA589839:LWA589841 LME589839:LME589841 LCI589839:LCI589841 KSM589839:KSM589841 KIQ589839:KIQ589841 JYU589839:JYU589841 JOY589839:JOY589841 JFC589839:JFC589841 IVG589839:IVG589841 ILK589839:ILK589841 IBO589839:IBO589841 HRS589839:HRS589841 HHW589839:HHW589841 GYA589839:GYA589841 GOE589839:GOE589841 GEI589839:GEI589841 FUM589839:FUM589841 FKQ589839:FKQ589841 FAU589839:FAU589841 EQY589839:EQY589841 EHC589839:EHC589841 DXG589839:DXG589841 DNK589839:DNK589841 DDO589839:DDO589841 CTS589839:CTS589841 CJW589839:CJW589841 CAA589839:CAA589841 BQE589839:BQE589841 BGI589839:BGI589841 AWM589839:AWM589841 AMQ589839:AMQ589841 ACU589839:ACU589841 SY589839:SY589841 JC589839:JC589841 G589839:G589841 WVO524303:WVO524305 WLS524303:WLS524305 WBW524303:WBW524305 VSA524303:VSA524305 VIE524303:VIE524305 UYI524303:UYI524305 UOM524303:UOM524305 UEQ524303:UEQ524305 TUU524303:TUU524305 TKY524303:TKY524305 TBC524303:TBC524305 SRG524303:SRG524305 SHK524303:SHK524305 RXO524303:RXO524305 RNS524303:RNS524305 RDW524303:RDW524305 QUA524303:QUA524305 QKE524303:QKE524305 QAI524303:QAI524305 PQM524303:PQM524305 PGQ524303:PGQ524305 OWU524303:OWU524305 OMY524303:OMY524305 ODC524303:ODC524305 NTG524303:NTG524305 NJK524303:NJK524305 MZO524303:MZO524305 MPS524303:MPS524305 MFW524303:MFW524305 LWA524303:LWA524305 LME524303:LME524305 LCI524303:LCI524305 KSM524303:KSM524305 KIQ524303:KIQ524305 JYU524303:JYU524305 JOY524303:JOY524305 JFC524303:JFC524305 IVG524303:IVG524305 ILK524303:ILK524305 IBO524303:IBO524305 HRS524303:HRS524305 HHW524303:HHW524305 GYA524303:GYA524305 GOE524303:GOE524305 GEI524303:GEI524305 FUM524303:FUM524305 FKQ524303:FKQ524305 FAU524303:FAU524305 EQY524303:EQY524305 EHC524303:EHC524305 DXG524303:DXG524305 DNK524303:DNK524305 DDO524303:DDO524305 CTS524303:CTS524305 CJW524303:CJW524305 CAA524303:CAA524305 BQE524303:BQE524305 BGI524303:BGI524305 AWM524303:AWM524305 AMQ524303:AMQ524305 ACU524303:ACU524305 SY524303:SY524305 JC524303:JC524305 G524303:G524305 WVO458767:WVO458769 WLS458767:WLS458769 WBW458767:WBW458769 VSA458767:VSA458769 VIE458767:VIE458769 UYI458767:UYI458769 UOM458767:UOM458769 UEQ458767:UEQ458769 TUU458767:TUU458769 TKY458767:TKY458769 TBC458767:TBC458769 SRG458767:SRG458769 SHK458767:SHK458769 RXO458767:RXO458769 RNS458767:RNS458769 RDW458767:RDW458769 QUA458767:QUA458769 QKE458767:QKE458769 QAI458767:QAI458769 PQM458767:PQM458769 PGQ458767:PGQ458769 OWU458767:OWU458769 OMY458767:OMY458769 ODC458767:ODC458769 NTG458767:NTG458769 NJK458767:NJK458769 MZO458767:MZO458769 MPS458767:MPS458769 MFW458767:MFW458769 LWA458767:LWA458769 LME458767:LME458769 LCI458767:LCI458769 KSM458767:KSM458769 KIQ458767:KIQ458769 JYU458767:JYU458769 JOY458767:JOY458769 JFC458767:JFC458769 IVG458767:IVG458769 ILK458767:ILK458769 IBO458767:IBO458769 HRS458767:HRS458769 HHW458767:HHW458769 GYA458767:GYA458769 GOE458767:GOE458769 GEI458767:GEI458769 FUM458767:FUM458769 FKQ458767:FKQ458769 FAU458767:FAU458769 EQY458767:EQY458769 EHC458767:EHC458769 DXG458767:DXG458769 DNK458767:DNK458769 DDO458767:DDO458769 CTS458767:CTS458769 CJW458767:CJW458769 CAA458767:CAA458769 BQE458767:BQE458769 BGI458767:BGI458769 AWM458767:AWM458769 AMQ458767:AMQ458769 ACU458767:ACU458769 SY458767:SY458769 JC458767:JC458769 G458767:G458769 WVO393231:WVO393233 WLS393231:WLS393233 WBW393231:WBW393233 VSA393231:VSA393233 VIE393231:VIE393233 UYI393231:UYI393233 UOM393231:UOM393233 UEQ393231:UEQ393233 TUU393231:TUU393233 TKY393231:TKY393233 TBC393231:TBC393233 SRG393231:SRG393233 SHK393231:SHK393233 RXO393231:RXO393233 RNS393231:RNS393233 RDW393231:RDW393233 QUA393231:QUA393233 QKE393231:QKE393233 QAI393231:QAI393233 PQM393231:PQM393233 PGQ393231:PGQ393233 OWU393231:OWU393233 OMY393231:OMY393233 ODC393231:ODC393233 NTG393231:NTG393233 NJK393231:NJK393233 MZO393231:MZO393233 MPS393231:MPS393233 MFW393231:MFW393233 LWA393231:LWA393233 LME393231:LME393233 LCI393231:LCI393233 KSM393231:KSM393233 KIQ393231:KIQ393233 JYU393231:JYU393233 JOY393231:JOY393233 JFC393231:JFC393233 IVG393231:IVG393233 ILK393231:ILK393233 IBO393231:IBO393233 HRS393231:HRS393233 HHW393231:HHW393233 GYA393231:GYA393233 GOE393231:GOE393233 GEI393231:GEI393233 FUM393231:FUM393233 FKQ393231:FKQ393233 FAU393231:FAU393233 EQY393231:EQY393233 EHC393231:EHC393233 DXG393231:DXG393233 DNK393231:DNK393233 DDO393231:DDO393233 CTS393231:CTS393233 CJW393231:CJW393233 CAA393231:CAA393233 BQE393231:BQE393233 BGI393231:BGI393233 AWM393231:AWM393233 AMQ393231:AMQ393233 ACU393231:ACU393233 SY393231:SY393233 JC393231:JC393233 G393231:G393233 WVO327695:WVO327697 WLS327695:WLS327697 WBW327695:WBW327697 VSA327695:VSA327697 VIE327695:VIE327697 UYI327695:UYI327697 UOM327695:UOM327697 UEQ327695:UEQ327697 TUU327695:TUU327697 TKY327695:TKY327697 TBC327695:TBC327697 SRG327695:SRG327697 SHK327695:SHK327697 RXO327695:RXO327697 RNS327695:RNS327697 RDW327695:RDW327697 QUA327695:QUA327697 QKE327695:QKE327697 QAI327695:QAI327697 PQM327695:PQM327697 PGQ327695:PGQ327697 OWU327695:OWU327697 OMY327695:OMY327697 ODC327695:ODC327697 NTG327695:NTG327697 NJK327695:NJK327697 MZO327695:MZO327697 MPS327695:MPS327697 MFW327695:MFW327697 LWA327695:LWA327697 LME327695:LME327697 LCI327695:LCI327697 KSM327695:KSM327697 KIQ327695:KIQ327697 JYU327695:JYU327697 JOY327695:JOY327697 JFC327695:JFC327697 IVG327695:IVG327697 ILK327695:ILK327697 IBO327695:IBO327697 HRS327695:HRS327697 HHW327695:HHW327697 GYA327695:GYA327697 GOE327695:GOE327697 GEI327695:GEI327697 FUM327695:FUM327697 FKQ327695:FKQ327697 FAU327695:FAU327697 EQY327695:EQY327697 EHC327695:EHC327697 DXG327695:DXG327697 DNK327695:DNK327697 DDO327695:DDO327697 CTS327695:CTS327697 CJW327695:CJW327697 CAA327695:CAA327697 BQE327695:BQE327697 BGI327695:BGI327697 AWM327695:AWM327697 AMQ327695:AMQ327697 ACU327695:ACU327697 SY327695:SY327697 JC327695:JC327697 G327695:G327697 WVO262159:WVO262161 WLS262159:WLS262161 WBW262159:WBW262161 VSA262159:VSA262161 VIE262159:VIE262161 UYI262159:UYI262161 UOM262159:UOM262161 UEQ262159:UEQ262161 TUU262159:TUU262161 TKY262159:TKY262161 TBC262159:TBC262161 SRG262159:SRG262161 SHK262159:SHK262161 RXO262159:RXO262161 RNS262159:RNS262161 RDW262159:RDW262161 QUA262159:QUA262161 QKE262159:QKE262161 QAI262159:QAI262161 PQM262159:PQM262161 PGQ262159:PGQ262161 OWU262159:OWU262161 OMY262159:OMY262161 ODC262159:ODC262161 NTG262159:NTG262161 NJK262159:NJK262161 MZO262159:MZO262161 MPS262159:MPS262161 MFW262159:MFW262161 LWA262159:LWA262161 LME262159:LME262161 LCI262159:LCI262161 KSM262159:KSM262161 KIQ262159:KIQ262161 JYU262159:JYU262161 JOY262159:JOY262161 JFC262159:JFC262161 IVG262159:IVG262161 ILK262159:ILK262161 IBO262159:IBO262161 HRS262159:HRS262161 HHW262159:HHW262161 GYA262159:GYA262161 GOE262159:GOE262161 GEI262159:GEI262161 FUM262159:FUM262161 FKQ262159:FKQ262161 FAU262159:FAU262161 EQY262159:EQY262161 EHC262159:EHC262161 DXG262159:DXG262161 DNK262159:DNK262161 DDO262159:DDO262161 CTS262159:CTS262161 CJW262159:CJW262161 CAA262159:CAA262161 BQE262159:BQE262161 BGI262159:BGI262161 AWM262159:AWM262161 AMQ262159:AMQ262161 ACU262159:ACU262161 SY262159:SY262161 JC262159:JC262161 G262159:G262161 WVO196623:WVO196625 WLS196623:WLS196625 WBW196623:WBW196625 VSA196623:VSA196625 VIE196623:VIE196625 UYI196623:UYI196625 UOM196623:UOM196625 UEQ196623:UEQ196625 TUU196623:TUU196625 TKY196623:TKY196625 TBC196623:TBC196625 SRG196623:SRG196625 SHK196623:SHK196625 RXO196623:RXO196625 RNS196623:RNS196625 RDW196623:RDW196625 QUA196623:QUA196625 QKE196623:QKE196625 QAI196623:QAI196625 PQM196623:PQM196625 PGQ196623:PGQ196625 OWU196623:OWU196625 OMY196623:OMY196625 ODC196623:ODC196625 NTG196623:NTG196625 NJK196623:NJK196625 MZO196623:MZO196625 MPS196623:MPS196625 MFW196623:MFW196625 LWA196623:LWA196625 LME196623:LME196625 LCI196623:LCI196625 KSM196623:KSM196625 KIQ196623:KIQ196625 JYU196623:JYU196625 JOY196623:JOY196625 JFC196623:JFC196625 IVG196623:IVG196625 ILK196623:ILK196625 IBO196623:IBO196625 HRS196623:HRS196625 HHW196623:HHW196625 GYA196623:GYA196625 GOE196623:GOE196625 GEI196623:GEI196625 FUM196623:FUM196625 FKQ196623:FKQ196625 FAU196623:FAU196625 EQY196623:EQY196625 EHC196623:EHC196625 DXG196623:DXG196625 DNK196623:DNK196625 DDO196623:DDO196625 CTS196623:CTS196625 CJW196623:CJW196625 CAA196623:CAA196625 BQE196623:BQE196625 BGI196623:BGI196625 AWM196623:AWM196625 AMQ196623:AMQ196625 ACU196623:ACU196625 SY196623:SY196625 JC196623:JC196625 G196623:G196625 WVO131087:WVO131089 WLS131087:WLS131089 WBW131087:WBW131089 VSA131087:VSA131089 VIE131087:VIE131089 UYI131087:UYI131089 UOM131087:UOM131089 UEQ131087:UEQ131089 TUU131087:TUU131089 TKY131087:TKY131089 TBC131087:TBC131089 SRG131087:SRG131089 SHK131087:SHK131089 RXO131087:RXO131089 RNS131087:RNS131089 RDW131087:RDW131089 QUA131087:QUA131089 QKE131087:QKE131089 QAI131087:QAI131089 PQM131087:PQM131089 PGQ131087:PGQ131089 OWU131087:OWU131089 OMY131087:OMY131089 ODC131087:ODC131089 NTG131087:NTG131089 NJK131087:NJK131089 MZO131087:MZO131089 MPS131087:MPS131089 MFW131087:MFW131089 LWA131087:LWA131089 LME131087:LME131089 LCI131087:LCI131089 KSM131087:KSM131089 KIQ131087:KIQ131089 JYU131087:JYU131089 JOY131087:JOY131089 JFC131087:JFC131089 IVG131087:IVG131089 ILK131087:ILK131089 IBO131087:IBO131089 HRS131087:HRS131089 HHW131087:HHW131089 GYA131087:GYA131089 GOE131087:GOE131089 GEI131087:GEI131089 FUM131087:FUM131089 FKQ131087:FKQ131089 FAU131087:FAU131089 EQY131087:EQY131089 EHC131087:EHC131089 DXG131087:DXG131089 DNK131087:DNK131089 DDO131087:DDO131089 CTS131087:CTS131089 CJW131087:CJW131089 CAA131087:CAA131089 BQE131087:BQE131089 BGI131087:BGI131089 AWM131087:AWM131089 AMQ131087:AMQ131089 ACU131087:ACU131089 SY131087:SY131089 JC131087:JC131089 G131087:G131089 WVO65551:WVO65553 WLS65551:WLS65553 WBW65551:WBW65553 VSA65551:VSA65553 VIE65551:VIE65553 UYI65551:UYI65553 UOM65551:UOM65553 UEQ65551:UEQ65553 TUU65551:TUU65553 TKY65551:TKY65553 TBC65551:TBC65553 SRG65551:SRG65553 SHK65551:SHK65553 RXO65551:RXO65553 RNS65551:RNS65553 RDW65551:RDW65553 QUA65551:QUA65553 QKE65551:QKE65553 QAI65551:QAI65553 PQM65551:PQM65553 PGQ65551:PGQ65553 OWU65551:OWU65553 OMY65551:OMY65553 ODC65551:ODC65553 NTG65551:NTG65553 NJK65551:NJK65553 MZO65551:MZO65553 MPS65551:MPS65553 MFW65551:MFW65553 LWA65551:LWA65553 LME65551:LME65553 LCI65551:LCI65553 KSM65551:KSM65553 KIQ65551:KIQ65553 JYU65551:JYU65553 JOY65551:JOY65553 JFC65551:JFC65553 IVG65551:IVG65553 ILK65551:ILK65553 IBO65551:IBO65553 HRS65551:HRS65553 HHW65551:HHW65553 GYA65551:GYA65553 GOE65551:GOE65553 GEI65551:GEI65553 FUM65551:FUM65553 FKQ65551:FKQ65553 FAU65551:FAU65553 EQY65551:EQY65553 EHC65551:EHC65553 DXG65551:DXG65553 DNK65551:DNK65553 DDO65551:DDO65553 CTS65551:CTS65553 CJW65551:CJW65553 CAA65551:CAA65553 BQE65551:BQE65553 BGI65551:BGI65553 AWM65551:AWM65553 AMQ65551:AMQ65553 ACU65551:ACU65553 SY65551:SY65553 JC65551:JC65553 G65551:G65553 WVN983051:WVN983053 WLR983051:WLR983053 WBV983051:WBV983053 VRZ983051:VRZ983053 VID983051:VID983053 UYH983051:UYH983053 UOL983051:UOL983053 UEP983051:UEP983053 TUT983051:TUT983053 TKX983051:TKX983053 TBB983051:TBB983053 SRF983051:SRF983053 SHJ983051:SHJ983053 RXN983051:RXN983053 RNR983051:RNR983053 RDV983051:RDV983053 QTZ983051:QTZ983053 QKD983051:QKD983053 QAH983051:QAH983053 PQL983051:PQL983053 PGP983051:PGP983053 OWT983051:OWT983053 OMX983051:OMX983053 ODB983051:ODB983053 NTF983051:NTF983053 NJJ983051:NJJ983053 MZN983051:MZN983053 MPR983051:MPR983053 MFV983051:MFV983053 LVZ983051:LVZ983053 LMD983051:LMD983053 LCH983051:LCH983053 KSL983051:KSL983053 KIP983051:KIP983053 JYT983051:JYT983053 JOX983051:JOX983053 JFB983051:JFB983053 IVF983051:IVF983053 ILJ983051:ILJ983053 IBN983051:IBN983053 HRR983051:HRR983053 HHV983051:HHV983053 GXZ983051:GXZ983053 GOD983051:GOD983053 GEH983051:GEH983053 FUL983051:FUL983053 FKP983051:FKP983053 FAT983051:FAT983053 EQX983051:EQX983053 EHB983051:EHB983053 DXF983051:DXF983053 DNJ983051:DNJ983053 DDN983051:DDN983053 CTR983051:CTR983053 CJV983051:CJV983053 BZZ983051:BZZ983053 BQD983051:BQD983053 BGH983051:BGH983053 AWL983051:AWL983053 AMP983051:AMP983053 ACT983051:ACT983053 SX983051:SX983053 JB983051:JB983053 F983051:F983053 WVN917515:WVN917517 WLR917515:WLR917517 WBV917515:WBV917517 VRZ917515:VRZ917517 VID917515:VID917517 UYH917515:UYH917517 UOL917515:UOL917517 UEP917515:UEP917517 TUT917515:TUT917517 TKX917515:TKX917517 TBB917515:TBB917517 SRF917515:SRF917517 SHJ917515:SHJ917517 RXN917515:RXN917517 RNR917515:RNR917517 RDV917515:RDV917517 QTZ917515:QTZ917517 QKD917515:QKD917517 QAH917515:QAH917517 PQL917515:PQL917517 PGP917515:PGP917517 OWT917515:OWT917517 OMX917515:OMX917517 ODB917515:ODB917517 NTF917515:NTF917517 NJJ917515:NJJ917517 MZN917515:MZN917517 MPR917515:MPR917517 MFV917515:MFV917517 LVZ917515:LVZ917517 LMD917515:LMD917517 LCH917515:LCH917517 KSL917515:KSL917517 KIP917515:KIP917517 JYT917515:JYT917517 JOX917515:JOX917517 JFB917515:JFB917517 IVF917515:IVF917517 ILJ917515:ILJ917517 IBN917515:IBN917517 HRR917515:HRR917517 HHV917515:HHV917517 GXZ917515:GXZ917517 GOD917515:GOD917517 GEH917515:GEH917517 FUL917515:FUL917517 FKP917515:FKP917517 FAT917515:FAT917517 EQX917515:EQX917517 EHB917515:EHB917517 DXF917515:DXF917517 DNJ917515:DNJ917517 DDN917515:DDN917517 CTR917515:CTR917517 CJV917515:CJV917517 BZZ917515:BZZ917517 BQD917515:BQD917517 BGH917515:BGH917517 AWL917515:AWL917517 AMP917515:AMP917517 ACT917515:ACT917517 SX917515:SX917517 JB917515:JB917517 F917515:F917517 WVN851979:WVN851981 WLR851979:WLR851981 WBV851979:WBV851981 VRZ851979:VRZ851981 VID851979:VID851981 UYH851979:UYH851981 UOL851979:UOL851981 UEP851979:UEP851981 TUT851979:TUT851981 TKX851979:TKX851981 TBB851979:TBB851981 SRF851979:SRF851981 SHJ851979:SHJ851981 RXN851979:RXN851981 RNR851979:RNR851981 RDV851979:RDV851981 QTZ851979:QTZ851981 QKD851979:QKD851981 QAH851979:QAH851981 PQL851979:PQL851981 PGP851979:PGP851981 OWT851979:OWT851981 OMX851979:OMX851981 ODB851979:ODB851981 NTF851979:NTF851981 NJJ851979:NJJ851981 MZN851979:MZN851981 MPR851979:MPR851981 MFV851979:MFV851981 LVZ851979:LVZ851981 LMD851979:LMD851981 LCH851979:LCH851981 KSL851979:KSL851981 KIP851979:KIP851981 JYT851979:JYT851981 JOX851979:JOX851981 JFB851979:JFB851981 IVF851979:IVF851981 ILJ851979:ILJ851981 IBN851979:IBN851981 HRR851979:HRR851981 HHV851979:HHV851981 GXZ851979:GXZ851981 GOD851979:GOD851981 GEH851979:GEH851981 FUL851979:FUL851981 FKP851979:FKP851981 FAT851979:FAT851981 EQX851979:EQX851981 EHB851979:EHB851981 DXF851979:DXF851981 DNJ851979:DNJ851981 DDN851979:DDN851981 CTR851979:CTR851981 CJV851979:CJV851981 BZZ851979:BZZ851981 BQD851979:BQD851981 BGH851979:BGH851981 AWL851979:AWL851981 AMP851979:AMP851981 ACT851979:ACT851981 SX851979:SX851981 JB851979:JB851981 F851979:F851981 WVN786443:WVN786445 WLR786443:WLR786445 WBV786443:WBV786445 VRZ786443:VRZ786445 VID786443:VID786445 UYH786443:UYH786445 UOL786443:UOL786445 UEP786443:UEP786445 TUT786443:TUT786445 TKX786443:TKX786445 TBB786443:TBB786445 SRF786443:SRF786445 SHJ786443:SHJ786445 RXN786443:RXN786445 RNR786443:RNR786445 RDV786443:RDV786445 QTZ786443:QTZ786445 QKD786443:QKD786445 QAH786443:QAH786445 PQL786443:PQL786445 PGP786443:PGP786445 OWT786443:OWT786445 OMX786443:OMX786445 ODB786443:ODB786445 NTF786443:NTF786445 NJJ786443:NJJ786445 MZN786443:MZN786445 MPR786443:MPR786445 MFV786443:MFV786445 LVZ786443:LVZ786445 LMD786443:LMD786445 LCH786443:LCH786445 KSL786443:KSL786445 KIP786443:KIP786445 JYT786443:JYT786445 JOX786443:JOX786445 JFB786443:JFB786445 IVF786443:IVF786445 ILJ786443:ILJ786445 IBN786443:IBN786445 HRR786443:HRR786445 HHV786443:HHV786445 GXZ786443:GXZ786445 GOD786443:GOD786445 GEH786443:GEH786445 FUL786443:FUL786445 FKP786443:FKP786445 FAT786443:FAT786445 EQX786443:EQX786445 EHB786443:EHB786445 DXF786443:DXF786445 DNJ786443:DNJ786445 DDN786443:DDN786445 CTR786443:CTR786445 CJV786443:CJV786445 BZZ786443:BZZ786445 BQD786443:BQD786445 BGH786443:BGH786445 AWL786443:AWL786445 AMP786443:AMP786445 ACT786443:ACT786445 SX786443:SX786445 JB786443:JB786445 F786443:F786445 WVN720907:WVN720909 WLR720907:WLR720909 WBV720907:WBV720909 VRZ720907:VRZ720909 VID720907:VID720909 UYH720907:UYH720909 UOL720907:UOL720909 UEP720907:UEP720909 TUT720907:TUT720909 TKX720907:TKX720909 TBB720907:TBB720909 SRF720907:SRF720909 SHJ720907:SHJ720909 RXN720907:RXN720909 RNR720907:RNR720909 RDV720907:RDV720909 QTZ720907:QTZ720909 QKD720907:QKD720909 QAH720907:QAH720909 PQL720907:PQL720909 PGP720907:PGP720909 OWT720907:OWT720909 OMX720907:OMX720909 ODB720907:ODB720909 NTF720907:NTF720909 NJJ720907:NJJ720909 MZN720907:MZN720909 MPR720907:MPR720909 MFV720907:MFV720909 LVZ720907:LVZ720909 LMD720907:LMD720909 LCH720907:LCH720909 KSL720907:KSL720909 KIP720907:KIP720909 JYT720907:JYT720909 JOX720907:JOX720909 JFB720907:JFB720909 IVF720907:IVF720909 ILJ720907:ILJ720909 IBN720907:IBN720909 HRR720907:HRR720909 HHV720907:HHV720909 GXZ720907:GXZ720909 GOD720907:GOD720909 GEH720907:GEH720909 FUL720907:FUL720909 FKP720907:FKP720909 FAT720907:FAT720909 EQX720907:EQX720909 EHB720907:EHB720909 DXF720907:DXF720909 DNJ720907:DNJ720909 DDN720907:DDN720909 CTR720907:CTR720909 CJV720907:CJV720909 BZZ720907:BZZ720909 BQD720907:BQD720909 BGH720907:BGH720909 AWL720907:AWL720909 AMP720907:AMP720909 ACT720907:ACT720909 SX720907:SX720909 JB720907:JB720909 F720907:F720909 WVN655371:WVN655373 WLR655371:WLR655373 WBV655371:WBV655373 VRZ655371:VRZ655373 VID655371:VID655373 UYH655371:UYH655373 UOL655371:UOL655373 UEP655371:UEP655373 TUT655371:TUT655373 TKX655371:TKX655373 TBB655371:TBB655373 SRF655371:SRF655373 SHJ655371:SHJ655373 RXN655371:RXN655373 RNR655371:RNR655373 RDV655371:RDV655373 QTZ655371:QTZ655373 QKD655371:QKD655373 QAH655371:QAH655373 PQL655371:PQL655373 PGP655371:PGP655373 OWT655371:OWT655373 OMX655371:OMX655373 ODB655371:ODB655373 NTF655371:NTF655373 NJJ655371:NJJ655373 MZN655371:MZN655373 MPR655371:MPR655373 MFV655371:MFV655373 LVZ655371:LVZ655373 LMD655371:LMD655373 LCH655371:LCH655373 KSL655371:KSL655373 KIP655371:KIP655373 JYT655371:JYT655373 JOX655371:JOX655373 JFB655371:JFB655373 IVF655371:IVF655373 ILJ655371:ILJ655373 IBN655371:IBN655373 HRR655371:HRR655373 HHV655371:HHV655373 GXZ655371:GXZ655373 GOD655371:GOD655373 GEH655371:GEH655373 FUL655371:FUL655373 FKP655371:FKP655373 FAT655371:FAT655373 EQX655371:EQX655373 EHB655371:EHB655373 DXF655371:DXF655373 DNJ655371:DNJ655373 DDN655371:DDN655373 CTR655371:CTR655373 CJV655371:CJV655373 BZZ655371:BZZ655373 BQD655371:BQD655373 BGH655371:BGH655373 AWL655371:AWL655373 AMP655371:AMP655373 ACT655371:ACT655373 SX655371:SX655373 JB655371:JB655373 F655371:F655373 WVN589835:WVN589837 WLR589835:WLR589837 WBV589835:WBV589837 VRZ589835:VRZ589837 VID589835:VID589837 UYH589835:UYH589837 UOL589835:UOL589837 UEP589835:UEP589837 TUT589835:TUT589837 TKX589835:TKX589837 TBB589835:TBB589837 SRF589835:SRF589837 SHJ589835:SHJ589837 RXN589835:RXN589837 RNR589835:RNR589837 RDV589835:RDV589837 QTZ589835:QTZ589837 QKD589835:QKD589837 QAH589835:QAH589837 PQL589835:PQL589837 PGP589835:PGP589837 OWT589835:OWT589837 OMX589835:OMX589837 ODB589835:ODB589837 NTF589835:NTF589837 NJJ589835:NJJ589837 MZN589835:MZN589837 MPR589835:MPR589837 MFV589835:MFV589837 LVZ589835:LVZ589837 LMD589835:LMD589837 LCH589835:LCH589837 KSL589835:KSL589837 KIP589835:KIP589837 JYT589835:JYT589837 JOX589835:JOX589837 JFB589835:JFB589837 IVF589835:IVF589837 ILJ589835:ILJ589837 IBN589835:IBN589837 HRR589835:HRR589837 HHV589835:HHV589837 GXZ589835:GXZ589837 GOD589835:GOD589837 GEH589835:GEH589837 FUL589835:FUL589837 FKP589835:FKP589837 FAT589835:FAT589837 EQX589835:EQX589837 EHB589835:EHB589837 DXF589835:DXF589837 DNJ589835:DNJ589837 DDN589835:DDN589837 CTR589835:CTR589837 CJV589835:CJV589837 BZZ589835:BZZ589837 BQD589835:BQD589837 BGH589835:BGH589837 AWL589835:AWL589837 AMP589835:AMP589837 ACT589835:ACT589837 SX589835:SX589837 JB589835:JB589837 F589835:F589837 WVN524299:WVN524301 WLR524299:WLR524301 WBV524299:WBV524301 VRZ524299:VRZ524301 VID524299:VID524301 UYH524299:UYH524301 UOL524299:UOL524301 UEP524299:UEP524301 TUT524299:TUT524301 TKX524299:TKX524301 TBB524299:TBB524301 SRF524299:SRF524301 SHJ524299:SHJ524301 RXN524299:RXN524301 RNR524299:RNR524301 RDV524299:RDV524301 QTZ524299:QTZ524301 QKD524299:QKD524301 QAH524299:QAH524301 PQL524299:PQL524301 PGP524299:PGP524301 OWT524299:OWT524301 OMX524299:OMX524301 ODB524299:ODB524301 NTF524299:NTF524301 NJJ524299:NJJ524301 MZN524299:MZN524301 MPR524299:MPR524301 MFV524299:MFV524301 LVZ524299:LVZ524301 LMD524299:LMD524301 LCH524299:LCH524301 KSL524299:KSL524301 KIP524299:KIP524301 JYT524299:JYT524301 JOX524299:JOX524301 JFB524299:JFB524301 IVF524299:IVF524301 ILJ524299:ILJ524301 IBN524299:IBN524301 HRR524299:HRR524301 HHV524299:HHV524301 GXZ524299:GXZ524301 GOD524299:GOD524301 GEH524299:GEH524301 FUL524299:FUL524301 FKP524299:FKP524301 FAT524299:FAT524301 EQX524299:EQX524301 EHB524299:EHB524301 DXF524299:DXF524301 DNJ524299:DNJ524301 DDN524299:DDN524301 CTR524299:CTR524301 CJV524299:CJV524301 BZZ524299:BZZ524301 BQD524299:BQD524301 BGH524299:BGH524301 AWL524299:AWL524301 AMP524299:AMP524301 ACT524299:ACT524301 SX524299:SX524301 JB524299:JB524301 F524299:F524301 WVN458763:WVN458765 WLR458763:WLR458765 WBV458763:WBV458765 VRZ458763:VRZ458765 VID458763:VID458765 UYH458763:UYH458765 UOL458763:UOL458765 UEP458763:UEP458765 TUT458763:TUT458765 TKX458763:TKX458765 TBB458763:TBB458765 SRF458763:SRF458765 SHJ458763:SHJ458765 RXN458763:RXN458765 RNR458763:RNR458765 RDV458763:RDV458765 QTZ458763:QTZ458765 QKD458763:QKD458765 QAH458763:QAH458765 PQL458763:PQL458765 PGP458763:PGP458765 OWT458763:OWT458765 OMX458763:OMX458765 ODB458763:ODB458765 NTF458763:NTF458765 NJJ458763:NJJ458765 MZN458763:MZN458765 MPR458763:MPR458765 MFV458763:MFV458765 LVZ458763:LVZ458765 LMD458763:LMD458765 LCH458763:LCH458765 KSL458763:KSL458765 KIP458763:KIP458765 JYT458763:JYT458765 JOX458763:JOX458765 JFB458763:JFB458765 IVF458763:IVF458765 ILJ458763:ILJ458765 IBN458763:IBN458765 HRR458763:HRR458765 HHV458763:HHV458765 GXZ458763:GXZ458765 GOD458763:GOD458765 GEH458763:GEH458765 FUL458763:FUL458765 FKP458763:FKP458765 FAT458763:FAT458765 EQX458763:EQX458765 EHB458763:EHB458765 DXF458763:DXF458765 DNJ458763:DNJ458765 DDN458763:DDN458765 CTR458763:CTR458765 CJV458763:CJV458765 BZZ458763:BZZ458765 BQD458763:BQD458765 BGH458763:BGH458765 AWL458763:AWL458765 AMP458763:AMP458765 ACT458763:ACT458765 SX458763:SX458765 JB458763:JB458765 F458763:F458765 WVN393227:WVN393229 WLR393227:WLR393229 WBV393227:WBV393229 VRZ393227:VRZ393229 VID393227:VID393229 UYH393227:UYH393229 UOL393227:UOL393229 UEP393227:UEP393229 TUT393227:TUT393229 TKX393227:TKX393229 TBB393227:TBB393229 SRF393227:SRF393229 SHJ393227:SHJ393229 RXN393227:RXN393229 RNR393227:RNR393229 RDV393227:RDV393229 QTZ393227:QTZ393229 QKD393227:QKD393229 QAH393227:QAH393229 PQL393227:PQL393229 PGP393227:PGP393229 OWT393227:OWT393229 OMX393227:OMX393229 ODB393227:ODB393229 NTF393227:NTF393229 NJJ393227:NJJ393229 MZN393227:MZN393229 MPR393227:MPR393229 MFV393227:MFV393229 LVZ393227:LVZ393229 LMD393227:LMD393229 LCH393227:LCH393229 KSL393227:KSL393229 KIP393227:KIP393229 JYT393227:JYT393229 JOX393227:JOX393229 JFB393227:JFB393229 IVF393227:IVF393229 ILJ393227:ILJ393229 IBN393227:IBN393229 HRR393227:HRR393229 HHV393227:HHV393229 GXZ393227:GXZ393229 GOD393227:GOD393229 GEH393227:GEH393229 FUL393227:FUL393229 FKP393227:FKP393229 FAT393227:FAT393229 EQX393227:EQX393229 EHB393227:EHB393229 DXF393227:DXF393229 DNJ393227:DNJ393229 DDN393227:DDN393229 CTR393227:CTR393229 CJV393227:CJV393229 BZZ393227:BZZ393229 BQD393227:BQD393229 BGH393227:BGH393229 AWL393227:AWL393229 AMP393227:AMP393229 ACT393227:ACT393229 SX393227:SX393229 JB393227:JB393229 F393227:F393229 WVN327691:WVN327693 WLR327691:WLR327693 WBV327691:WBV327693 VRZ327691:VRZ327693 VID327691:VID327693 UYH327691:UYH327693 UOL327691:UOL327693 UEP327691:UEP327693 TUT327691:TUT327693 TKX327691:TKX327693 TBB327691:TBB327693 SRF327691:SRF327693 SHJ327691:SHJ327693 RXN327691:RXN327693 RNR327691:RNR327693 RDV327691:RDV327693 QTZ327691:QTZ327693 QKD327691:QKD327693 QAH327691:QAH327693 PQL327691:PQL327693 PGP327691:PGP327693 OWT327691:OWT327693 OMX327691:OMX327693 ODB327691:ODB327693 NTF327691:NTF327693 NJJ327691:NJJ327693 MZN327691:MZN327693 MPR327691:MPR327693 MFV327691:MFV327693 LVZ327691:LVZ327693 LMD327691:LMD327693 LCH327691:LCH327693 KSL327691:KSL327693 KIP327691:KIP327693 JYT327691:JYT327693 JOX327691:JOX327693 JFB327691:JFB327693 IVF327691:IVF327693 ILJ327691:ILJ327693 IBN327691:IBN327693 HRR327691:HRR327693 HHV327691:HHV327693 GXZ327691:GXZ327693 GOD327691:GOD327693 GEH327691:GEH327693 FUL327691:FUL327693 FKP327691:FKP327693 FAT327691:FAT327693 EQX327691:EQX327693 EHB327691:EHB327693 DXF327691:DXF327693 DNJ327691:DNJ327693 DDN327691:DDN327693 CTR327691:CTR327693 CJV327691:CJV327693 BZZ327691:BZZ327693 BQD327691:BQD327693 BGH327691:BGH327693 AWL327691:AWL327693 AMP327691:AMP327693 ACT327691:ACT327693 SX327691:SX327693 JB327691:JB327693 F327691:F327693 WVN262155:WVN262157 WLR262155:WLR262157 WBV262155:WBV262157 VRZ262155:VRZ262157 VID262155:VID262157 UYH262155:UYH262157 UOL262155:UOL262157 UEP262155:UEP262157 TUT262155:TUT262157 TKX262155:TKX262157 TBB262155:TBB262157 SRF262155:SRF262157 SHJ262155:SHJ262157 RXN262155:RXN262157 RNR262155:RNR262157 RDV262155:RDV262157 QTZ262155:QTZ262157 QKD262155:QKD262157 QAH262155:QAH262157 PQL262155:PQL262157 PGP262155:PGP262157 OWT262155:OWT262157 OMX262155:OMX262157 ODB262155:ODB262157 NTF262155:NTF262157 NJJ262155:NJJ262157 MZN262155:MZN262157 MPR262155:MPR262157 MFV262155:MFV262157 LVZ262155:LVZ262157 LMD262155:LMD262157 LCH262155:LCH262157 KSL262155:KSL262157 KIP262155:KIP262157 JYT262155:JYT262157 JOX262155:JOX262157 JFB262155:JFB262157 IVF262155:IVF262157 ILJ262155:ILJ262157 IBN262155:IBN262157 HRR262155:HRR262157 HHV262155:HHV262157 GXZ262155:GXZ262157 GOD262155:GOD262157 GEH262155:GEH262157 FUL262155:FUL262157 FKP262155:FKP262157 FAT262155:FAT262157 EQX262155:EQX262157 EHB262155:EHB262157 DXF262155:DXF262157 DNJ262155:DNJ262157 DDN262155:DDN262157 CTR262155:CTR262157 CJV262155:CJV262157 BZZ262155:BZZ262157 BQD262155:BQD262157 BGH262155:BGH262157 AWL262155:AWL262157 AMP262155:AMP262157 ACT262155:ACT262157 SX262155:SX262157 JB262155:JB262157 F262155:F262157 WVN196619:WVN196621 WLR196619:WLR196621 WBV196619:WBV196621 VRZ196619:VRZ196621 VID196619:VID196621 UYH196619:UYH196621 UOL196619:UOL196621 UEP196619:UEP196621 TUT196619:TUT196621 TKX196619:TKX196621 TBB196619:TBB196621 SRF196619:SRF196621 SHJ196619:SHJ196621 RXN196619:RXN196621 RNR196619:RNR196621 RDV196619:RDV196621 QTZ196619:QTZ196621 QKD196619:QKD196621 QAH196619:QAH196621 PQL196619:PQL196621 PGP196619:PGP196621 OWT196619:OWT196621 OMX196619:OMX196621 ODB196619:ODB196621 NTF196619:NTF196621 NJJ196619:NJJ196621 MZN196619:MZN196621 MPR196619:MPR196621 MFV196619:MFV196621 LVZ196619:LVZ196621 LMD196619:LMD196621 LCH196619:LCH196621 KSL196619:KSL196621 KIP196619:KIP196621 JYT196619:JYT196621 JOX196619:JOX196621 JFB196619:JFB196621 IVF196619:IVF196621 ILJ196619:ILJ196621 IBN196619:IBN196621 HRR196619:HRR196621 HHV196619:HHV196621 GXZ196619:GXZ196621 GOD196619:GOD196621 GEH196619:GEH196621 FUL196619:FUL196621 FKP196619:FKP196621 FAT196619:FAT196621 EQX196619:EQX196621 EHB196619:EHB196621 DXF196619:DXF196621 DNJ196619:DNJ196621 DDN196619:DDN196621 CTR196619:CTR196621 CJV196619:CJV196621 BZZ196619:BZZ196621 BQD196619:BQD196621 BGH196619:BGH196621 AWL196619:AWL196621 AMP196619:AMP196621 ACT196619:ACT196621 SX196619:SX196621 JB196619:JB196621 F196619:F196621 WVN131083:WVN131085 WLR131083:WLR131085 WBV131083:WBV131085 VRZ131083:VRZ131085 VID131083:VID131085 UYH131083:UYH131085 UOL131083:UOL131085 UEP131083:UEP131085 TUT131083:TUT131085 TKX131083:TKX131085 TBB131083:TBB131085 SRF131083:SRF131085 SHJ131083:SHJ131085 RXN131083:RXN131085 RNR131083:RNR131085 RDV131083:RDV131085 QTZ131083:QTZ131085 QKD131083:QKD131085 QAH131083:QAH131085 PQL131083:PQL131085 PGP131083:PGP131085 OWT131083:OWT131085 OMX131083:OMX131085 ODB131083:ODB131085 NTF131083:NTF131085 NJJ131083:NJJ131085 MZN131083:MZN131085 MPR131083:MPR131085 MFV131083:MFV131085 LVZ131083:LVZ131085 LMD131083:LMD131085 LCH131083:LCH131085 KSL131083:KSL131085 KIP131083:KIP131085 JYT131083:JYT131085 JOX131083:JOX131085 JFB131083:JFB131085 IVF131083:IVF131085 ILJ131083:ILJ131085 IBN131083:IBN131085 HRR131083:HRR131085 HHV131083:HHV131085 GXZ131083:GXZ131085 GOD131083:GOD131085 GEH131083:GEH131085 FUL131083:FUL131085 FKP131083:FKP131085 FAT131083:FAT131085 EQX131083:EQX131085 EHB131083:EHB131085 DXF131083:DXF131085 DNJ131083:DNJ131085 DDN131083:DDN131085 CTR131083:CTR131085 CJV131083:CJV131085 BZZ131083:BZZ131085 BQD131083:BQD131085 BGH131083:BGH131085 AWL131083:AWL131085 AMP131083:AMP131085 ACT131083:ACT131085 SX131083:SX131085 JB131083:JB131085 F131083:F131085 WVN65547:WVN65549 WLR65547:WLR65549 WBV65547:WBV65549 VRZ65547:VRZ65549 VID65547:VID65549 UYH65547:UYH65549 UOL65547:UOL65549 UEP65547:UEP65549 TUT65547:TUT65549 TKX65547:TKX65549 TBB65547:TBB65549 SRF65547:SRF65549 SHJ65547:SHJ65549 RXN65547:RXN65549 RNR65547:RNR65549 RDV65547:RDV65549 QTZ65547:QTZ65549 QKD65547:QKD65549 QAH65547:QAH65549 PQL65547:PQL65549 PGP65547:PGP65549 OWT65547:OWT65549 OMX65547:OMX65549 ODB65547:ODB65549 NTF65547:NTF65549 NJJ65547:NJJ65549 MZN65547:MZN65549 MPR65547:MPR65549 MFV65547:MFV65549 LVZ65547:LVZ65549 LMD65547:LMD65549 LCH65547:LCH65549 KSL65547:KSL65549 KIP65547:KIP65549 JYT65547:JYT65549 JOX65547:JOX65549 JFB65547:JFB65549 IVF65547:IVF65549 ILJ65547:ILJ65549 IBN65547:IBN65549 HRR65547:HRR65549 HHV65547:HHV65549 GXZ65547:GXZ65549 GOD65547:GOD65549 GEH65547:GEH65549 FUL65547:FUL65549 FKP65547:FKP65549 FAT65547:FAT65549 EQX65547:EQX65549 EHB65547:EHB65549 DXF65547:DXF65549 DNJ65547:DNJ65549 DDN65547:DDN65549 CTR65547:CTR65549 CJV65547:CJV65549 BZZ65547:BZZ65549 BQD65547:BQD65549 BGH65547:BGH65549 AWL65547:AWL65549 AMP65547:AMP65549 ACT65547:ACT65549 SX65547:SX65549 JB65547:JB65549 F65547:F65549 WVS983060:WVS983061 WLW983060:WLW983061 WCA983060:WCA983061 VSE983060:VSE983061 VII983060:VII983061 UYM983060:UYM983061 UOQ983060:UOQ983061 UEU983060:UEU983061 TUY983060:TUY983061 TLC983060:TLC983061 TBG983060:TBG983061 SRK983060:SRK983061 SHO983060:SHO983061 RXS983060:RXS983061 RNW983060:RNW983061 REA983060:REA983061 QUE983060:QUE983061 QKI983060:QKI983061 QAM983060:QAM983061 PQQ983060:PQQ983061 PGU983060:PGU983061 OWY983060:OWY983061 ONC983060:ONC983061 ODG983060:ODG983061 NTK983060:NTK983061 NJO983060:NJO983061 MZS983060:MZS983061 MPW983060:MPW983061 MGA983060:MGA983061 LWE983060:LWE983061 LMI983060:LMI983061 LCM983060:LCM983061 KSQ983060:KSQ983061 KIU983060:KIU983061 JYY983060:JYY983061 JPC983060:JPC983061 JFG983060:JFG983061 IVK983060:IVK983061 ILO983060:ILO983061 IBS983060:IBS983061 HRW983060:HRW983061 HIA983060:HIA983061 GYE983060:GYE983061 GOI983060:GOI983061 GEM983060:GEM983061 FUQ983060:FUQ983061 FKU983060:FKU983061 FAY983060:FAY983061 ERC983060:ERC983061 EHG983060:EHG983061 DXK983060:DXK983061 DNO983060:DNO983061 DDS983060:DDS983061 CTW983060:CTW983061 CKA983060:CKA983061 CAE983060:CAE983061 BQI983060:BQI983061 BGM983060:BGM983061 AWQ983060:AWQ983061 AMU983060:AMU983061 ACY983060:ACY983061 TC983060:TC983061 JG983060:JG983061 K983060:K983061 WVS917524:WVS917525 WLW917524:WLW917525 WCA917524:WCA917525 VSE917524:VSE917525 VII917524:VII917525 UYM917524:UYM917525 UOQ917524:UOQ917525 UEU917524:UEU917525 TUY917524:TUY917525 TLC917524:TLC917525 TBG917524:TBG917525 SRK917524:SRK917525 SHO917524:SHO917525 RXS917524:RXS917525 RNW917524:RNW917525 REA917524:REA917525 QUE917524:QUE917525 QKI917524:QKI917525 QAM917524:QAM917525 PQQ917524:PQQ917525 PGU917524:PGU917525 OWY917524:OWY917525 ONC917524:ONC917525 ODG917524:ODG917525 NTK917524:NTK917525 NJO917524:NJO917525 MZS917524:MZS917525 MPW917524:MPW917525 MGA917524:MGA917525 LWE917524:LWE917525 LMI917524:LMI917525 LCM917524:LCM917525 KSQ917524:KSQ917525 KIU917524:KIU917525 JYY917524:JYY917525 JPC917524:JPC917525 JFG917524:JFG917525 IVK917524:IVK917525 ILO917524:ILO917525 IBS917524:IBS917525 HRW917524:HRW917525 HIA917524:HIA917525 GYE917524:GYE917525 GOI917524:GOI917525 GEM917524:GEM917525 FUQ917524:FUQ917525 FKU917524:FKU917525 FAY917524:FAY917525 ERC917524:ERC917525 EHG917524:EHG917525 DXK917524:DXK917525 DNO917524:DNO917525 DDS917524:DDS917525 CTW917524:CTW917525 CKA917524:CKA917525 CAE917524:CAE917525 BQI917524:BQI917525 BGM917524:BGM917525 AWQ917524:AWQ917525 AMU917524:AMU917525 ACY917524:ACY917525 TC917524:TC917525 JG917524:JG917525 K917524:K917525 WVS851988:WVS851989 WLW851988:WLW851989 WCA851988:WCA851989 VSE851988:VSE851989 VII851988:VII851989 UYM851988:UYM851989 UOQ851988:UOQ851989 UEU851988:UEU851989 TUY851988:TUY851989 TLC851988:TLC851989 TBG851988:TBG851989 SRK851988:SRK851989 SHO851988:SHO851989 RXS851988:RXS851989 RNW851988:RNW851989 REA851988:REA851989 QUE851988:QUE851989 QKI851988:QKI851989 QAM851988:QAM851989 PQQ851988:PQQ851989 PGU851988:PGU851989 OWY851988:OWY851989 ONC851988:ONC851989 ODG851988:ODG851989 NTK851988:NTK851989 NJO851988:NJO851989 MZS851988:MZS851989 MPW851988:MPW851989 MGA851988:MGA851989 LWE851988:LWE851989 LMI851988:LMI851989 LCM851988:LCM851989 KSQ851988:KSQ851989 KIU851988:KIU851989 JYY851988:JYY851989 JPC851988:JPC851989 JFG851988:JFG851989 IVK851988:IVK851989 ILO851988:ILO851989 IBS851988:IBS851989 HRW851988:HRW851989 HIA851988:HIA851989 GYE851988:GYE851989 GOI851988:GOI851989 GEM851988:GEM851989 FUQ851988:FUQ851989 FKU851988:FKU851989 FAY851988:FAY851989 ERC851988:ERC851989 EHG851988:EHG851989 DXK851988:DXK851989 DNO851988:DNO851989 DDS851988:DDS851989 CTW851988:CTW851989 CKA851988:CKA851989 CAE851988:CAE851989 BQI851988:BQI851989 BGM851988:BGM851989 AWQ851988:AWQ851989 AMU851988:AMU851989 ACY851988:ACY851989 TC851988:TC851989 JG851988:JG851989 K851988:K851989 WVS786452:WVS786453 WLW786452:WLW786453 WCA786452:WCA786453 VSE786452:VSE786453 VII786452:VII786453 UYM786452:UYM786453 UOQ786452:UOQ786453 UEU786452:UEU786453 TUY786452:TUY786453 TLC786452:TLC786453 TBG786452:TBG786453 SRK786452:SRK786453 SHO786452:SHO786453 RXS786452:RXS786453 RNW786452:RNW786453 REA786452:REA786453 QUE786452:QUE786453 QKI786452:QKI786453 QAM786452:QAM786453 PQQ786452:PQQ786453 PGU786452:PGU786453 OWY786452:OWY786453 ONC786452:ONC786453 ODG786452:ODG786453 NTK786452:NTK786453 NJO786452:NJO786453 MZS786452:MZS786453 MPW786452:MPW786453 MGA786452:MGA786453 LWE786452:LWE786453 LMI786452:LMI786453 LCM786452:LCM786453 KSQ786452:KSQ786453 KIU786452:KIU786453 JYY786452:JYY786453 JPC786452:JPC786453 JFG786452:JFG786453 IVK786452:IVK786453 ILO786452:ILO786453 IBS786452:IBS786453 HRW786452:HRW786453 HIA786452:HIA786453 GYE786452:GYE786453 GOI786452:GOI786453 GEM786452:GEM786453 FUQ786452:FUQ786453 FKU786452:FKU786453 FAY786452:FAY786453 ERC786452:ERC786453 EHG786452:EHG786453 DXK786452:DXK786453 DNO786452:DNO786453 DDS786452:DDS786453 CTW786452:CTW786453 CKA786452:CKA786453 CAE786452:CAE786453 BQI786452:BQI786453 BGM786452:BGM786453 AWQ786452:AWQ786453 AMU786452:AMU786453 ACY786452:ACY786453 TC786452:TC786453 JG786452:JG786453 K786452:K786453 WVS720916:WVS720917 WLW720916:WLW720917 WCA720916:WCA720917 VSE720916:VSE720917 VII720916:VII720917 UYM720916:UYM720917 UOQ720916:UOQ720917 UEU720916:UEU720917 TUY720916:TUY720917 TLC720916:TLC720917 TBG720916:TBG720917 SRK720916:SRK720917 SHO720916:SHO720917 RXS720916:RXS720917 RNW720916:RNW720917 REA720916:REA720917 QUE720916:QUE720917 QKI720916:QKI720917 QAM720916:QAM720917 PQQ720916:PQQ720917 PGU720916:PGU720917 OWY720916:OWY720917 ONC720916:ONC720917 ODG720916:ODG720917 NTK720916:NTK720917 NJO720916:NJO720917 MZS720916:MZS720917 MPW720916:MPW720917 MGA720916:MGA720917 LWE720916:LWE720917 LMI720916:LMI720917 LCM720916:LCM720917 KSQ720916:KSQ720917 KIU720916:KIU720917 JYY720916:JYY720917 JPC720916:JPC720917 JFG720916:JFG720917 IVK720916:IVK720917 ILO720916:ILO720917 IBS720916:IBS720917 HRW720916:HRW720917 HIA720916:HIA720917 GYE720916:GYE720917 GOI720916:GOI720917 GEM720916:GEM720917 FUQ720916:FUQ720917 FKU720916:FKU720917 FAY720916:FAY720917 ERC720916:ERC720917 EHG720916:EHG720917 DXK720916:DXK720917 DNO720916:DNO720917 DDS720916:DDS720917 CTW720916:CTW720917 CKA720916:CKA720917 CAE720916:CAE720917 BQI720916:BQI720917 BGM720916:BGM720917 AWQ720916:AWQ720917 AMU720916:AMU720917 ACY720916:ACY720917 TC720916:TC720917 JG720916:JG720917 K720916:K720917 WVS655380:WVS655381 WLW655380:WLW655381 WCA655380:WCA655381 VSE655380:VSE655381 VII655380:VII655381 UYM655380:UYM655381 UOQ655380:UOQ655381 UEU655380:UEU655381 TUY655380:TUY655381 TLC655380:TLC655381 TBG655380:TBG655381 SRK655380:SRK655381 SHO655380:SHO655381 RXS655380:RXS655381 RNW655380:RNW655381 REA655380:REA655381 QUE655380:QUE655381 QKI655380:QKI655381 QAM655380:QAM655381 PQQ655380:PQQ655381 PGU655380:PGU655381 OWY655380:OWY655381 ONC655380:ONC655381 ODG655380:ODG655381 NTK655380:NTK655381 NJO655380:NJO655381 MZS655380:MZS655381 MPW655380:MPW655381 MGA655380:MGA655381 LWE655380:LWE655381 LMI655380:LMI655381 LCM655380:LCM655381 KSQ655380:KSQ655381 KIU655380:KIU655381 JYY655380:JYY655381 JPC655380:JPC655381 JFG655380:JFG655381 IVK655380:IVK655381 ILO655380:ILO655381 IBS655380:IBS655381 HRW655380:HRW655381 HIA655380:HIA655381 GYE655380:GYE655381 GOI655380:GOI655381 GEM655380:GEM655381 FUQ655380:FUQ655381 FKU655380:FKU655381 FAY655380:FAY655381 ERC655380:ERC655381 EHG655380:EHG655381 DXK655380:DXK655381 DNO655380:DNO655381 DDS655380:DDS655381 CTW655380:CTW655381 CKA655380:CKA655381 CAE655380:CAE655381 BQI655380:BQI655381 BGM655380:BGM655381 AWQ655380:AWQ655381 AMU655380:AMU655381 ACY655380:ACY655381 TC655380:TC655381 JG655380:JG655381 K655380:K655381 WVS589844:WVS589845 WLW589844:WLW589845 WCA589844:WCA589845 VSE589844:VSE589845 VII589844:VII589845 UYM589844:UYM589845 UOQ589844:UOQ589845 UEU589844:UEU589845 TUY589844:TUY589845 TLC589844:TLC589845 TBG589844:TBG589845 SRK589844:SRK589845 SHO589844:SHO589845 RXS589844:RXS589845 RNW589844:RNW589845 REA589844:REA589845 QUE589844:QUE589845 QKI589844:QKI589845 QAM589844:QAM589845 PQQ589844:PQQ589845 PGU589844:PGU589845 OWY589844:OWY589845 ONC589844:ONC589845 ODG589844:ODG589845 NTK589844:NTK589845 NJO589844:NJO589845 MZS589844:MZS589845 MPW589844:MPW589845 MGA589844:MGA589845 LWE589844:LWE589845 LMI589844:LMI589845 LCM589844:LCM589845 KSQ589844:KSQ589845 KIU589844:KIU589845 JYY589844:JYY589845 JPC589844:JPC589845 JFG589844:JFG589845 IVK589844:IVK589845 ILO589844:ILO589845 IBS589844:IBS589845 HRW589844:HRW589845 HIA589844:HIA589845 GYE589844:GYE589845 GOI589844:GOI589845 GEM589844:GEM589845 FUQ589844:FUQ589845 FKU589844:FKU589845 FAY589844:FAY589845 ERC589844:ERC589845 EHG589844:EHG589845 DXK589844:DXK589845 DNO589844:DNO589845 DDS589844:DDS589845 CTW589844:CTW589845 CKA589844:CKA589845 CAE589844:CAE589845 BQI589844:BQI589845 BGM589844:BGM589845 AWQ589844:AWQ589845 AMU589844:AMU589845 ACY589844:ACY589845 TC589844:TC589845 JG589844:JG589845 K589844:K589845 WVS524308:WVS524309 WLW524308:WLW524309 WCA524308:WCA524309 VSE524308:VSE524309 VII524308:VII524309 UYM524308:UYM524309 UOQ524308:UOQ524309 UEU524308:UEU524309 TUY524308:TUY524309 TLC524308:TLC524309 TBG524308:TBG524309 SRK524308:SRK524309 SHO524308:SHO524309 RXS524308:RXS524309 RNW524308:RNW524309 REA524308:REA524309 QUE524308:QUE524309 QKI524308:QKI524309 QAM524308:QAM524309 PQQ524308:PQQ524309 PGU524308:PGU524309 OWY524308:OWY524309 ONC524308:ONC524309 ODG524308:ODG524309 NTK524308:NTK524309 NJO524308:NJO524309 MZS524308:MZS524309 MPW524308:MPW524309 MGA524308:MGA524309 LWE524308:LWE524309 LMI524308:LMI524309 LCM524308:LCM524309 KSQ524308:KSQ524309 KIU524308:KIU524309 JYY524308:JYY524309 JPC524308:JPC524309 JFG524308:JFG524309 IVK524308:IVK524309 ILO524308:ILO524309 IBS524308:IBS524309 HRW524308:HRW524309 HIA524308:HIA524309 GYE524308:GYE524309 GOI524308:GOI524309 GEM524308:GEM524309 FUQ524308:FUQ524309 FKU524308:FKU524309 FAY524308:FAY524309 ERC524308:ERC524309 EHG524308:EHG524309 DXK524308:DXK524309 DNO524308:DNO524309 DDS524308:DDS524309 CTW524308:CTW524309 CKA524308:CKA524309 CAE524308:CAE524309 BQI524308:BQI524309 BGM524308:BGM524309 AWQ524308:AWQ524309 AMU524308:AMU524309 ACY524308:ACY524309 TC524308:TC524309 JG524308:JG524309 K524308:K524309 WVS458772:WVS458773 WLW458772:WLW458773 WCA458772:WCA458773 VSE458772:VSE458773 VII458772:VII458773 UYM458772:UYM458773 UOQ458772:UOQ458773 UEU458772:UEU458773 TUY458772:TUY458773 TLC458772:TLC458773 TBG458772:TBG458773 SRK458772:SRK458773 SHO458772:SHO458773 RXS458772:RXS458773 RNW458772:RNW458773 REA458772:REA458773 QUE458772:QUE458773 QKI458772:QKI458773 QAM458772:QAM458773 PQQ458772:PQQ458773 PGU458772:PGU458773 OWY458772:OWY458773 ONC458772:ONC458773 ODG458772:ODG458773 NTK458772:NTK458773 NJO458772:NJO458773 MZS458772:MZS458773 MPW458772:MPW458773 MGA458772:MGA458773 LWE458772:LWE458773 LMI458772:LMI458773 LCM458772:LCM458773 KSQ458772:KSQ458773 KIU458772:KIU458773 JYY458772:JYY458773 JPC458772:JPC458773 JFG458772:JFG458773 IVK458772:IVK458773 ILO458772:ILO458773 IBS458772:IBS458773 HRW458772:HRW458773 HIA458772:HIA458773 GYE458772:GYE458773 GOI458772:GOI458773 GEM458772:GEM458773 FUQ458772:FUQ458773 FKU458772:FKU458773 FAY458772:FAY458773 ERC458772:ERC458773 EHG458772:EHG458773 DXK458772:DXK458773 DNO458772:DNO458773 DDS458772:DDS458773 CTW458772:CTW458773 CKA458772:CKA458773 CAE458772:CAE458773 BQI458772:BQI458773 BGM458772:BGM458773 AWQ458772:AWQ458773 AMU458772:AMU458773 ACY458772:ACY458773 TC458772:TC458773 JG458772:JG458773 K458772:K458773 WVS393236:WVS393237 WLW393236:WLW393237 WCA393236:WCA393237 VSE393236:VSE393237 VII393236:VII393237 UYM393236:UYM393237 UOQ393236:UOQ393237 UEU393236:UEU393237 TUY393236:TUY393237 TLC393236:TLC393237 TBG393236:TBG393237 SRK393236:SRK393237 SHO393236:SHO393237 RXS393236:RXS393237 RNW393236:RNW393237 REA393236:REA393237 QUE393236:QUE393237 QKI393236:QKI393237 QAM393236:QAM393237 PQQ393236:PQQ393237 PGU393236:PGU393237 OWY393236:OWY393237 ONC393236:ONC393237 ODG393236:ODG393237 NTK393236:NTK393237 NJO393236:NJO393237 MZS393236:MZS393237 MPW393236:MPW393237 MGA393236:MGA393237 LWE393236:LWE393237 LMI393236:LMI393237 LCM393236:LCM393237 KSQ393236:KSQ393237 KIU393236:KIU393237 JYY393236:JYY393237 JPC393236:JPC393237 JFG393236:JFG393237 IVK393236:IVK393237 ILO393236:ILO393237 IBS393236:IBS393237 HRW393236:HRW393237 HIA393236:HIA393237 GYE393236:GYE393237 GOI393236:GOI393237 GEM393236:GEM393237 FUQ393236:FUQ393237 FKU393236:FKU393237 FAY393236:FAY393237 ERC393236:ERC393237 EHG393236:EHG393237 DXK393236:DXK393237 DNO393236:DNO393237 DDS393236:DDS393237 CTW393236:CTW393237 CKA393236:CKA393237 CAE393236:CAE393237 BQI393236:BQI393237 BGM393236:BGM393237 AWQ393236:AWQ393237 AMU393236:AMU393237 ACY393236:ACY393237 TC393236:TC393237 JG393236:JG393237 K393236:K393237 WVS327700:WVS327701 WLW327700:WLW327701 WCA327700:WCA327701 VSE327700:VSE327701 VII327700:VII327701 UYM327700:UYM327701 UOQ327700:UOQ327701 UEU327700:UEU327701 TUY327700:TUY327701 TLC327700:TLC327701 TBG327700:TBG327701 SRK327700:SRK327701 SHO327700:SHO327701 RXS327700:RXS327701 RNW327700:RNW327701 REA327700:REA327701 QUE327700:QUE327701 QKI327700:QKI327701 QAM327700:QAM327701 PQQ327700:PQQ327701 PGU327700:PGU327701 OWY327700:OWY327701 ONC327700:ONC327701 ODG327700:ODG327701 NTK327700:NTK327701 NJO327700:NJO327701 MZS327700:MZS327701 MPW327700:MPW327701 MGA327700:MGA327701 LWE327700:LWE327701 LMI327700:LMI327701 LCM327700:LCM327701 KSQ327700:KSQ327701 KIU327700:KIU327701 JYY327700:JYY327701 JPC327700:JPC327701 JFG327700:JFG327701 IVK327700:IVK327701 ILO327700:ILO327701 IBS327700:IBS327701 HRW327700:HRW327701 HIA327700:HIA327701 GYE327700:GYE327701 GOI327700:GOI327701 GEM327700:GEM327701 FUQ327700:FUQ327701 FKU327700:FKU327701 FAY327700:FAY327701 ERC327700:ERC327701 EHG327700:EHG327701 DXK327700:DXK327701 DNO327700:DNO327701 DDS327700:DDS327701 CTW327700:CTW327701 CKA327700:CKA327701 CAE327700:CAE327701 BQI327700:BQI327701 BGM327700:BGM327701 AWQ327700:AWQ327701 AMU327700:AMU327701 ACY327700:ACY327701 TC327700:TC327701 JG327700:JG327701 K327700:K327701 WVS262164:WVS262165 WLW262164:WLW262165 WCA262164:WCA262165 VSE262164:VSE262165 VII262164:VII262165 UYM262164:UYM262165 UOQ262164:UOQ262165 UEU262164:UEU262165 TUY262164:TUY262165 TLC262164:TLC262165 TBG262164:TBG262165 SRK262164:SRK262165 SHO262164:SHO262165 RXS262164:RXS262165 RNW262164:RNW262165 REA262164:REA262165 QUE262164:QUE262165 QKI262164:QKI262165 QAM262164:QAM262165 PQQ262164:PQQ262165 PGU262164:PGU262165 OWY262164:OWY262165 ONC262164:ONC262165 ODG262164:ODG262165 NTK262164:NTK262165 NJO262164:NJO262165 MZS262164:MZS262165 MPW262164:MPW262165 MGA262164:MGA262165 LWE262164:LWE262165 LMI262164:LMI262165 LCM262164:LCM262165 KSQ262164:KSQ262165 KIU262164:KIU262165 JYY262164:JYY262165 JPC262164:JPC262165 JFG262164:JFG262165 IVK262164:IVK262165 ILO262164:ILO262165 IBS262164:IBS262165 HRW262164:HRW262165 HIA262164:HIA262165 GYE262164:GYE262165 GOI262164:GOI262165 GEM262164:GEM262165 FUQ262164:FUQ262165 FKU262164:FKU262165 FAY262164:FAY262165 ERC262164:ERC262165 EHG262164:EHG262165 DXK262164:DXK262165 DNO262164:DNO262165 DDS262164:DDS262165 CTW262164:CTW262165 CKA262164:CKA262165 CAE262164:CAE262165 BQI262164:BQI262165 BGM262164:BGM262165 AWQ262164:AWQ262165 AMU262164:AMU262165 ACY262164:ACY262165 TC262164:TC262165 JG262164:JG262165 K262164:K262165 WVS196628:WVS196629 WLW196628:WLW196629 WCA196628:WCA196629 VSE196628:VSE196629 VII196628:VII196629 UYM196628:UYM196629 UOQ196628:UOQ196629 UEU196628:UEU196629 TUY196628:TUY196629 TLC196628:TLC196629 TBG196628:TBG196629 SRK196628:SRK196629 SHO196628:SHO196629 RXS196628:RXS196629 RNW196628:RNW196629 REA196628:REA196629 QUE196628:QUE196629 QKI196628:QKI196629 QAM196628:QAM196629 PQQ196628:PQQ196629 PGU196628:PGU196629 OWY196628:OWY196629 ONC196628:ONC196629 ODG196628:ODG196629 NTK196628:NTK196629 NJO196628:NJO196629 MZS196628:MZS196629 MPW196628:MPW196629 MGA196628:MGA196629 LWE196628:LWE196629 LMI196628:LMI196629 LCM196628:LCM196629 KSQ196628:KSQ196629 KIU196628:KIU196629 JYY196628:JYY196629 JPC196628:JPC196629 JFG196628:JFG196629 IVK196628:IVK196629 ILO196628:ILO196629 IBS196628:IBS196629 HRW196628:HRW196629 HIA196628:HIA196629 GYE196628:GYE196629 GOI196628:GOI196629 GEM196628:GEM196629 FUQ196628:FUQ196629 FKU196628:FKU196629 FAY196628:FAY196629 ERC196628:ERC196629 EHG196628:EHG196629 DXK196628:DXK196629 DNO196628:DNO196629 DDS196628:DDS196629 CTW196628:CTW196629 CKA196628:CKA196629 CAE196628:CAE196629 BQI196628:BQI196629 BGM196628:BGM196629 AWQ196628:AWQ196629 AMU196628:AMU196629 ACY196628:ACY196629 TC196628:TC196629 JG196628:JG196629 K196628:K196629 WVS131092:WVS131093 WLW131092:WLW131093 WCA131092:WCA131093 VSE131092:VSE131093 VII131092:VII131093 UYM131092:UYM131093 UOQ131092:UOQ131093 UEU131092:UEU131093 TUY131092:TUY131093 TLC131092:TLC131093 TBG131092:TBG131093 SRK131092:SRK131093 SHO131092:SHO131093 RXS131092:RXS131093 RNW131092:RNW131093 REA131092:REA131093 QUE131092:QUE131093 QKI131092:QKI131093 QAM131092:QAM131093 PQQ131092:PQQ131093 PGU131092:PGU131093 OWY131092:OWY131093 ONC131092:ONC131093 ODG131092:ODG131093 NTK131092:NTK131093 NJO131092:NJO131093 MZS131092:MZS131093 MPW131092:MPW131093 MGA131092:MGA131093 LWE131092:LWE131093 LMI131092:LMI131093 LCM131092:LCM131093 KSQ131092:KSQ131093 KIU131092:KIU131093 JYY131092:JYY131093 JPC131092:JPC131093 JFG131092:JFG131093 IVK131092:IVK131093 ILO131092:ILO131093 IBS131092:IBS131093 HRW131092:HRW131093 HIA131092:HIA131093 GYE131092:GYE131093 GOI131092:GOI131093 GEM131092:GEM131093 FUQ131092:FUQ131093 FKU131092:FKU131093 FAY131092:FAY131093 ERC131092:ERC131093 EHG131092:EHG131093 DXK131092:DXK131093 DNO131092:DNO131093 DDS131092:DDS131093 CTW131092:CTW131093 CKA131092:CKA131093 CAE131092:CAE131093 BQI131092:BQI131093 BGM131092:BGM131093 AWQ131092:AWQ131093 AMU131092:AMU131093 ACY131092:ACY131093 TC131092:TC131093 JG131092:JG131093 K131092:K131093 WVS65556:WVS65557 WLW65556:WLW65557 WCA65556:WCA65557 VSE65556:VSE65557 VII65556:VII65557 UYM65556:UYM65557 UOQ65556:UOQ65557 UEU65556:UEU65557 TUY65556:TUY65557 TLC65556:TLC65557 TBG65556:TBG65557 SRK65556:SRK65557 SHO65556:SHO65557 RXS65556:RXS65557 RNW65556:RNW65557 REA65556:REA65557 QUE65556:QUE65557 QKI65556:QKI65557 QAM65556:QAM65557 PQQ65556:PQQ65557 PGU65556:PGU65557 OWY65556:OWY65557 ONC65556:ONC65557 ODG65556:ODG65557 NTK65556:NTK65557 NJO65556:NJO65557 MZS65556:MZS65557 MPW65556:MPW65557 MGA65556:MGA65557 LWE65556:LWE65557 LMI65556:LMI65557 LCM65556:LCM65557 KSQ65556:KSQ65557 KIU65556:KIU65557 JYY65556:JYY65557 JPC65556:JPC65557 JFG65556:JFG65557 IVK65556:IVK65557 ILO65556:ILO65557 IBS65556:IBS65557 HRW65556:HRW65557 HIA65556:HIA65557 GYE65556:GYE65557 GOI65556:GOI65557 GEM65556:GEM65557 FUQ65556:FUQ65557 FKU65556:FKU65557 FAY65556:FAY65557 ERC65556:ERC65557 EHG65556:EHG65557 DXK65556:DXK65557 DNO65556:DNO65557 DDS65556:DDS65557 CTW65556:CTW65557 CKA65556:CKA65557 CAE65556:CAE65557 BQI65556:BQI65557 BGM65556:BGM65557 AWQ65556:AWQ65557 AMU65556:AMU65557 ACY65556:ACY65557 TC65556:TC65557 JG65556:JG65557 K65556:K65557 WVY983061 WMC983061 WCG983061 VSK983061 VIO983061 UYS983061 UOW983061 UFA983061 TVE983061 TLI983061 TBM983061 SRQ983061 SHU983061 RXY983061 ROC983061 REG983061 QUK983061 QKO983061 QAS983061 PQW983061 PHA983061 OXE983061 ONI983061 ODM983061 NTQ983061 NJU983061 MZY983061 MQC983061 MGG983061 LWK983061 LMO983061 LCS983061 KSW983061 KJA983061 JZE983061 JPI983061 JFM983061 IVQ983061 ILU983061 IBY983061 HSC983061 HIG983061 GYK983061 GOO983061 GES983061 FUW983061 FLA983061 FBE983061 ERI983061 EHM983061 DXQ983061 DNU983061 DDY983061 CUC983061 CKG983061 CAK983061 BQO983061 BGS983061 AWW983061 ANA983061 ADE983061 TI983061 JM983061 Q983061 WVY917525 WMC917525 WCG917525 VSK917525 VIO917525 UYS917525 UOW917525 UFA917525 TVE917525 TLI917525 TBM917525 SRQ917525 SHU917525 RXY917525 ROC917525 REG917525 QUK917525 QKO917525 QAS917525 PQW917525 PHA917525 OXE917525 ONI917525 ODM917525 NTQ917525 NJU917525 MZY917525 MQC917525 MGG917525 LWK917525 LMO917525 LCS917525 KSW917525 KJA917525 JZE917525 JPI917525 JFM917525 IVQ917525 ILU917525 IBY917525 HSC917525 HIG917525 GYK917525 GOO917525 GES917525 FUW917525 FLA917525 FBE917525 ERI917525 EHM917525 DXQ917525 DNU917525 DDY917525 CUC917525 CKG917525 CAK917525 BQO917525 BGS917525 AWW917525 ANA917525 ADE917525 TI917525 JM917525 Q917525 WVY851989 WMC851989 WCG851989 VSK851989 VIO851989 UYS851989 UOW851989 UFA851989 TVE851989 TLI851989 TBM851989 SRQ851989 SHU851989 RXY851989 ROC851989 REG851989 QUK851989 QKO851989 QAS851989 PQW851989 PHA851989 OXE851989 ONI851989 ODM851989 NTQ851989 NJU851989 MZY851989 MQC851989 MGG851989 LWK851989 LMO851989 LCS851989 KSW851989 KJA851989 JZE851989 JPI851989 JFM851989 IVQ851989 ILU851989 IBY851989 HSC851989 HIG851989 GYK851989 GOO851989 GES851989 FUW851989 FLA851989 FBE851989 ERI851989 EHM851989 DXQ851989 DNU851989 DDY851989 CUC851989 CKG851989 CAK851989 BQO851989 BGS851989 AWW851989 ANA851989 ADE851989 TI851989 JM851989 Q851989 WVY786453 WMC786453 WCG786453 VSK786453 VIO786453 UYS786453 UOW786453 UFA786453 TVE786453 TLI786453 TBM786453 SRQ786453 SHU786453 RXY786453 ROC786453 REG786453 QUK786453 QKO786453 QAS786453 PQW786453 PHA786453 OXE786453 ONI786453 ODM786453 NTQ786453 NJU786453 MZY786453 MQC786453 MGG786453 LWK786453 LMO786453 LCS786453 KSW786453 KJA786453 JZE786453 JPI786453 JFM786453 IVQ786453 ILU786453 IBY786453 HSC786453 HIG786453 GYK786453 GOO786453 GES786453 FUW786453 FLA786453 FBE786453 ERI786453 EHM786453 DXQ786453 DNU786453 DDY786453 CUC786453 CKG786453 CAK786453 BQO786453 BGS786453 AWW786453 ANA786453 ADE786453 TI786453 JM786453 Q786453 WVY720917 WMC720917 WCG720917 VSK720917 VIO720917 UYS720917 UOW720917 UFA720917 TVE720917 TLI720917 TBM720917 SRQ720917 SHU720917 RXY720917 ROC720917 REG720917 QUK720917 QKO720917 QAS720917 PQW720917 PHA720917 OXE720917 ONI720917 ODM720917 NTQ720917 NJU720917 MZY720917 MQC720917 MGG720917 LWK720917 LMO720917 LCS720917 KSW720917 KJA720917 JZE720917 JPI720917 JFM720917 IVQ720917 ILU720917 IBY720917 HSC720917 HIG720917 GYK720917 GOO720917 GES720917 FUW720917 FLA720917 FBE720917 ERI720917 EHM720917 DXQ720917 DNU720917 DDY720917 CUC720917 CKG720917 CAK720917 BQO720917 BGS720917 AWW720917 ANA720917 ADE720917 TI720917 JM720917 Q720917 WVY655381 WMC655381 WCG655381 VSK655381 VIO655381 UYS655381 UOW655381 UFA655381 TVE655381 TLI655381 TBM655381 SRQ655381 SHU655381 RXY655381 ROC655381 REG655381 QUK655381 QKO655381 QAS655381 PQW655381 PHA655381 OXE655381 ONI655381 ODM655381 NTQ655381 NJU655381 MZY655381 MQC655381 MGG655381 LWK655381 LMO655381 LCS655381 KSW655381 KJA655381 JZE655381 JPI655381 JFM655381 IVQ655381 ILU655381 IBY655381 HSC655381 HIG655381 GYK655381 GOO655381 GES655381 FUW655381 FLA655381 FBE655381 ERI655381 EHM655381 DXQ655381 DNU655381 DDY655381 CUC655381 CKG655381 CAK655381 BQO655381 BGS655381 AWW655381 ANA655381 ADE655381 TI655381 JM655381 Q655381 WVY589845 WMC589845 WCG589845 VSK589845 VIO589845 UYS589845 UOW589845 UFA589845 TVE589845 TLI589845 TBM589845 SRQ589845 SHU589845 RXY589845 ROC589845 REG589845 QUK589845 QKO589845 QAS589845 PQW589845 PHA589845 OXE589845 ONI589845 ODM589845 NTQ589845 NJU589845 MZY589845 MQC589845 MGG589845 LWK589845 LMO589845 LCS589845 KSW589845 KJA589845 JZE589845 JPI589845 JFM589845 IVQ589845 ILU589845 IBY589845 HSC589845 HIG589845 GYK589845 GOO589845 GES589845 FUW589845 FLA589845 FBE589845 ERI589845 EHM589845 DXQ589845 DNU589845 DDY589845 CUC589845 CKG589845 CAK589845 BQO589845 BGS589845 AWW589845 ANA589845 ADE589845 TI589845 JM589845 Q589845 WVY524309 WMC524309 WCG524309 VSK524309 VIO524309 UYS524309 UOW524309 UFA524309 TVE524309 TLI524309 TBM524309 SRQ524309 SHU524309 RXY524309 ROC524309 REG524309 QUK524309 QKO524309 QAS524309 PQW524309 PHA524309 OXE524309 ONI524309 ODM524309 NTQ524309 NJU524309 MZY524309 MQC524309 MGG524309 LWK524309 LMO524309 LCS524309 KSW524309 KJA524309 JZE524309 JPI524309 JFM524309 IVQ524309 ILU524309 IBY524309 HSC524309 HIG524309 GYK524309 GOO524309 GES524309 FUW524309 FLA524309 FBE524309 ERI524309 EHM524309 DXQ524309 DNU524309 DDY524309 CUC524309 CKG524309 CAK524309 BQO524309 BGS524309 AWW524309 ANA524309 ADE524309 TI524309 JM524309 Q524309 WVY458773 WMC458773 WCG458773 VSK458773 VIO458773 UYS458773 UOW458773 UFA458773 TVE458773 TLI458773 TBM458773 SRQ458773 SHU458773 RXY458773 ROC458773 REG458773 QUK458773 QKO458773 QAS458773 PQW458773 PHA458773 OXE458773 ONI458773 ODM458773 NTQ458773 NJU458773 MZY458773 MQC458773 MGG458773 LWK458773 LMO458773 LCS458773 KSW458773 KJA458773 JZE458773 JPI458773 JFM458773 IVQ458773 ILU458773 IBY458773 HSC458773 HIG458773 GYK458773 GOO458773 GES458773 FUW458773 FLA458773 FBE458773 ERI458773 EHM458773 DXQ458773 DNU458773 DDY458773 CUC458773 CKG458773 CAK458773 BQO458773 BGS458773 AWW458773 ANA458773 ADE458773 TI458773 JM458773 Q458773 WVY393237 WMC393237 WCG393237 VSK393237 VIO393237 UYS393237 UOW393237 UFA393237 TVE393237 TLI393237 TBM393237 SRQ393237 SHU393237 RXY393237 ROC393237 REG393237 QUK393237 QKO393237 QAS393237 PQW393237 PHA393237 OXE393237 ONI393237 ODM393237 NTQ393237 NJU393237 MZY393237 MQC393237 MGG393237 LWK393237 LMO393237 LCS393237 KSW393237 KJA393237 JZE393237 JPI393237 JFM393237 IVQ393237 ILU393237 IBY393237 HSC393237 HIG393237 GYK393237 GOO393237 GES393237 FUW393237 FLA393237 FBE393237 ERI393237 EHM393237 DXQ393237 DNU393237 DDY393237 CUC393237 CKG393237 CAK393237 BQO393237 BGS393237 AWW393237 ANA393237 ADE393237 TI393237 JM393237 Q393237 WVY327701 WMC327701 WCG327701 VSK327701 VIO327701 UYS327701 UOW327701 UFA327701 TVE327701 TLI327701 TBM327701 SRQ327701 SHU327701 RXY327701 ROC327701 REG327701 QUK327701 QKO327701 QAS327701 PQW327701 PHA327701 OXE327701 ONI327701 ODM327701 NTQ327701 NJU327701 MZY327701 MQC327701 MGG327701 LWK327701 LMO327701 LCS327701 KSW327701 KJA327701 JZE327701 JPI327701 JFM327701 IVQ327701 ILU327701 IBY327701 HSC327701 HIG327701 GYK327701 GOO327701 GES327701 FUW327701 FLA327701 FBE327701 ERI327701 EHM327701 DXQ327701 DNU327701 DDY327701 CUC327701 CKG327701 CAK327701 BQO327701 BGS327701 AWW327701 ANA327701 ADE327701 TI327701 JM327701 Q327701 WVY262165 WMC262165 WCG262165 VSK262165 VIO262165 UYS262165 UOW262165 UFA262165 TVE262165 TLI262165 TBM262165 SRQ262165 SHU262165 RXY262165 ROC262165 REG262165 QUK262165 QKO262165 QAS262165 PQW262165 PHA262165 OXE262165 ONI262165 ODM262165 NTQ262165 NJU262165 MZY262165 MQC262165 MGG262165 LWK262165 LMO262165 LCS262165 KSW262165 KJA262165 JZE262165 JPI262165 JFM262165 IVQ262165 ILU262165 IBY262165 HSC262165 HIG262165 GYK262165 GOO262165 GES262165 FUW262165 FLA262165 FBE262165 ERI262165 EHM262165 DXQ262165 DNU262165 DDY262165 CUC262165 CKG262165 CAK262165 BQO262165 BGS262165 AWW262165 ANA262165 ADE262165 TI262165 JM262165 Q262165 WVY196629 WMC196629 WCG196629 VSK196629 VIO196629 UYS196629 UOW196629 UFA196629 TVE196629 TLI196629 TBM196629 SRQ196629 SHU196629 RXY196629 ROC196629 REG196629 QUK196629 QKO196629 QAS196629 PQW196629 PHA196629 OXE196629 ONI196629 ODM196629 NTQ196629 NJU196629 MZY196629 MQC196629 MGG196629 LWK196629 LMO196629 LCS196629 KSW196629 KJA196629 JZE196629 JPI196629 JFM196629 IVQ196629 ILU196629 IBY196629 HSC196629 HIG196629 GYK196629 GOO196629 GES196629 FUW196629 FLA196629 FBE196629 ERI196629 EHM196629 DXQ196629 DNU196629 DDY196629 CUC196629 CKG196629 CAK196629 BQO196629 BGS196629 AWW196629 ANA196629 ADE196629 TI196629 JM196629 Q196629 WVY131093 WMC131093 WCG131093 VSK131093 VIO131093 UYS131093 UOW131093 UFA131093 TVE131093 TLI131093 TBM131093 SRQ131093 SHU131093 RXY131093 ROC131093 REG131093 QUK131093 QKO131093 QAS131093 PQW131093 PHA131093 OXE131093 ONI131093 ODM131093 NTQ131093 NJU131093 MZY131093 MQC131093 MGG131093 LWK131093 LMO131093 LCS131093 KSW131093 KJA131093 JZE131093 JPI131093 JFM131093 IVQ131093 ILU131093 IBY131093 HSC131093 HIG131093 GYK131093 GOO131093 GES131093 FUW131093 FLA131093 FBE131093 ERI131093 EHM131093 DXQ131093 DNU131093 DDY131093 CUC131093 CKG131093 CAK131093 BQO131093 BGS131093 AWW131093 ANA131093 ADE131093 TI131093 JM131093 Q131093 WVY65557 WMC65557 WCG65557 VSK65557 VIO65557 UYS65557 UOW65557 UFA65557 TVE65557 TLI65557 TBM65557 SRQ65557 SHU65557 RXY65557 ROC65557 REG65557 QUK65557 QKO65557 QAS65557 PQW65557 PHA65557 OXE65557 ONI65557 ODM65557 NTQ65557 NJU65557 MZY65557 MQC65557 MGG65557 LWK65557 LMO65557 LCS65557 KSW65557 KJA65557 JZE65557 JPI65557 JFM65557 IVQ65557 ILU65557 IBY65557 HSC65557 HIG65557 GYK65557 GOO65557 GES65557 FUW65557 FLA65557 FBE65557 ERI65557 EHM65557 DXQ65557 DNU65557 DDY65557 CUC65557 CKG65557 CAK65557 BQO65557 BGS65557 AWW65557 ANA65557 ADE65557 TI65557 JM65557 Q65557 WVN983064:WVN983065 WLR983064:WLR983065 WBV983064:WBV983065 VRZ983064:VRZ983065 VID983064:VID983065 UYH983064:UYH983065 UOL983064:UOL983065 UEP983064:UEP983065 TUT983064:TUT983065 TKX983064:TKX983065 TBB983064:TBB983065 SRF983064:SRF983065 SHJ983064:SHJ983065 RXN983064:RXN983065 RNR983064:RNR983065 RDV983064:RDV983065 QTZ983064:QTZ983065 QKD983064:QKD983065 QAH983064:QAH983065 PQL983064:PQL983065 PGP983064:PGP983065 OWT983064:OWT983065 OMX983064:OMX983065 ODB983064:ODB983065 NTF983064:NTF983065 NJJ983064:NJJ983065 MZN983064:MZN983065 MPR983064:MPR983065 MFV983064:MFV983065 LVZ983064:LVZ983065 LMD983064:LMD983065 LCH983064:LCH983065 KSL983064:KSL983065 KIP983064:KIP983065 JYT983064:JYT983065 JOX983064:JOX983065 JFB983064:JFB983065 IVF983064:IVF983065 ILJ983064:ILJ983065 IBN983064:IBN983065 HRR983064:HRR983065 HHV983064:HHV983065 GXZ983064:GXZ983065 GOD983064:GOD983065 GEH983064:GEH983065 FUL983064:FUL983065 FKP983064:FKP983065 FAT983064:FAT983065 EQX983064:EQX983065 EHB983064:EHB983065 DXF983064:DXF983065 DNJ983064:DNJ983065 DDN983064:DDN983065 CTR983064:CTR983065 CJV983064:CJV983065 BZZ983064:BZZ983065 BQD983064:BQD983065 BGH983064:BGH983065 AWL983064:AWL983065 AMP983064:AMP983065 ACT983064:ACT983065 SX983064:SX983065 JB983064:JB983065 F983064:F983065 WVN917528:WVN917529 WLR917528:WLR917529 WBV917528:WBV917529 VRZ917528:VRZ917529 VID917528:VID917529 UYH917528:UYH917529 UOL917528:UOL917529 UEP917528:UEP917529 TUT917528:TUT917529 TKX917528:TKX917529 TBB917528:TBB917529 SRF917528:SRF917529 SHJ917528:SHJ917529 RXN917528:RXN917529 RNR917528:RNR917529 RDV917528:RDV917529 QTZ917528:QTZ917529 QKD917528:QKD917529 QAH917528:QAH917529 PQL917528:PQL917529 PGP917528:PGP917529 OWT917528:OWT917529 OMX917528:OMX917529 ODB917528:ODB917529 NTF917528:NTF917529 NJJ917528:NJJ917529 MZN917528:MZN917529 MPR917528:MPR917529 MFV917528:MFV917529 LVZ917528:LVZ917529 LMD917528:LMD917529 LCH917528:LCH917529 KSL917528:KSL917529 KIP917528:KIP917529 JYT917528:JYT917529 JOX917528:JOX917529 JFB917528:JFB917529 IVF917528:IVF917529 ILJ917528:ILJ917529 IBN917528:IBN917529 HRR917528:HRR917529 HHV917528:HHV917529 GXZ917528:GXZ917529 GOD917528:GOD917529 GEH917528:GEH917529 FUL917528:FUL917529 FKP917528:FKP917529 FAT917528:FAT917529 EQX917528:EQX917529 EHB917528:EHB917529 DXF917528:DXF917529 DNJ917528:DNJ917529 DDN917528:DDN917529 CTR917528:CTR917529 CJV917528:CJV917529 BZZ917528:BZZ917529 BQD917528:BQD917529 BGH917528:BGH917529 AWL917528:AWL917529 AMP917528:AMP917529 ACT917528:ACT917529 SX917528:SX917529 JB917528:JB917529 F917528:F917529 WVN851992:WVN851993 WLR851992:WLR851993 WBV851992:WBV851993 VRZ851992:VRZ851993 VID851992:VID851993 UYH851992:UYH851993 UOL851992:UOL851993 UEP851992:UEP851993 TUT851992:TUT851993 TKX851992:TKX851993 TBB851992:TBB851993 SRF851992:SRF851993 SHJ851992:SHJ851993 RXN851992:RXN851993 RNR851992:RNR851993 RDV851992:RDV851993 QTZ851992:QTZ851993 QKD851992:QKD851993 QAH851992:QAH851993 PQL851992:PQL851993 PGP851992:PGP851993 OWT851992:OWT851993 OMX851992:OMX851993 ODB851992:ODB851993 NTF851992:NTF851993 NJJ851992:NJJ851993 MZN851992:MZN851993 MPR851992:MPR851993 MFV851992:MFV851993 LVZ851992:LVZ851993 LMD851992:LMD851993 LCH851992:LCH851993 KSL851992:KSL851993 KIP851992:KIP851993 JYT851992:JYT851993 JOX851992:JOX851993 JFB851992:JFB851993 IVF851992:IVF851993 ILJ851992:ILJ851993 IBN851992:IBN851993 HRR851992:HRR851993 HHV851992:HHV851993 GXZ851992:GXZ851993 GOD851992:GOD851993 GEH851992:GEH851993 FUL851992:FUL851993 FKP851992:FKP851993 FAT851992:FAT851993 EQX851992:EQX851993 EHB851992:EHB851993 DXF851992:DXF851993 DNJ851992:DNJ851993 DDN851992:DDN851993 CTR851992:CTR851993 CJV851992:CJV851993 BZZ851992:BZZ851993 BQD851992:BQD851993 BGH851992:BGH851993 AWL851992:AWL851993 AMP851992:AMP851993 ACT851992:ACT851993 SX851992:SX851993 JB851992:JB851993 F851992:F851993 WVN786456:WVN786457 WLR786456:WLR786457 WBV786456:WBV786457 VRZ786456:VRZ786457 VID786456:VID786457 UYH786456:UYH786457 UOL786456:UOL786457 UEP786456:UEP786457 TUT786456:TUT786457 TKX786456:TKX786457 TBB786456:TBB786457 SRF786456:SRF786457 SHJ786456:SHJ786457 RXN786456:RXN786457 RNR786456:RNR786457 RDV786456:RDV786457 QTZ786456:QTZ786457 QKD786456:QKD786457 QAH786456:QAH786457 PQL786456:PQL786457 PGP786456:PGP786457 OWT786456:OWT786457 OMX786456:OMX786457 ODB786456:ODB786457 NTF786456:NTF786457 NJJ786456:NJJ786457 MZN786456:MZN786457 MPR786456:MPR786457 MFV786456:MFV786457 LVZ786456:LVZ786457 LMD786456:LMD786457 LCH786456:LCH786457 KSL786456:KSL786457 KIP786456:KIP786457 JYT786456:JYT786457 JOX786456:JOX786457 JFB786456:JFB786457 IVF786456:IVF786457 ILJ786456:ILJ786457 IBN786456:IBN786457 HRR786456:HRR786457 HHV786456:HHV786457 GXZ786456:GXZ786457 GOD786456:GOD786457 GEH786456:GEH786457 FUL786456:FUL786457 FKP786456:FKP786457 FAT786456:FAT786457 EQX786456:EQX786457 EHB786456:EHB786457 DXF786456:DXF786457 DNJ786456:DNJ786457 DDN786456:DDN786457 CTR786456:CTR786457 CJV786456:CJV786457 BZZ786456:BZZ786457 BQD786456:BQD786457 BGH786456:BGH786457 AWL786456:AWL786457 AMP786456:AMP786457 ACT786456:ACT786457 SX786456:SX786457 JB786456:JB786457 F786456:F786457 WVN720920:WVN720921 WLR720920:WLR720921 WBV720920:WBV720921 VRZ720920:VRZ720921 VID720920:VID720921 UYH720920:UYH720921 UOL720920:UOL720921 UEP720920:UEP720921 TUT720920:TUT720921 TKX720920:TKX720921 TBB720920:TBB720921 SRF720920:SRF720921 SHJ720920:SHJ720921 RXN720920:RXN720921 RNR720920:RNR720921 RDV720920:RDV720921 QTZ720920:QTZ720921 QKD720920:QKD720921 QAH720920:QAH720921 PQL720920:PQL720921 PGP720920:PGP720921 OWT720920:OWT720921 OMX720920:OMX720921 ODB720920:ODB720921 NTF720920:NTF720921 NJJ720920:NJJ720921 MZN720920:MZN720921 MPR720920:MPR720921 MFV720920:MFV720921 LVZ720920:LVZ720921 LMD720920:LMD720921 LCH720920:LCH720921 KSL720920:KSL720921 KIP720920:KIP720921 JYT720920:JYT720921 JOX720920:JOX720921 JFB720920:JFB720921 IVF720920:IVF720921 ILJ720920:ILJ720921 IBN720920:IBN720921 HRR720920:HRR720921 HHV720920:HHV720921 GXZ720920:GXZ720921 GOD720920:GOD720921 GEH720920:GEH720921 FUL720920:FUL720921 FKP720920:FKP720921 FAT720920:FAT720921 EQX720920:EQX720921 EHB720920:EHB720921 DXF720920:DXF720921 DNJ720920:DNJ720921 DDN720920:DDN720921 CTR720920:CTR720921 CJV720920:CJV720921 BZZ720920:BZZ720921 BQD720920:BQD720921 BGH720920:BGH720921 AWL720920:AWL720921 AMP720920:AMP720921 ACT720920:ACT720921 SX720920:SX720921 JB720920:JB720921 F720920:F720921 WVN655384:WVN655385 WLR655384:WLR655385 WBV655384:WBV655385 VRZ655384:VRZ655385 VID655384:VID655385 UYH655384:UYH655385 UOL655384:UOL655385 UEP655384:UEP655385 TUT655384:TUT655385 TKX655384:TKX655385 TBB655384:TBB655385 SRF655384:SRF655385 SHJ655384:SHJ655385 RXN655384:RXN655385 RNR655384:RNR655385 RDV655384:RDV655385 QTZ655384:QTZ655385 QKD655384:QKD655385 QAH655384:QAH655385 PQL655384:PQL655385 PGP655384:PGP655385 OWT655384:OWT655385 OMX655384:OMX655385 ODB655384:ODB655385 NTF655384:NTF655385 NJJ655384:NJJ655385 MZN655384:MZN655385 MPR655384:MPR655385 MFV655384:MFV655385 LVZ655384:LVZ655385 LMD655384:LMD655385 LCH655384:LCH655385 KSL655384:KSL655385 KIP655384:KIP655385 JYT655384:JYT655385 JOX655384:JOX655385 JFB655384:JFB655385 IVF655384:IVF655385 ILJ655384:ILJ655385 IBN655384:IBN655385 HRR655384:HRR655385 HHV655384:HHV655385 GXZ655384:GXZ655385 GOD655384:GOD655385 GEH655384:GEH655385 FUL655384:FUL655385 FKP655384:FKP655385 FAT655384:FAT655385 EQX655384:EQX655385 EHB655384:EHB655385 DXF655384:DXF655385 DNJ655384:DNJ655385 DDN655384:DDN655385 CTR655384:CTR655385 CJV655384:CJV655385 BZZ655384:BZZ655385 BQD655384:BQD655385 BGH655384:BGH655385 AWL655384:AWL655385 AMP655384:AMP655385 ACT655384:ACT655385 SX655384:SX655385 JB655384:JB655385 F655384:F655385 WVN589848:WVN589849 WLR589848:WLR589849 WBV589848:WBV589849 VRZ589848:VRZ589849 VID589848:VID589849 UYH589848:UYH589849 UOL589848:UOL589849 UEP589848:UEP589849 TUT589848:TUT589849 TKX589848:TKX589849 TBB589848:TBB589849 SRF589848:SRF589849 SHJ589848:SHJ589849 RXN589848:RXN589849 RNR589848:RNR589849 RDV589848:RDV589849 QTZ589848:QTZ589849 QKD589848:QKD589849 QAH589848:QAH589849 PQL589848:PQL589849 PGP589848:PGP589849 OWT589848:OWT589849 OMX589848:OMX589849 ODB589848:ODB589849 NTF589848:NTF589849 NJJ589848:NJJ589849 MZN589848:MZN589849 MPR589848:MPR589849 MFV589848:MFV589849 LVZ589848:LVZ589849 LMD589848:LMD589849 LCH589848:LCH589849 KSL589848:KSL589849 KIP589848:KIP589849 JYT589848:JYT589849 JOX589848:JOX589849 JFB589848:JFB589849 IVF589848:IVF589849 ILJ589848:ILJ589849 IBN589848:IBN589849 HRR589848:HRR589849 HHV589848:HHV589849 GXZ589848:GXZ589849 GOD589848:GOD589849 GEH589848:GEH589849 FUL589848:FUL589849 FKP589848:FKP589849 FAT589848:FAT589849 EQX589848:EQX589849 EHB589848:EHB589849 DXF589848:DXF589849 DNJ589848:DNJ589849 DDN589848:DDN589849 CTR589848:CTR589849 CJV589848:CJV589849 BZZ589848:BZZ589849 BQD589848:BQD589849 BGH589848:BGH589849 AWL589848:AWL589849 AMP589848:AMP589849 ACT589848:ACT589849 SX589848:SX589849 JB589848:JB589849 F589848:F589849 WVN524312:WVN524313 WLR524312:WLR524313 WBV524312:WBV524313 VRZ524312:VRZ524313 VID524312:VID524313 UYH524312:UYH524313 UOL524312:UOL524313 UEP524312:UEP524313 TUT524312:TUT524313 TKX524312:TKX524313 TBB524312:TBB524313 SRF524312:SRF524313 SHJ524312:SHJ524313 RXN524312:RXN524313 RNR524312:RNR524313 RDV524312:RDV524313 QTZ524312:QTZ524313 QKD524312:QKD524313 QAH524312:QAH524313 PQL524312:PQL524313 PGP524312:PGP524313 OWT524312:OWT524313 OMX524312:OMX524313 ODB524312:ODB524313 NTF524312:NTF524313 NJJ524312:NJJ524313 MZN524312:MZN524313 MPR524312:MPR524313 MFV524312:MFV524313 LVZ524312:LVZ524313 LMD524312:LMD524313 LCH524312:LCH524313 KSL524312:KSL524313 KIP524312:KIP524313 JYT524312:JYT524313 JOX524312:JOX524313 JFB524312:JFB524313 IVF524312:IVF524313 ILJ524312:ILJ524313 IBN524312:IBN524313 HRR524312:HRR524313 HHV524312:HHV524313 GXZ524312:GXZ524313 GOD524312:GOD524313 GEH524312:GEH524313 FUL524312:FUL524313 FKP524312:FKP524313 FAT524312:FAT524313 EQX524312:EQX524313 EHB524312:EHB524313 DXF524312:DXF524313 DNJ524312:DNJ524313 DDN524312:DDN524313 CTR524312:CTR524313 CJV524312:CJV524313 BZZ524312:BZZ524313 BQD524312:BQD524313 BGH524312:BGH524313 AWL524312:AWL524313 AMP524312:AMP524313 ACT524312:ACT524313 SX524312:SX524313 JB524312:JB524313 F524312:F524313 WVN458776:WVN458777 WLR458776:WLR458777 WBV458776:WBV458777 VRZ458776:VRZ458777 VID458776:VID458777 UYH458776:UYH458777 UOL458776:UOL458777 UEP458776:UEP458777 TUT458776:TUT458777 TKX458776:TKX458777 TBB458776:TBB458777 SRF458776:SRF458777 SHJ458776:SHJ458777 RXN458776:RXN458777 RNR458776:RNR458777 RDV458776:RDV458777 QTZ458776:QTZ458777 QKD458776:QKD458777 QAH458776:QAH458777 PQL458776:PQL458777 PGP458776:PGP458777 OWT458776:OWT458777 OMX458776:OMX458777 ODB458776:ODB458777 NTF458776:NTF458777 NJJ458776:NJJ458777 MZN458776:MZN458777 MPR458776:MPR458777 MFV458776:MFV458777 LVZ458776:LVZ458777 LMD458776:LMD458777 LCH458776:LCH458777 KSL458776:KSL458777 KIP458776:KIP458777 JYT458776:JYT458777 JOX458776:JOX458777 JFB458776:JFB458777 IVF458776:IVF458777 ILJ458776:ILJ458777 IBN458776:IBN458777 HRR458776:HRR458777 HHV458776:HHV458777 GXZ458776:GXZ458777 GOD458776:GOD458777 GEH458776:GEH458777 FUL458776:FUL458777 FKP458776:FKP458777 FAT458776:FAT458777 EQX458776:EQX458777 EHB458776:EHB458777 DXF458776:DXF458777 DNJ458776:DNJ458777 DDN458776:DDN458777 CTR458776:CTR458777 CJV458776:CJV458777 BZZ458776:BZZ458777 BQD458776:BQD458777 BGH458776:BGH458777 AWL458776:AWL458777 AMP458776:AMP458777 ACT458776:ACT458777 SX458776:SX458777 JB458776:JB458777 F458776:F458777 WVN393240:WVN393241 WLR393240:WLR393241 WBV393240:WBV393241 VRZ393240:VRZ393241 VID393240:VID393241 UYH393240:UYH393241 UOL393240:UOL393241 UEP393240:UEP393241 TUT393240:TUT393241 TKX393240:TKX393241 TBB393240:TBB393241 SRF393240:SRF393241 SHJ393240:SHJ393241 RXN393240:RXN393241 RNR393240:RNR393241 RDV393240:RDV393241 QTZ393240:QTZ393241 QKD393240:QKD393241 QAH393240:QAH393241 PQL393240:PQL393241 PGP393240:PGP393241 OWT393240:OWT393241 OMX393240:OMX393241 ODB393240:ODB393241 NTF393240:NTF393241 NJJ393240:NJJ393241 MZN393240:MZN393241 MPR393240:MPR393241 MFV393240:MFV393241 LVZ393240:LVZ393241 LMD393240:LMD393241 LCH393240:LCH393241 KSL393240:KSL393241 KIP393240:KIP393241 JYT393240:JYT393241 JOX393240:JOX393241 JFB393240:JFB393241 IVF393240:IVF393241 ILJ393240:ILJ393241 IBN393240:IBN393241 HRR393240:HRR393241 HHV393240:HHV393241 GXZ393240:GXZ393241 GOD393240:GOD393241 GEH393240:GEH393241 FUL393240:FUL393241 FKP393240:FKP393241 FAT393240:FAT393241 EQX393240:EQX393241 EHB393240:EHB393241 DXF393240:DXF393241 DNJ393240:DNJ393241 DDN393240:DDN393241 CTR393240:CTR393241 CJV393240:CJV393241 BZZ393240:BZZ393241 BQD393240:BQD393241 BGH393240:BGH393241 AWL393240:AWL393241 AMP393240:AMP393241 ACT393240:ACT393241 SX393240:SX393241 JB393240:JB393241 F393240:F393241 WVN327704:WVN327705 WLR327704:WLR327705 WBV327704:WBV327705 VRZ327704:VRZ327705 VID327704:VID327705 UYH327704:UYH327705 UOL327704:UOL327705 UEP327704:UEP327705 TUT327704:TUT327705 TKX327704:TKX327705 TBB327704:TBB327705 SRF327704:SRF327705 SHJ327704:SHJ327705 RXN327704:RXN327705 RNR327704:RNR327705 RDV327704:RDV327705 QTZ327704:QTZ327705 QKD327704:QKD327705 QAH327704:QAH327705 PQL327704:PQL327705 PGP327704:PGP327705 OWT327704:OWT327705 OMX327704:OMX327705 ODB327704:ODB327705 NTF327704:NTF327705 NJJ327704:NJJ327705 MZN327704:MZN327705 MPR327704:MPR327705 MFV327704:MFV327705 LVZ327704:LVZ327705 LMD327704:LMD327705 LCH327704:LCH327705 KSL327704:KSL327705 KIP327704:KIP327705 JYT327704:JYT327705 JOX327704:JOX327705 JFB327704:JFB327705 IVF327704:IVF327705 ILJ327704:ILJ327705 IBN327704:IBN327705 HRR327704:HRR327705 HHV327704:HHV327705 GXZ327704:GXZ327705 GOD327704:GOD327705 GEH327704:GEH327705 FUL327704:FUL327705 FKP327704:FKP327705 FAT327704:FAT327705 EQX327704:EQX327705 EHB327704:EHB327705 DXF327704:DXF327705 DNJ327704:DNJ327705 DDN327704:DDN327705 CTR327704:CTR327705 CJV327704:CJV327705 BZZ327704:BZZ327705 BQD327704:BQD327705 BGH327704:BGH327705 AWL327704:AWL327705 AMP327704:AMP327705 ACT327704:ACT327705 SX327704:SX327705 JB327704:JB327705 F327704:F327705 WVN262168:WVN262169 WLR262168:WLR262169 WBV262168:WBV262169 VRZ262168:VRZ262169 VID262168:VID262169 UYH262168:UYH262169 UOL262168:UOL262169 UEP262168:UEP262169 TUT262168:TUT262169 TKX262168:TKX262169 TBB262168:TBB262169 SRF262168:SRF262169 SHJ262168:SHJ262169 RXN262168:RXN262169 RNR262168:RNR262169 RDV262168:RDV262169 QTZ262168:QTZ262169 QKD262168:QKD262169 QAH262168:QAH262169 PQL262168:PQL262169 PGP262168:PGP262169 OWT262168:OWT262169 OMX262168:OMX262169 ODB262168:ODB262169 NTF262168:NTF262169 NJJ262168:NJJ262169 MZN262168:MZN262169 MPR262168:MPR262169 MFV262168:MFV262169 LVZ262168:LVZ262169 LMD262168:LMD262169 LCH262168:LCH262169 KSL262168:KSL262169 KIP262168:KIP262169 JYT262168:JYT262169 JOX262168:JOX262169 JFB262168:JFB262169 IVF262168:IVF262169 ILJ262168:ILJ262169 IBN262168:IBN262169 HRR262168:HRR262169 HHV262168:HHV262169 GXZ262168:GXZ262169 GOD262168:GOD262169 GEH262168:GEH262169 FUL262168:FUL262169 FKP262168:FKP262169 FAT262168:FAT262169 EQX262168:EQX262169 EHB262168:EHB262169 DXF262168:DXF262169 DNJ262168:DNJ262169 DDN262168:DDN262169 CTR262168:CTR262169 CJV262168:CJV262169 BZZ262168:BZZ262169 BQD262168:BQD262169 BGH262168:BGH262169 AWL262168:AWL262169 AMP262168:AMP262169 ACT262168:ACT262169 SX262168:SX262169 JB262168:JB262169 F262168:F262169 WVN196632:WVN196633 WLR196632:WLR196633 WBV196632:WBV196633 VRZ196632:VRZ196633 VID196632:VID196633 UYH196632:UYH196633 UOL196632:UOL196633 UEP196632:UEP196633 TUT196632:TUT196633 TKX196632:TKX196633 TBB196632:TBB196633 SRF196632:SRF196633 SHJ196632:SHJ196633 RXN196632:RXN196633 RNR196632:RNR196633 RDV196632:RDV196633 QTZ196632:QTZ196633 QKD196632:QKD196633 QAH196632:QAH196633 PQL196632:PQL196633 PGP196632:PGP196633 OWT196632:OWT196633 OMX196632:OMX196633 ODB196632:ODB196633 NTF196632:NTF196633 NJJ196632:NJJ196633 MZN196632:MZN196633 MPR196632:MPR196633 MFV196632:MFV196633 LVZ196632:LVZ196633 LMD196632:LMD196633 LCH196632:LCH196633 KSL196632:KSL196633 KIP196632:KIP196633 JYT196632:JYT196633 JOX196632:JOX196633 JFB196632:JFB196633 IVF196632:IVF196633 ILJ196632:ILJ196633 IBN196632:IBN196633 HRR196632:HRR196633 HHV196632:HHV196633 GXZ196632:GXZ196633 GOD196632:GOD196633 GEH196632:GEH196633 FUL196632:FUL196633 FKP196632:FKP196633 FAT196632:FAT196633 EQX196632:EQX196633 EHB196632:EHB196633 DXF196632:DXF196633 DNJ196632:DNJ196633 DDN196632:DDN196633 CTR196632:CTR196633 CJV196632:CJV196633 BZZ196632:BZZ196633 BQD196632:BQD196633 BGH196632:BGH196633 AWL196632:AWL196633 AMP196632:AMP196633 ACT196632:ACT196633 SX196632:SX196633 JB196632:JB196633 F196632:F196633 WVN131096:WVN131097 WLR131096:WLR131097 WBV131096:WBV131097 VRZ131096:VRZ131097 VID131096:VID131097 UYH131096:UYH131097 UOL131096:UOL131097 UEP131096:UEP131097 TUT131096:TUT131097 TKX131096:TKX131097 TBB131096:TBB131097 SRF131096:SRF131097 SHJ131096:SHJ131097 RXN131096:RXN131097 RNR131096:RNR131097 RDV131096:RDV131097 QTZ131096:QTZ131097 QKD131096:QKD131097 QAH131096:QAH131097 PQL131096:PQL131097 PGP131096:PGP131097 OWT131096:OWT131097 OMX131096:OMX131097 ODB131096:ODB131097 NTF131096:NTF131097 NJJ131096:NJJ131097 MZN131096:MZN131097 MPR131096:MPR131097 MFV131096:MFV131097 LVZ131096:LVZ131097 LMD131096:LMD131097 LCH131096:LCH131097 KSL131096:KSL131097 KIP131096:KIP131097 JYT131096:JYT131097 JOX131096:JOX131097 JFB131096:JFB131097 IVF131096:IVF131097 ILJ131096:ILJ131097 IBN131096:IBN131097 HRR131096:HRR131097 HHV131096:HHV131097 GXZ131096:GXZ131097 GOD131096:GOD131097 GEH131096:GEH131097 FUL131096:FUL131097 FKP131096:FKP131097 FAT131096:FAT131097 EQX131096:EQX131097 EHB131096:EHB131097 DXF131096:DXF131097 DNJ131096:DNJ131097 DDN131096:DDN131097 CTR131096:CTR131097 CJV131096:CJV131097 BZZ131096:BZZ131097 BQD131096:BQD131097 BGH131096:BGH131097 AWL131096:AWL131097 AMP131096:AMP131097 ACT131096:ACT131097 SX131096:SX131097 JB131096:JB131097 F131096:F131097 WVN65560:WVN65561 WLR65560:WLR65561 WBV65560:WBV65561 VRZ65560:VRZ65561 VID65560:VID65561 UYH65560:UYH65561 UOL65560:UOL65561 UEP65560:UEP65561 TUT65560:TUT65561 TKX65560:TKX65561 TBB65560:TBB65561 SRF65560:SRF65561 SHJ65560:SHJ65561 RXN65560:RXN65561 RNR65560:RNR65561 RDV65560:RDV65561 QTZ65560:QTZ65561 QKD65560:QKD65561 QAH65560:QAH65561 PQL65560:PQL65561 PGP65560:PGP65561 OWT65560:OWT65561 OMX65560:OMX65561 ODB65560:ODB65561 NTF65560:NTF65561 NJJ65560:NJJ65561 MZN65560:MZN65561 MPR65560:MPR65561 MFV65560:MFV65561 LVZ65560:LVZ65561 LMD65560:LMD65561 LCH65560:LCH65561 KSL65560:KSL65561 KIP65560:KIP65561 JYT65560:JYT65561 JOX65560:JOX65561 JFB65560:JFB65561 IVF65560:IVF65561 ILJ65560:ILJ65561 IBN65560:IBN65561 HRR65560:HRR65561 HHV65560:HHV65561 GXZ65560:GXZ65561 GOD65560:GOD65561 GEH65560:GEH65561 FUL65560:FUL65561 FKP65560:FKP65561 FAT65560:FAT65561 EQX65560:EQX65561 EHB65560:EHB65561 DXF65560:DXF65561 DNJ65560:DNJ65561 DDN65560:DDN65561 CTR65560:CTR65561 CJV65560:CJV65561 BZZ65560:BZZ65561 BQD65560:BQD65561 BGH65560:BGH65561 AWL65560:AWL65561 AMP65560:AMP65561 ACT65560:ACT65561 SX65560:SX65561 JB65560:JB65561 F65560:F65561 WVX983064 WMB983064 WCF983064 VSJ983064 VIN983064 UYR983064 UOV983064 UEZ983064 TVD983064 TLH983064 TBL983064 SRP983064 SHT983064 RXX983064 ROB983064 REF983064 QUJ983064 QKN983064 QAR983064 PQV983064 PGZ983064 OXD983064 ONH983064 ODL983064 NTP983064 NJT983064 MZX983064 MQB983064 MGF983064 LWJ983064 LMN983064 LCR983064 KSV983064 KIZ983064 JZD983064 JPH983064 JFL983064 IVP983064 ILT983064 IBX983064 HSB983064 HIF983064 GYJ983064 GON983064 GER983064 FUV983064 FKZ983064 FBD983064 ERH983064 EHL983064 DXP983064 DNT983064 DDX983064 CUB983064 CKF983064 CAJ983064 BQN983064 BGR983064 AWV983064 AMZ983064 ADD983064 TH983064 JL983064 P983064 WVX917528 WMB917528 WCF917528 VSJ917528 VIN917528 UYR917528 UOV917528 UEZ917528 TVD917528 TLH917528 TBL917528 SRP917528 SHT917528 RXX917528 ROB917528 REF917528 QUJ917528 QKN917528 QAR917528 PQV917528 PGZ917528 OXD917528 ONH917528 ODL917528 NTP917528 NJT917528 MZX917528 MQB917528 MGF917528 LWJ917528 LMN917528 LCR917528 KSV917528 KIZ917528 JZD917528 JPH917528 JFL917528 IVP917528 ILT917528 IBX917528 HSB917528 HIF917528 GYJ917528 GON917528 GER917528 FUV917528 FKZ917528 FBD917528 ERH917528 EHL917528 DXP917528 DNT917528 DDX917528 CUB917528 CKF917528 CAJ917528 BQN917528 BGR917528 AWV917528 AMZ917528 ADD917528 TH917528 JL917528 P917528 WVX851992 WMB851992 WCF851992 VSJ851992 VIN851992 UYR851992 UOV851992 UEZ851992 TVD851992 TLH851992 TBL851992 SRP851992 SHT851992 RXX851992 ROB851992 REF851992 QUJ851992 QKN851992 QAR851992 PQV851992 PGZ851992 OXD851992 ONH851992 ODL851992 NTP851992 NJT851992 MZX851992 MQB851992 MGF851992 LWJ851992 LMN851992 LCR851992 KSV851992 KIZ851992 JZD851992 JPH851992 JFL851992 IVP851992 ILT851992 IBX851992 HSB851992 HIF851992 GYJ851992 GON851992 GER851992 FUV851992 FKZ851992 FBD851992 ERH851992 EHL851992 DXP851992 DNT851992 DDX851992 CUB851992 CKF851992 CAJ851992 BQN851992 BGR851992 AWV851992 AMZ851992 ADD851992 TH851992 JL851992 P851992 WVX786456 WMB786456 WCF786456 VSJ786456 VIN786456 UYR786456 UOV786456 UEZ786456 TVD786456 TLH786456 TBL786456 SRP786456 SHT786456 RXX786456 ROB786456 REF786456 QUJ786456 QKN786456 QAR786456 PQV786456 PGZ786456 OXD786456 ONH786456 ODL786456 NTP786456 NJT786456 MZX786456 MQB786456 MGF786456 LWJ786456 LMN786456 LCR786456 KSV786456 KIZ786456 JZD786456 JPH786456 JFL786456 IVP786456 ILT786456 IBX786456 HSB786456 HIF786456 GYJ786456 GON786456 GER786456 FUV786456 FKZ786456 FBD786456 ERH786456 EHL786456 DXP786456 DNT786456 DDX786456 CUB786456 CKF786456 CAJ786456 BQN786456 BGR786456 AWV786456 AMZ786456 ADD786456 TH786456 JL786456 P786456 WVX720920 WMB720920 WCF720920 VSJ720920 VIN720920 UYR720920 UOV720920 UEZ720920 TVD720920 TLH720920 TBL720920 SRP720920 SHT720920 RXX720920 ROB720920 REF720920 QUJ720920 QKN720920 QAR720920 PQV720920 PGZ720920 OXD720920 ONH720920 ODL720920 NTP720920 NJT720920 MZX720920 MQB720920 MGF720920 LWJ720920 LMN720920 LCR720920 KSV720920 KIZ720920 JZD720920 JPH720920 JFL720920 IVP720920 ILT720920 IBX720920 HSB720920 HIF720920 GYJ720920 GON720920 GER720920 FUV720920 FKZ720920 FBD720920 ERH720920 EHL720920 DXP720920 DNT720920 DDX720920 CUB720920 CKF720920 CAJ720920 BQN720920 BGR720920 AWV720920 AMZ720920 ADD720920 TH720920 JL720920 P720920 WVX655384 WMB655384 WCF655384 VSJ655384 VIN655384 UYR655384 UOV655384 UEZ655384 TVD655384 TLH655384 TBL655384 SRP655384 SHT655384 RXX655384 ROB655384 REF655384 QUJ655384 QKN655384 QAR655384 PQV655384 PGZ655384 OXD655384 ONH655384 ODL655384 NTP655384 NJT655384 MZX655384 MQB655384 MGF655384 LWJ655384 LMN655384 LCR655384 KSV655384 KIZ655384 JZD655384 JPH655384 JFL655384 IVP655384 ILT655384 IBX655384 HSB655384 HIF655384 GYJ655384 GON655384 GER655384 FUV655384 FKZ655384 FBD655384 ERH655384 EHL655384 DXP655384 DNT655384 DDX655384 CUB655384 CKF655384 CAJ655384 BQN655384 BGR655384 AWV655384 AMZ655384 ADD655384 TH655384 JL655384 P655384 WVX589848 WMB589848 WCF589848 VSJ589848 VIN589848 UYR589848 UOV589848 UEZ589848 TVD589848 TLH589848 TBL589848 SRP589848 SHT589848 RXX589848 ROB589848 REF589848 QUJ589848 QKN589848 QAR589848 PQV589848 PGZ589848 OXD589848 ONH589848 ODL589848 NTP589848 NJT589848 MZX589848 MQB589848 MGF589848 LWJ589848 LMN589848 LCR589848 KSV589848 KIZ589848 JZD589848 JPH589848 JFL589848 IVP589848 ILT589848 IBX589848 HSB589848 HIF589848 GYJ589848 GON589848 GER589848 FUV589848 FKZ589848 FBD589848 ERH589848 EHL589848 DXP589848 DNT589848 DDX589848 CUB589848 CKF589848 CAJ589848 BQN589848 BGR589848 AWV589848 AMZ589848 ADD589848 TH589848 JL589848 P589848 WVX524312 WMB524312 WCF524312 VSJ524312 VIN524312 UYR524312 UOV524312 UEZ524312 TVD524312 TLH524312 TBL524312 SRP524312 SHT524312 RXX524312 ROB524312 REF524312 QUJ524312 QKN524312 QAR524312 PQV524312 PGZ524312 OXD524312 ONH524312 ODL524312 NTP524312 NJT524312 MZX524312 MQB524312 MGF524312 LWJ524312 LMN524312 LCR524312 KSV524312 KIZ524312 JZD524312 JPH524312 JFL524312 IVP524312 ILT524312 IBX524312 HSB524312 HIF524312 GYJ524312 GON524312 GER524312 FUV524312 FKZ524312 FBD524312 ERH524312 EHL524312 DXP524312 DNT524312 DDX524312 CUB524312 CKF524312 CAJ524312 BQN524312 BGR524312 AWV524312 AMZ524312 ADD524312 TH524312 JL524312 P524312 WVX458776 WMB458776 WCF458776 VSJ458776 VIN458776 UYR458776 UOV458776 UEZ458776 TVD458776 TLH458776 TBL458776 SRP458776 SHT458776 RXX458776 ROB458776 REF458776 QUJ458776 QKN458776 QAR458776 PQV458776 PGZ458776 OXD458776 ONH458776 ODL458776 NTP458776 NJT458776 MZX458776 MQB458776 MGF458776 LWJ458776 LMN458776 LCR458776 KSV458776 KIZ458776 JZD458776 JPH458776 JFL458776 IVP458776 ILT458776 IBX458776 HSB458776 HIF458776 GYJ458776 GON458776 GER458776 FUV458776 FKZ458776 FBD458776 ERH458776 EHL458776 DXP458776 DNT458776 DDX458776 CUB458776 CKF458776 CAJ458776 BQN458776 BGR458776 AWV458776 AMZ458776 ADD458776 TH458776 JL458776 P458776 WVX393240 WMB393240 WCF393240 VSJ393240 VIN393240 UYR393240 UOV393240 UEZ393240 TVD393240 TLH393240 TBL393240 SRP393240 SHT393240 RXX393240 ROB393240 REF393240 QUJ393240 QKN393240 QAR393240 PQV393240 PGZ393240 OXD393240 ONH393240 ODL393240 NTP393240 NJT393240 MZX393240 MQB393240 MGF393240 LWJ393240 LMN393240 LCR393240 KSV393240 KIZ393240 JZD393240 JPH393240 JFL393240 IVP393240 ILT393240 IBX393240 HSB393240 HIF393240 GYJ393240 GON393240 GER393240 FUV393240 FKZ393240 FBD393240 ERH393240 EHL393240 DXP393240 DNT393240 DDX393240 CUB393240 CKF393240 CAJ393240 BQN393240 BGR393240 AWV393240 AMZ393240 ADD393240 TH393240 JL393240 P393240 WVX327704 WMB327704 WCF327704 VSJ327704 VIN327704 UYR327704 UOV327704 UEZ327704 TVD327704 TLH327704 TBL327704 SRP327704 SHT327704 RXX327704 ROB327704 REF327704 QUJ327704 QKN327704 QAR327704 PQV327704 PGZ327704 OXD327704 ONH327704 ODL327704 NTP327704 NJT327704 MZX327704 MQB327704 MGF327704 LWJ327704 LMN327704 LCR327704 KSV327704 KIZ327704 JZD327704 JPH327704 JFL327704 IVP327704 ILT327704 IBX327704 HSB327704 HIF327704 GYJ327704 GON327704 GER327704 FUV327704 FKZ327704 FBD327704 ERH327704 EHL327704 DXP327704 DNT327704 DDX327704 CUB327704 CKF327704 CAJ327704 BQN327704 BGR327704 AWV327704 AMZ327704 ADD327704 TH327704 JL327704 P327704 WVX262168 WMB262168 WCF262168 VSJ262168 VIN262168 UYR262168 UOV262168 UEZ262168 TVD262168 TLH262168 TBL262168 SRP262168 SHT262168 RXX262168 ROB262168 REF262168 QUJ262168 QKN262168 QAR262168 PQV262168 PGZ262168 OXD262168 ONH262168 ODL262168 NTP262168 NJT262168 MZX262168 MQB262168 MGF262168 LWJ262168 LMN262168 LCR262168 KSV262168 KIZ262168 JZD262168 JPH262168 JFL262168 IVP262168 ILT262168 IBX262168 HSB262168 HIF262168 GYJ262168 GON262168 GER262168 FUV262168 FKZ262168 FBD262168 ERH262168 EHL262168 DXP262168 DNT262168 DDX262168 CUB262168 CKF262168 CAJ262168 BQN262168 BGR262168 AWV262168 AMZ262168 ADD262168 TH262168 JL262168 P262168 WVX196632 WMB196632 WCF196632 VSJ196632 VIN196632 UYR196632 UOV196632 UEZ196632 TVD196632 TLH196632 TBL196632 SRP196632 SHT196632 RXX196632 ROB196632 REF196632 QUJ196632 QKN196632 QAR196632 PQV196632 PGZ196632 OXD196632 ONH196632 ODL196632 NTP196632 NJT196632 MZX196632 MQB196632 MGF196632 LWJ196632 LMN196632 LCR196632 KSV196632 KIZ196632 JZD196632 JPH196632 JFL196632 IVP196632 ILT196632 IBX196632 HSB196632 HIF196632 GYJ196632 GON196632 GER196632 FUV196632 FKZ196632 FBD196632 ERH196632 EHL196632 DXP196632 DNT196632 DDX196632 CUB196632 CKF196632 CAJ196632 BQN196632 BGR196632 AWV196632 AMZ196632 ADD196632 TH196632 JL196632 P196632 WVX131096 WMB131096 WCF131096 VSJ131096 VIN131096 UYR131096 UOV131096 UEZ131096 TVD131096 TLH131096 TBL131096 SRP131096 SHT131096 RXX131096 ROB131096 REF131096 QUJ131096 QKN131096 QAR131096 PQV131096 PGZ131096 OXD131096 ONH131096 ODL131096 NTP131096 NJT131096 MZX131096 MQB131096 MGF131096 LWJ131096 LMN131096 LCR131096 KSV131096 KIZ131096 JZD131096 JPH131096 JFL131096 IVP131096 ILT131096 IBX131096 HSB131096 HIF131096 GYJ131096 GON131096 GER131096 FUV131096 FKZ131096 FBD131096 ERH131096 EHL131096 DXP131096 DNT131096 DDX131096 CUB131096 CKF131096 CAJ131096 BQN131096 BGR131096 AWV131096 AMZ131096 ADD131096 TH131096 JL131096 P131096 WVX65560 WMB65560 WCF65560 VSJ65560 VIN65560 UYR65560 UOV65560 UEZ65560 TVD65560 TLH65560 TBL65560 SRP65560 SHT65560 RXX65560 ROB65560 REF65560 QUJ65560 QKN65560 QAR65560 PQV65560 PGZ65560 OXD65560 ONH65560 ODL65560 NTP65560 NJT65560 MZX65560 MQB65560 MGF65560 LWJ65560 LMN65560 LCR65560 KSV65560 KIZ65560 JZD65560 JPH65560 JFL65560 IVP65560 ILT65560 IBX65560 HSB65560 HIF65560 GYJ65560 GON65560 GER65560 FUV65560 FKZ65560 FBD65560 ERH65560 EHL65560 DXP65560 DNT65560 DDX65560 CUB65560 CKF65560 CAJ65560 BQN65560 BGR65560 AWV65560 AMZ65560 ADD65560 TH65560 JL65560 P65560 WVN983068 WLR983068 WBV983068 VRZ983068 VID983068 UYH983068 UOL983068 UEP983068 TUT983068 TKX983068 TBB983068 SRF983068 SHJ983068 RXN983068 RNR983068 RDV983068 QTZ983068 QKD983068 QAH983068 PQL983068 PGP983068 OWT983068 OMX983068 ODB983068 NTF983068 NJJ983068 MZN983068 MPR983068 MFV983068 LVZ983068 LMD983068 LCH983068 KSL983068 KIP983068 JYT983068 JOX983068 JFB983068 IVF983068 ILJ983068 IBN983068 HRR983068 HHV983068 GXZ983068 GOD983068 GEH983068 FUL983068 FKP983068 FAT983068 EQX983068 EHB983068 DXF983068 DNJ983068 DDN983068 CTR983068 CJV983068 BZZ983068 BQD983068 BGH983068 AWL983068 AMP983068 ACT983068 SX983068 JB983068 F983068 WVN917532 WLR917532 WBV917532 VRZ917532 VID917532 UYH917532 UOL917532 UEP917532 TUT917532 TKX917532 TBB917532 SRF917532 SHJ917532 RXN917532 RNR917532 RDV917532 QTZ917532 QKD917532 QAH917532 PQL917532 PGP917532 OWT917532 OMX917532 ODB917532 NTF917532 NJJ917532 MZN917532 MPR917532 MFV917532 LVZ917532 LMD917532 LCH917532 KSL917532 KIP917532 JYT917532 JOX917532 JFB917532 IVF917532 ILJ917532 IBN917532 HRR917532 HHV917532 GXZ917532 GOD917532 GEH917532 FUL917532 FKP917532 FAT917532 EQX917532 EHB917532 DXF917532 DNJ917532 DDN917532 CTR917532 CJV917532 BZZ917532 BQD917532 BGH917532 AWL917532 AMP917532 ACT917532 SX917532 JB917532 F917532 WVN851996 WLR851996 WBV851996 VRZ851996 VID851996 UYH851996 UOL851996 UEP851996 TUT851996 TKX851996 TBB851996 SRF851996 SHJ851996 RXN851996 RNR851996 RDV851996 QTZ851996 QKD851996 QAH851996 PQL851996 PGP851996 OWT851996 OMX851996 ODB851996 NTF851996 NJJ851996 MZN851996 MPR851996 MFV851996 LVZ851996 LMD851996 LCH851996 KSL851996 KIP851996 JYT851996 JOX851996 JFB851996 IVF851996 ILJ851996 IBN851996 HRR851996 HHV851996 GXZ851996 GOD851996 GEH851996 FUL851996 FKP851996 FAT851996 EQX851996 EHB851996 DXF851996 DNJ851996 DDN851996 CTR851996 CJV851996 BZZ851996 BQD851996 BGH851996 AWL851996 AMP851996 ACT851996 SX851996 JB851996 F851996 WVN786460 WLR786460 WBV786460 VRZ786460 VID786460 UYH786460 UOL786460 UEP786460 TUT786460 TKX786460 TBB786460 SRF786460 SHJ786460 RXN786460 RNR786460 RDV786460 QTZ786460 QKD786460 QAH786460 PQL786460 PGP786460 OWT786460 OMX786460 ODB786460 NTF786460 NJJ786460 MZN786460 MPR786460 MFV786460 LVZ786460 LMD786460 LCH786460 KSL786460 KIP786460 JYT786460 JOX786460 JFB786460 IVF786460 ILJ786460 IBN786460 HRR786460 HHV786460 GXZ786460 GOD786460 GEH786460 FUL786460 FKP786460 FAT786460 EQX786460 EHB786460 DXF786460 DNJ786460 DDN786460 CTR786460 CJV786460 BZZ786460 BQD786460 BGH786460 AWL786460 AMP786460 ACT786460 SX786460 JB786460 F786460 WVN720924 WLR720924 WBV720924 VRZ720924 VID720924 UYH720924 UOL720924 UEP720924 TUT720924 TKX720924 TBB720924 SRF720924 SHJ720924 RXN720924 RNR720924 RDV720924 QTZ720924 QKD720924 QAH720924 PQL720924 PGP720924 OWT720924 OMX720924 ODB720924 NTF720924 NJJ720924 MZN720924 MPR720924 MFV720924 LVZ720924 LMD720924 LCH720924 KSL720924 KIP720924 JYT720924 JOX720924 JFB720924 IVF720924 ILJ720924 IBN720924 HRR720924 HHV720924 GXZ720924 GOD720924 GEH720924 FUL720924 FKP720924 FAT720924 EQX720924 EHB720924 DXF720924 DNJ720924 DDN720924 CTR720924 CJV720924 BZZ720924 BQD720924 BGH720924 AWL720924 AMP720924 ACT720924 SX720924 JB720924 F720924 WVN655388 WLR655388 WBV655388 VRZ655388 VID655388 UYH655388 UOL655388 UEP655388 TUT655388 TKX655388 TBB655388 SRF655388 SHJ655388 RXN655388 RNR655388 RDV655388 QTZ655388 QKD655388 QAH655388 PQL655388 PGP655388 OWT655388 OMX655388 ODB655388 NTF655388 NJJ655388 MZN655388 MPR655388 MFV655388 LVZ655388 LMD655388 LCH655388 KSL655388 KIP655388 JYT655388 JOX655388 JFB655388 IVF655388 ILJ655388 IBN655388 HRR655388 HHV655388 GXZ655388 GOD655388 GEH655388 FUL655388 FKP655388 FAT655388 EQX655388 EHB655388 DXF655388 DNJ655388 DDN655388 CTR655388 CJV655388 BZZ655388 BQD655388 BGH655388 AWL655388 AMP655388 ACT655388 SX655388 JB655388 F655388 WVN589852 WLR589852 WBV589852 VRZ589852 VID589852 UYH589852 UOL589852 UEP589852 TUT589852 TKX589852 TBB589852 SRF589852 SHJ589852 RXN589852 RNR589852 RDV589852 QTZ589852 QKD589852 QAH589852 PQL589852 PGP589852 OWT589852 OMX589852 ODB589852 NTF589852 NJJ589852 MZN589852 MPR589852 MFV589852 LVZ589852 LMD589852 LCH589852 KSL589852 KIP589852 JYT589852 JOX589852 JFB589852 IVF589852 ILJ589852 IBN589852 HRR589852 HHV589852 GXZ589852 GOD589852 GEH589852 FUL589852 FKP589852 FAT589852 EQX589852 EHB589852 DXF589852 DNJ589852 DDN589852 CTR589852 CJV589852 BZZ589852 BQD589852 BGH589852 AWL589852 AMP589852 ACT589852 SX589852 JB589852 F589852 WVN524316 WLR524316 WBV524316 VRZ524316 VID524316 UYH524316 UOL524316 UEP524316 TUT524316 TKX524316 TBB524316 SRF524316 SHJ524316 RXN524316 RNR524316 RDV524316 QTZ524316 QKD524316 QAH524316 PQL524316 PGP524316 OWT524316 OMX524316 ODB524316 NTF524316 NJJ524316 MZN524316 MPR524316 MFV524316 LVZ524316 LMD524316 LCH524316 KSL524316 KIP524316 JYT524316 JOX524316 JFB524316 IVF524316 ILJ524316 IBN524316 HRR524316 HHV524316 GXZ524316 GOD524316 GEH524316 FUL524316 FKP524316 FAT524316 EQX524316 EHB524316 DXF524316 DNJ524316 DDN524316 CTR524316 CJV524316 BZZ524316 BQD524316 BGH524316 AWL524316 AMP524316 ACT524316 SX524316 JB524316 F524316 WVN458780 WLR458780 WBV458780 VRZ458780 VID458780 UYH458780 UOL458780 UEP458780 TUT458780 TKX458780 TBB458780 SRF458780 SHJ458780 RXN458780 RNR458780 RDV458780 QTZ458780 QKD458780 QAH458780 PQL458780 PGP458780 OWT458780 OMX458780 ODB458780 NTF458780 NJJ458780 MZN458780 MPR458780 MFV458780 LVZ458780 LMD458780 LCH458780 KSL458780 KIP458780 JYT458780 JOX458780 JFB458780 IVF458780 ILJ458780 IBN458780 HRR458780 HHV458780 GXZ458780 GOD458780 GEH458780 FUL458780 FKP458780 FAT458780 EQX458780 EHB458780 DXF458780 DNJ458780 DDN458780 CTR458780 CJV458780 BZZ458780 BQD458780 BGH458780 AWL458780 AMP458780 ACT458780 SX458780 JB458780 F458780 WVN393244 WLR393244 WBV393244 VRZ393244 VID393244 UYH393244 UOL393244 UEP393244 TUT393244 TKX393244 TBB393244 SRF393244 SHJ393244 RXN393244 RNR393244 RDV393244 QTZ393244 QKD393244 QAH393244 PQL393244 PGP393244 OWT393244 OMX393244 ODB393244 NTF393244 NJJ393244 MZN393244 MPR393244 MFV393244 LVZ393244 LMD393244 LCH393244 KSL393244 KIP393244 JYT393244 JOX393244 JFB393244 IVF393244 ILJ393244 IBN393244 HRR393244 HHV393244 GXZ393244 GOD393244 GEH393244 FUL393244 FKP393244 FAT393244 EQX393244 EHB393244 DXF393244 DNJ393244 DDN393244 CTR393244 CJV393244 BZZ393244 BQD393244 BGH393244 AWL393244 AMP393244 ACT393244 SX393244 JB393244 F393244 WVN327708 WLR327708 WBV327708 VRZ327708 VID327708 UYH327708 UOL327708 UEP327708 TUT327708 TKX327708 TBB327708 SRF327708 SHJ327708 RXN327708 RNR327708 RDV327708 QTZ327708 QKD327708 QAH327708 PQL327708 PGP327708 OWT327708 OMX327708 ODB327708 NTF327708 NJJ327708 MZN327708 MPR327708 MFV327708 LVZ327708 LMD327708 LCH327708 KSL327708 KIP327708 JYT327708 JOX327708 JFB327708 IVF327708 ILJ327708 IBN327708 HRR327708 HHV327708 GXZ327708 GOD327708 GEH327708 FUL327708 FKP327708 FAT327708 EQX327708 EHB327708 DXF327708 DNJ327708 DDN327708 CTR327708 CJV327708 BZZ327708 BQD327708 BGH327708 AWL327708 AMP327708 ACT327708 SX327708 JB327708 F327708 WVN262172 WLR262172 WBV262172 VRZ262172 VID262172 UYH262172 UOL262172 UEP262172 TUT262172 TKX262172 TBB262172 SRF262172 SHJ262172 RXN262172 RNR262172 RDV262172 QTZ262172 QKD262172 QAH262172 PQL262172 PGP262172 OWT262172 OMX262172 ODB262172 NTF262172 NJJ262172 MZN262172 MPR262172 MFV262172 LVZ262172 LMD262172 LCH262172 KSL262172 KIP262172 JYT262172 JOX262172 JFB262172 IVF262172 ILJ262172 IBN262172 HRR262172 HHV262172 GXZ262172 GOD262172 GEH262172 FUL262172 FKP262172 FAT262172 EQX262172 EHB262172 DXF262172 DNJ262172 DDN262172 CTR262172 CJV262172 BZZ262172 BQD262172 BGH262172 AWL262172 AMP262172 ACT262172 SX262172 JB262172 F262172 WVN196636 WLR196636 WBV196636 VRZ196636 VID196636 UYH196636 UOL196636 UEP196636 TUT196636 TKX196636 TBB196636 SRF196636 SHJ196636 RXN196636 RNR196636 RDV196636 QTZ196636 QKD196636 QAH196636 PQL196636 PGP196636 OWT196636 OMX196636 ODB196636 NTF196636 NJJ196636 MZN196636 MPR196636 MFV196636 LVZ196636 LMD196636 LCH196636 KSL196636 KIP196636 JYT196636 JOX196636 JFB196636 IVF196636 ILJ196636 IBN196636 HRR196636 HHV196636 GXZ196636 GOD196636 GEH196636 FUL196636 FKP196636 FAT196636 EQX196636 EHB196636 DXF196636 DNJ196636 DDN196636 CTR196636 CJV196636 BZZ196636 BQD196636 BGH196636 AWL196636 AMP196636 ACT196636 SX196636 JB196636 F196636 WVN131100 WLR131100 WBV131100 VRZ131100 VID131100 UYH131100 UOL131100 UEP131100 TUT131100 TKX131100 TBB131100 SRF131100 SHJ131100 RXN131100 RNR131100 RDV131100 QTZ131100 QKD131100 QAH131100 PQL131100 PGP131100 OWT131100 OMX131100 ODB131100 NTF131100 NJJ131100 MZN131100 MPR131100 MFV131100 LVZ131100 LMD131100 LCH131100 KSL131100 KIP131100 JYT131100 JOX131100 JFB131100 IVF131100 ILJ131100 IBN131100 HRR131100 HHV131100 GXZ131100 GOD131100 GEH131100 FUL131100 FKP131100 FAT131100 EQX131100 EHB131100 DXF131100 DNJ131100 DDN131100 CTR131100 CJV131100 BZZ131100 BQD131100 BGH131100 AWL131100 AMP131100 ACT131100 SX131100 JB131100 F131100 WVN65564 WLR65564 WBV65564 VRZ65564 VID65564 UYH65564 UOL65564 UEP65564 TUT65564 TKX65564 TBB65564 SRF65564 SHJ65564 RXN65564 RNR65564 RDV65564 QTZ65564 QKD65564 QAH65564 PQL65564 PGP65564 OWT65564 OMX65564 ODB65564 NTF65564 NJJ65564 MZN65564 MPR65564 MFV65564 LVZ65564 LMD65564 LCH65564 KSL65564 KIP65564 JYT65564 JOX65564 JFB65564 IVF65564 ILJ65564 IBN65564 HRR65564 HHV65564 GXZ65564 GOD65564 GEH65564 FUL65564 FKP65564 FAT65564 EQX65564 EHB65564 DXF65564 DNJ65564 DDN65564 CTR65564 CJV65564 BZZ65564 BQD65564 BGH65564 AWL65564 AMP65564 ACT65564 SX65564 JB65564 F65564 WVO983070:WVO983073 WLS983070:WLS983073 WBW983070:WBW983073 VSA983070:VSA983073 VIE983070:VIE983073 UYI983070:UYI983073 UOM983070:UOM983073 UEQ983070:UEQ983073 TUU983070:TUU983073 TKY983070:TKY983073 TBC983070:TBC983073 SRG983070:SRG983073 SHK983070:SHK983073 RXO983070:RXO983073 RNS983070:RNS983073 RDW983070:RDW983073 QUA983070:QUA983073 QKE983070:QKE983073 QAI983070:QAI983073 PQM983070:PQM983073 PGQ983070:PGQ983073 OWU983070:OWU983073 OMY983070:OMY983073 ODC983070:ODC983073 NTG983070:NTG983073 NJK983070:NJK983073 MZO983070:MZO983073 MPS983070:MPS983073 MFW983070:MFW983073 LWA983070:LWA983073 LME983070:LME983073 LCI983070:LCI983073 KSM983070:KSM983073 KIQ983070:KIQ983073 JYU983070:JYU983073 JOY983070:JOY983073 JFC983070:JFC983073 IVG983070:IVG983073 ILK983070:ILK983073 IBO983070:IBO983073 HRS983070:HRS983073 HHW983070:HHW983073 GYA983070:GYA983073 GOE983070:GOE983073 GEI983070:GEI983073 FUM983070:FUM983073 FKQ983070:FKQ983073 FAU983070:FAU983073 EQY983070:EQY983073 EHC983070:EHC983073 DXG983070:DXG983073 DNK983070:DNK983073 DDO983070:DDO983073 CTS983070:CTS983073 CJW983070:CJW983073 CAA983070:CAA983073 BQE983070:BQE983073 BGI983070:BGI983073 AWM983070:AWM983073 AMQ983070:AMQ983073 ACU983070:ACU983073 SY983070:SY983073 JC983070:JC983073 G983070:G983073 WVO917534:WVO917537 WLS917534:WLS917537 WBW917534:WBW917537 VSA917534:VSA917537 VIE917534:VIE917537 UYI917534:UYI917537 UOM917534:UOM917537 UEQ917534:UEQ917537 TUU917534:TUU917537 TKY917534:TKY917537 TBC917534:TBC917537 SRG917534:SRG917537 SHK917534:SHK917537 RXO917534:RXO917537 RNS917534:RNS917537 RDW917534:RDW917537 QUA917534:QUA917537 QKE917534:QKE917537 QAI917534:QAI917537 PQM917534:PQM917537 PGQ917534:PGQ917537 OWU917534:OWU917537 OMY917534:OMY917537 ODC917534:ODC917537 NTG917534:NTG917537 NJK917534:NJK917537 MZO917534:MZO917537 MPS917534:MPS917537 MFW917534:MFW917537 LWA917534:LWA917537 LME917534:LME917537 LCI917534:LCI917537 KSM917534:KSM917537 KIQ917534:KIQ917537 JYU917534:JYU917537 JOY917534:JOY917537 JFC917534:JFC917537 IVG917534:IVG917537 ILK917534:ILK917537 IBO917534:IBO917537 HRS917534:HRS917537 HHW917534:HHW917537 GYA917534:GYA917537 GOE917534:GOE917537 GEI917534:GEI917537 FUM917534:FUM917537 FKQ917534:FKQ917537 FAU917534:FAU917537 EQY917534:EQY917537 EHC917534:EHC917537 DXG917534:DXG917537 DNK917534:DNK917537 DDO917534:DDO917537 CTS917534:CTS917537 CJW917534:CJW917537 CAA917534:CAA917537 BQE917534:BQE917537 BGI917534:BGI917537 AWM917534:AWM917537 AMQ917534:AMQ917537 ACU917534:ACU917537 SY917534:SY917537 JC917534:JC917537 G917534:G917537 WVO851998:WVO852001 WLS851998:WLS852001 WBW851998:WBW852001 VSA851998:VSA852001 VIE851998:VIE852001 UYI851998:UYI852001 UOM851998:UOM852001 UEQ851998:UEQ852001 TUU851998:TUU852001 TKY851998:TKY852001 TBC851998:TBC852001 SRG851998:SRG852001 SHK851998:SHK852001 RXO851998:RXO852001 RNS851998:RNS852001 RDW851998:RDW852001 QUA851998:QUA852001 QKE851998:QKE852001 QAI851998:QAI852001 PQM851998:PQM852001 PGQ851998:PGQ852001 OWU851998:OWU852001 OMY851998:OMY852001 ODC851998:ODC852001 NTG851998:NTG852001 NJK851998:NJK852001 MZO851998:MZO852001 MPS851998:MPS852001 MFW851998:MFW852001 LWA851998:LWA852001 LME851998:LME852001 LCI851998:LCI852001 KSM851998:KSM852001 KIQ851998:KIQ852001 JYU851998:JYU852001 JOY851998:JOY852001 JFC851998:JFC852001 IVG851998:IVG852001 ILK851998:ILK852001 IBO851998:IBO852001 HRS851998:HRS852001 HHW851998:HHW852001 GYA851998:GYA852001 GOE851998:GOE852001 GEI851998:GEI852001 FUM851998:FUM852001 FKQ851998:FKQ852001 FAU851998:FAU852001 EQY851998:EQY852001 EHC851998:EHC852001 DXG851998:DXG852001 DNK851998:DNK852001 DDO851998:DDO852001 CTS851998:CTS852001 CJW851998:CJW852001 CAA851998:CAA852001 BQE851998:BQE852001 BGI851998:BGI852001 AWM851998:AWM852001 AMQ851998:AMQ852001 ACU851998:ACU852001 SY851998:SY852001 JC851998:JC852001 G851998:G852001 WVO786462:WVO786465 WLS786462:WLS786465 WBW786462:WBW786465 VSA786462:VSA786465 VIE786462:VIE786465 UYI786462:UYI786465 UOM786462:UOM786465 UEQ786462:UEQ786465 TUU786462:TUU786465 TKY786462:TKY786465 TBC786462:TBC786465 SRG786462:SRG786465 SHK786462:SHK786465 RXO786462:RXO786465 RNS786462:RNS786465 RDW786462:RDW786465 QUA786462:QUA786465 QKE786462:QKE786465 QAI786462:QAI786465 PQM786462:PQM786465 PGQ786462:PGQ786465 OWU786462:OWU786465 OMY786462:OMY786465 ODC786462:ODC786465 NTG786462:NTG786465 NJK786462:NJK786465 MZO786462:MZO786465 MPS786462:MPS786465 MFW786462:MFW786465 LWA786462:LWA786465 LME786462:LME786465 LCI786462:LCI786465 KSM786462:KSM786465 KIQ786462:KIQ786465 JYU786462:JYU786465 JOY786462:JOY786465 JFC786462:JFC786465 IVG786462:IVG786465 ILK786462:ILK786465 IBO786462:IBO786465 HRS786462:HRS786465 HHW786462:HHW786465 GYA786462:GYA786465 GOE786462:GOE786465 GEI786462:GEI786465 FUM786462:FUM786465 FKQ786462:FKQ786465 FAU786462:FAU786465 EQY786462:EQY786465 EHC786462:EHC786465 DXG786462:DXG786465 DNK786462:DNK786465 DDO786462:DDO786465 CTS786462:CTS786465 CJW786462:CJW786465 CAA786462:CAA786465 BQE786462:BQE786465 BGI786462:BGI786465 AWM786462:AWM786465 AMQ786462:AMQ786465 ACU786462:ACU786465 SY786462:SY786465 JC786462:JC786465 G786462:G786465 WVO720926:WVO720929 WLS720926:WLS720929 WBW720926:WBW720929 VSA720926:VSA720929 VIE720926:VIE720929 UYI720926:UYI720929 UOM720926:UOM720929 UEQ720926:UEQ720929 TUU720926:TUU720929 TKY720926:TKY720929 TBC720926:TBC720929 SRG720926:SRG720929 SHK720926:SHK720929 RXO720926:RXO720929 RNS720926:RNS720929 RDW720926:RDW720929 QUA720926:QUA720929 QKE720926:QKE720929 QAI720926:QAI720929 PQM720926:PQM720929 PGQ720926:PGQ720929 OWU720926:OWU720929 OMY720926:OMY720929 ODC720926:ODC720929 NTG720926:NTG720929 NJK720926:NJK720929 MZO720926:MZO720929 MPS720926:MPS720929 MFW720926:MFW720929 LWA720926:LWA720929 LME720926:LME720929 LCI720926:LCI720929 KSM720926:KSM720929 KIQ720926:KIQ720929 JYU720926:JYU720929 JOY720926:JOY720929 JFC720926:JFC720929 IVG720926:IVG720929 ILK720926:ILK720929 IBO720926:IBO720929 HRS720926:HRS720929 HHW720926:HHW720929 GYA720926:GYA720929 GOE720926:GOE720929 GEI720926:GEI720929 FUM720926:FUM720929 FKQ720926:FKQ720929 FAU720926:FAU720929 EQY720926:EQY720929 EHC720926:EHC720929 DXG720926:DXG720929 DNK720926:DNK720929 DDO720926:DDO720929 CTS720926:CTS720929 CJW720926:CJW720929 CAA720926:CAA720929 BQE720926:BQE720929 BGI720926:BGI720929 AWM720926:AWM720929 AMQ720926:AMQ720929 ACU720926:ACU720929 SY720926:SY720929 JC720926:JC720929 G720926:G720929 WVO655390:WVO655393 WLS655390:WLS655393 WBW655390:WBW655393 VSA655390:VSA655393 VIE655390:VIE655393 UYI655390:UYI655393 UOM655390:UOM655393 UEQ655390:UEQ655393 TUU655390:TUU655393 TKY655390:TKY655393 TBC655390:TBC655393 SRG655390:SRG655393 SHK655390:SHK655393 RXO655390:RXO655393 RNS655390:RNS655393 RDW655390:RDW655393 QUA655390:QUA655393 QKE655390:QKE655393 QAI655390:QAI655393 PQM655390:PQM655393 PGQ655390:PGQ655393 OWU655390:OWU655393 OMY655390:OMY655393 ODC655390:ODC655393 NTG655390:NTG655393 NJK655390:NJK655393 MZO655390:MZO655393 MPS655390:MPS655393 MFW655390:MFW655393 LWA655390:LWA655393 LME655390:LME655393 LCI655390:LCI655393 KSM655390:KSM655393 KIQ655390:KIQ655393 JYU655390:JYU655393 JOY655390:JOY655393 JFC655390:JFC655393 IVG655390:IVG655393 ILK655390:ILK655393 IBO655390:IBO655393 HRS655390:HRS655393 HHW655390:HHW655393 GYA655390:GYA655393 GOE655390:GOE655393 GEI655390:GEI655393 FUM655390:FUM655393 FKQ655390:FKQ655393 FAU655390:FAU655393 EQY655390:EQY655393 EHC655390:EHC655393 DXG655390:DXG655393 DNK655390:DNK655393 DDO655390:DDO655393 CTS655390:CTS655393 CJW655390:CJW655393 CAA655390:CAA655393 BQE655390:BQE655393 BGI655390:BGI655393 AWM655390:AWM655393 AMQ655390:AMQ655393 ACU655390:ACU655393 SY655390:SY655393 JC655390:JC655393 G655390:G655393 WVO589854:WVO589857 WLS589854:WLS589857 WBW589854:WBW589857 VSA589854:VSA589857 VIE589854:VIE589857 UYI589854:UYI589857 UOM589854:UOM589857 UEQ589854:UEQ589857 TUU589854:TUU589857 TKY589854:TKY589857 TBC589854:TBC589857 SRG589854:SRG589857 SHK589854:SHK589857 RXO589854:RXO589857 RNS589854:RNS589857 RDW589854:RDW589857 QUA589854:QUA589857 QKE589854:QKE589857 QAI589854:QAI589857 PQM589854:PQM589857 PGQ589854:PGQ589857 OWU589854:OWU589857 OMY589854:OMY589857 ODC589854:ODC589857 NTG589854:NTG589857 NJK589854:NJK589857 MZO589854:MZO589857 MPS589854:MPS589857 MFW589854:MFW589857 LWA589854:LWA589857 LME589854:LME589857 LCI589854:LCI589857 KSM589854:KSM589857 KIQ589854:KIQ589857 JYU589854:JYU589857 JOY589854:JOY589857 JFC589854:JFC589857 IVG589854:IVG589857 ILK589854:ILK589857 IBO589854:IBO589857 HRS589854:HRS589857 HHW589854:HHW589857 GYA589854:GYA589857 GOE589854:GOE589857 GEI589854:GEI589857 FUM589854:FUM589857 FKQ589854:FKQ589857 FAU589854:FAU589857 EQY589854:EQY589857 EHC589854:EHC589857 DXG589854:DXG589857 DNK589854:DNK589857 DDO589854:DDO589857 CTS589854:CTS589857 CJW589854:CJW589857 CAA589854:CAA589857 BQE589854:BQE589857 BGI589854:BGI589857 AWM589854:AWM589857 AMQ589854:AMQ589857 ACU589854:ACU589857 SY589854:SY589857 JC589854:JC589857 G589854:G589857 WVO524318:WVO524321 WLS524318:WLS524321 WBW524318:WBW524321 VSA524318:VSA524321 VIE524318:VIE524321 UYI524318:UYI524321 UOM524318:UOM524321 UEQ524318:UEQ524321 TUU524318:TUU524321 TKY524318:TKY524321 TBC524318:TBC524321 SRG524318:SRG524321 SHK524318:SHK524321 RXO524318:RXO524321 RNS524318:RNS524321 RDW524318:RDW524321 QUA524318:QUA524321 QKE524318:QKE524321 QAI524318:QAI524321 PQM524318:PQM524321 PGQ524318:PGQ524321 OWU524318:OWU524321 OMY524318:OMY524321 ODC524318:ODC524321 NTG524318:NTG524321 NJK524318:NJK524321 MZO524318:MZO524321 MPS524318:MPS524321 MFW524318:MFW524321 LWA524318:LWA524321 LME524318:LME524321 LCI524318:LCI524321 KSM524318:KSM524321 KIQ524318:KIQ524321 JYU524318:JYU524321 JOY524318:JOY524321 JFC524318:JFC524321 IVG524318:IVG524321 ILK524318:ILK524321 IBO524318:IBO524321 HRS524318:HRS524321 HHW524318:HHW524321 GYA524318:GYA524321 GOE524318:GOE524321 GEI524318:GEI524321 FUM524318:FUM524321 FKQ524318:FKQ524321 FAU524318:FAU524321 EQY524318:EQY524321 EHC524318:EHC524321 DXG524318:DXG524321 DNK524318:DNK524321 DDO524318:DDO524321 CTS524318:CTS524321 CJW524318:CJW524321 CAA524318:CAA524321 BQE524318:BQE524321 BGI524318:BGI524321 AWM524318:AWM524321 AMQ524318:AMQ524321 ACU524318:ACU524321 SY524318:SY524321 JC524318:JC524321 G524318:G524321 WVO458782:WVO458785 WLS458782:WLS458785 WBW458782:WBW458785 VSA458782:VSA458785 VIE458782:VIE458785 UYI458782:UYI458785 UOM458782:UOM458785 UEQ458782:UEQ458785 TUU458782:TUU458785 TKY458782:TKY458785 TBC458782:TBC458785 SRG458782:SRG458785 SHK458782:SHK458785 RXO458782:RXO458785 RNS458782:RNS458785 RDW458782:RDW458785 QUA458782:QUA458785 QKE458782:QKE458785 QAI458782:QAI458785 PQM458782:PQM458785 PGQ458782:PGQ458785 OWU458782:OWU458785 OMY458782:OMY458785 ODC458782:ODC458785 NTG458782:NTG458785 NJK458782:NJK458785 MZO458782:MZO458785 MPS458782:MPS458785 MFW458782:MFW458785 LWA458782:LWA458785 LME458782:LME458785 LCI458782:LCI458785 KSM458782:KSM458785 KIQ458782:KIQ458785 JYU458782:JYU458785 JOY458782:JOY458785 JFC458782:JFC458785 IVG458782:IVG458785 ILK458782:ILK458785 IBO458782:IBO458785 HRS458782:HRS458785 HHW458782:HHW458785 GYA458782:GYA458785 GOE458782:GOE458785 GEI458782:GEI458785 FUM458782:FUM458785 FKQ458782:FKQ458785 FAU458782:FAU458785 EQY458782:EQY458785 EHC458782:EHC458785 DXG458782:DXG458785 DNK458782:DNK458785 DDO458782:DDO458785 CTS458782:CTS458785 CJW458782:CJW458785 CAA458782:CAA458785 BQE458782:BQE458785 BGI458782:BGI458785 AWM458782:AWM458785 AMQ458782:AMQ458785 ACU458782:ACU458785 SY458782:SY458785 JC458782:JC458785 G458782:G458785 WVO393246:WVO393249 WLS393246:WLS393249 WBW393246:WBW393249 VSA393246:VSA393249 VIE393246:VIE393249 UYI393246:UYI393249 UOM393246:UOM393249 UEQ393246:UEQ393249 TUU393246:TUU393249 TKY393246:TKY393249 TBC393246:TBC393249 SRG393246:SRG393249 SHK393246:SHK393249 RXO393246:RXO393249 RNS393246:RNS393249 RDW393246:RDW393249 QUA393246:QUA393249 QKE393246:QKE393249 QAI393246:QAI393249 PQM393246:PQM393249 PGQ393246:PGQ393249 OWU393246:OWU393249 OMY393246:OMY393249 ODC393246:ODC393249 NTG393246:NTG393249 NJK393246:NJK393249 MZO393246:MZO393249 MPS393246:MPS393249 MFW393246:MFW393249 LWA393246:LWA393249 LME393246:LME393249 LCI393246:LCI393249 KSM393246:KSM393249 KIQ393246:KIQ393249 JYU393246:JYU393249 JOY393246:JOY393249 JFC393246:JFC393249 IVG393246:IVG393249 ILK393246:ILK393249 IBO393246:IBO393249 HRS393246:HRS393249 HHW393246:HHW393249 GYA393246:GYA393249 GOE393246:GOE393249 GEI393246:GEI393249 FUM393246:FUM393249 FKQ393246:FKQ393249 FAU393246:FAU393249 EQY393246:EQY393249 EHC393246:EHC393249 DXG393246:DXG393249 DNK393246:DNK393249 DDO393246:DDO393249 CTS393246:CTS393249 CJW393246:CJW393249 CAA393246:CAA393249 BQE393246:BQE393249 BGI393246:BGI393249 AWM393246:AWM393249 AMQ393246:AMQ393249 ACU393246:ACU393249 SY393246:SY393249 JC393246:JC393249 G393246:G393249 WVO327710:WVO327713 WLS327710:WLS327713 WBW327710:WBW327713 VSA327710:VSA327713 VIE327710:VIE327713 UYI327710:UYI327713 UOM327710:UOM327713 UEQ327710:UEQ327713 TUU327710:TUU327713 TKY327710:TKY327713 TBC327710:TBC327713 SRG327710:SRG327713 SHK327710:SHK327713 RXO327710:RXO327713 RNS327710:RNS327713 RDW327710:RDW327713 QUA327710:QUA327713 QKE327710:QKE327713 QAI327710:QAI327713 PQM327710:PQM327713 PGQ327710:PGQ327713 OWU327710:OWU327713 OMY327710:OMY327713 ODC327710:ODC327713 NTG327710:NTG327713 NJK327710:NJK327713 MZO327710:MZO327713 MPS327710:MPS327713 MFW327710:MFW327713 LWA327710:LWA327713 LME327710:LME327713 LCI327710:LCI327713 KSM327710:KSM327713 KIQ327710:KIQ327713 JYU327710:JYU327713 JOY327710:JOY327713 JFC327710:JFC327713 IVG327710:IVG327713 ILK327710:ILK327713 IBO327710:IBO327713 HRS327710:HRS327713 HHW327710:HHW327713 GYA327710:GYA327713 GOE327710:GOE327713 GEI327710:GEI327713 FUM327710:FUM327713 FKQ327710:FKQ327713 FAU327710:FAU327713 EQY327710:EQY327713 EHC327710:EHC327713 DXG327710:DXG327713 DNK327710:DNK327713 DDO327710:DDO327713 CTS327710:CTS327713 CJW327710:CJW327713 CAA327710:CAA327713 BQE327710:BQE327713 BGI327710:BGI327713 AWM327710:AWM327713 AMQ327710:AMQ327713 ACU327710:ACU327713 SY327710:SY327713 JC327710:JC327713 G327710:G327713 WVO262174:WVO262177 WLS262174:WLS262177 WBW262174:WBW262177 VSA262174:VSA262177 VIE262174:VIE262177 UYI262174:UYI262177 UOM262174:UOM262177 UEQ262174:UEQ262177 TUU262174:TUU262177 TKY262174:TKY262177 TBC262174:TBC262177 SRG262174:SRG262177 SHK262174:SHK262177 RXO262174:RXO262177 RNS262174:RNS262177 RDW262174:RDW262177 QUA262174:QUA262177 QKE262174:QKE262177 QAI262174:QAI262177 PQM262174:PQM262177 PGQ262174:PGQ262177 OWU262174:OWU262177 OMY262174:OMY262177 ODC262174:ODC262177 NTG262174:NTG262177 NJK262174:NJK262177 MZO262174:MZO262177 MPS262174:MPS262177 MFW262174:MFW262177 LWA262174:LWA262177 LME262174:LME262177 LCI262174:LCI262177 KSM262174:KSM262177 KIQ262174:KIQ262177 JYU262174:JYU262177 JOY262174:JOY262177 JFC262174:JFC262177 IVG262174:IVG262177 ILK262174:ILK262177 IBO262174:IBO262177 HRS262174:HRS262177 HHW262174:HHW262177 GYA262174:GYA262177 GOE262174:GOE262177 GEI262174:GEI262177 FUM262174:FUM262177 FKQ262174:FKQ262177 FAU262174:FAU262177 EQY262174:EQY262177 EHC262174:EHC262177 DXG262174:DXG262177 DNK262174:DNK262177 DDO262174:DDO262177 CTS262174:CTS262177 CJW262174:CJW262177 CAA262174:CAA262177 BQE262174:BQE262177 BGI262174:BGI262177 AWM262174:AWM262177 AMQ262174:AMQ262177 ACU262174:ACU262177 SY262174:SY262177 JC262174:JC262177 G262174:G262177 WVO196638:WVO196641 WLS196638:WLS196641 WBW196638:WBW196641 VSA196638:VSA196641 VIE196638:VIE196641 UYI196638:UYI196641 UOM196638:UOM196641 UEQ196638:UEQ196641 TUU196638:TUU196641 TKY196638:TKY196641 TBC196638:TBC196641 SRG196638:SRG196641 SHK196638:SHK196641 RXO196638:RXO196641 RNS196638:RNS196641 RDW196638:RDW196641 QUA196638:QUA196641 QKE196638:QKE196641 QAI196638:QAI196641 PQM196638:PQM196641 PGQ196638:PGQ196641 OWU196638:OWU196641 OMY196638:OMY196641 ODC196638:ODC196641 NTG196638:NTG196641 NJK196638:NJK196641 MZO196638:MZO196641 MPS196638:MPS196641 MFW196638:MFW196641 LWA196638:LWA196641 LME196638:LME196641 LCI196638:LCI196641 KSM196638:KSM196641 KIQ196638:KIQ196641 JYU196638:JYU196641 JOY196638:JOY196641 JFC196638:JFC196641 IVG196638:IVG196641 ILK196638:ILK196641 IBO196638:IBO196641 HRS196638:HRS196641 HHW196638:HHW196641 GYA196638:GYA196641 GOE196638:GOE196641 GEI196638:GEI196641 FUM196638:FUM196641 FKQ196638:FKQ196641 FAU196638:FAU196641 EQY196638:EQY196641 EHC196638:EHC196641 DXG196638:DXG196641 DNK196638:DNK196641 DDO196638:DDO196641 CTS196638:CTS196641 CJW196638:CJW196641 CAA196638:CAA196641 BQE196638:BQE196641 BGI196638:BGI196641 AWM196638:AWM196641 AMQ196638:AMQ196641 ACU196638:ACU196641 SY196638:SY196641 JC196638:JC196641 G196638:G196641 WVO131102:WVO131105 WLS131102:WLS131105 WBW131102:WBW131105 VSA131102:VSA131105 VIE131102:VIE131105 UYI131102:UYI131105 UOM131102:UOM131105 UEQ131102:UEQ131105 TUU131102:TUU131105 TKY131102:TKY131105 TBC131102:TBC131105 SRG131102:SRG131105 SHK131102:SHK131105 RXO131102:RXO131105 RNS131102:RNS131105 RDW131102:RDW131105 QUA131102:QUA131105 QKE131102:QKE131105 QAI131102:QAI131105 PQM131102:PQM131105 PGQ131102:PGQ131105 OWU131102:OWU131105 OMY131102:OMY131105 ODC131102:ODC131105 NTG131102:NTG131105 NJK131102:NJK131105 MZO131102:MZO131105 MPS131102:MPS131105 MFW131102:MFW131105 LWA131102:LWA131105 LME131102:LME131105 LCI131102:LCI131105 KSM131102:KSM131105 KIQ131102:KIQ131105 JYU131102:JYU131105 JOY131102:JOY131105 JFC131102:JFC131105 IVG131102:IVG131105 ILK131102:ILK131105 IBO131102:IBO131105 HRS131102:HRS131105 HHW131102:HHW131105 GYA131102:GYA131105 GOE131102:GOE131105 GEI131102:GEI131105 FUM131102:FUM131105 FKQ131102:FKQ131105 FAU131102:FAU131105 EQY131102:EQY131105 EHC131102:EHC131105 DXG131102:DXG131105 DNK131102:DNK131105 DDO131102:DDO131105 CTS131102:CTS131105 CJW131102:CJW131105 CAA131102:CAA131105 BQE131102:BQE131105 BGI131102:BGI131105 AWM131102:AWM131105 AMQ131102:AMQ131105 ACU131102:ACU131105 SY131102:SY131105 JC131102:JC131105 G131102:G131105 WVO65566:WVO65569 WLS65566:WLS65569 WBW65566:WBW65569 VSA65566:VSA65569 VIE65566:VIE65569 UYI65566:UYI65569 UOM65566:UOM65569 UEQ65566:UEQ65569 TUU65566:TUU65569 TKY65566:TKY65569 TBC65566:TBC65569 SRG65566:SRG65569 SHK65566:SHK65569 RXO65566:RXO65569 RNS65566:RNS65569 RDW65566:RDW65569 QUA65566:QUA65569 QKE65566:QKE65569 QAI65566:QAI65569 PQM65566:PQM65569 PGQ65566:PGQ65569 OWU65566:OWU65569 OMY65566:OMY65569 ODC65566:ODC65569 NTG65566:NTG65569 NJK65566:NJK65569 MZO65566:MZO65569 MPS65566:MPS65569 MFW65566:MFW65569 LWA65566:LWA65569 LME65566:LME65569 LCI65566:LCI65569 KSM65566:KSM65569 KIQ65566:KIQ65569 JYU65566:JYU65569 JOY65566:JOY65569 JFC65566:JFC65569 IVG65566:IVG65569 ILK65566:ILK65569 IBO65566:IBO65569 HRS65566:HRS65569 HHW65566:HHW65569 GYA65566:GYA65569 GOE65566:GOE65569 GEI65566:GEI65569 FUM65566:FUM65569 FKQ65566:FKQ65569 FAU65566:FAU65569 EQY65566:EQY65569 EHC65566:EHC65569 DXG65566:DXG65569 DNK65566:DNK65569 DDO65566:DDO65569 CTS65566:CTS65569 CJW65566:CJW65569 CAA65566:CAA65569 BQE65566:BQE65569 BGI65566:BGI65569 AWM65566:AWM65569 AMQ65566:AMQ65569 ACU65566:ACU65569 SY65566:SY65569 JC65566:JC65569 G65566:G65569 WVW983070 WMA983070 WCE983070 VSI983070 VIM983070 UYQ983070 UOU983070 UEY983070 TVC983070 TLG983070 TBK983070 SRO983070 SHS983070 RXW983070 ROA983070 REE983070 QUI983070 QKM983070 QAQ983070 PQU983070 PGY983070 OXC983070 ONG983070 ODK983070 NTO983070 NJS983070 MZW983070 MQA983070 MGE983070 LWI983070 LMM983070 LCQ983070 KSU983070 KIY983070 JZC983070 JPG983070 JFK983070 IVO983070 ILS983070 IBW983070 HSA983070 HIE983070 GYI983070 GOM983070 GEQ983070 FUU983070 FKY983070 FBC983070 ERG983070 EHK983070 DXO983070 DNS983070 DDW983070 CUA983070 CKE983070 CAI983070 BQM983070 BGQ983070 AWU983070 AMY983070 ADC983070 TG983070 JK983070 O983070 WVW917534 WMA917534 WCE917534 VSI917534 VIM917534 UYQ917534 UOU917534 UEY917534 TVC917534 TLG917534 TBK917534 SRO917534 SHS917534 RXW917534 ROA917534 REE917534 QUI917534 QKM917534 QAQ917534 PQU917534 PGY917534 OXC917534 ONG917534 ODK917534 NTO917534 NJS917534 MZW917534 MQA917534 MGE917534 LWI917534 LMM917534 LCQ917534 KSU917534 KIY917534 JZC917534 JPG917534 JFK917534 IVO917534 ILS917534 IBW917534 HSA917534 HIE917534 GYI917534 GOM917534 GEQ917534 FUU917534 FKY917534 FBC917534 ERG917534 EHK917534 DXO917534 DNS917534 DDW917534 CUA917534 CKE917534 CAI917534 BQM917534 BGQ917534 AWU917534 AMY917534 ADC917534 TG917534 JK917534 O917534 WVW851998 WMA851998 WCE851998 VSI851998 VIM851998 UYQ851998 UOU851998 UEY851998 TVC851998 TLG851998 TBK851998 SRO851998 SHS851998 RXW851998 ROA851998 REE851998 QUI851998 QKM851998 QAQ851998 PQU851998 PGY851998 OXC851998 ONG851998 ODK851998 NTO851998 NJS851998 MZW851998 MQA851998 MGE851998 LWI851998 LMM851998 LCQ851998 KSU851998 KIY851998 JZC851998 JPG851998 JFK851998 IVO851998 ILS851998 IBW851998 HSA851998 HIE851998 GYI851998 GOM851998 GEQ851998 FUU851998 FKY851998 FBC851998 ERG851998 EHK851998 DXO851998 DNS851998 DDW851998 CUA851998 CKE851998 CAI851998 BQM851998 BGQ851998 AWU851998 AMY851998 ADC851998 TG851998 JK851998 O851998 WVW786462 WMA786462 WCE786462 VSI786462 VIM786462 UYQ786462 UOU786462 UEY786462 TVC786462 TLG786462 TBK786462 SRO786462 SHS786462 RXW786462 ROA786462 REE786462 QUI786462 QKM786462 QAQ786462 PQU786462 PGY786462 OXC786462 ONG786462 ODK786462 NTO786462 NJS786462 MZW786462 MQA786462 MGE786462 LWI786462 LMM786462 LCQ786462 KSU786462 KIY786462 JZC786462 JPG786462 JFK786462 IVO786462 ILS786462 IBW786462 HSA786462 HIE786462 GYI786462 GOM786462 GEQ786462 FUU786462 FKY786462 FBC786462 ERG786462 EHK786462 DXO786462 DNS786462 DDW786462 CUA786462 CKE786462 CAI786462 BQM786462 BGQ786462 AWU786462 AMY786462 ADC786462 TG786462 JK786462 O786462 WVW720926 WMA720926 WCE720926 VSI720926 VIM720926 UYQ720926 UOU720926 UEY720926 TVC720926 TLG720926 TBK720926 SRO720926 SHS720926 RXW720926 ROA720926 REE720926 QUI720926 QKM720926 QAQ720926 PQU720926 PGY720926 OXC720926 ONG720926 ODK720926 NTO720926 NJS720926 MZW720926 MQA720926 MGE720926 LWI720926 LMM720926 LCQ720926 KSU720926 KIY720926 JZC720926 JPG720926 JFK720926 IVO720926 ILS720926 IBW720926 HSA720926 HIE720926 GYI720926 GOM720926 GEQ720926 FUU720926 FKY720926 FBC720926 ERG720926 EHK720926 DXO720926 DNS720926 DDW720926 CUA720926 CKE720926 CAI720926 BQM720926 BGQ720926 AWU720926 AMY720926 ADC720926 TG720926 JK720926 O720926 WVW655390 WMA655390 WCE655390 VSI655390 VIM655390 UYQ655390 UOU655390 UEY655390 TVC655390 TLG655390 TBK655390 SRO655390 SHS655390 RXW655390 ROA655390 REE655390 QUI655390 QKM655390 QAQ655390 PQU655390 PGY655390 OXC655390 ONG655390 ODK655390 NTO655390 NJS655390 MZW655390 MQA655390 MGE655390 LWI655390 LMM655390 LCQ655390 KSU655390 KIY655390 JZC655390 JPG655390 JFK655390 IVO655390 ILS655390 IBW655390 HSA655390 HIE655390 GYI655390 GOM655390 GEQ655390 FUU655390 FKY655390 FBC655390 ERG655390 EHK655390 DXO655390 DNS655390 DDW655390 CUA655390 CKE655390 CAI655390 BQM655390 BGQ655390 AWU655390 AMY655390 ADC655390 TG655390 JK655390 O655390 WVW589854 WMA589854 WCE589854 VSI589854 VIM589854 UYQ589854 UOU589854 UEY589854 TVC589854 TLG589854 TBK589854 SRO589854 SHS589854 RXW589854 ROA589854 REE589854 QUI589854 QKM589854 QAQ589854 PQU589854 PGY589854 OXC589854 ONG589854 ODK589854 NTO589854 NJS589854 MZW589854 MQA589854 MGE589854 LWI589854 LMM589854 LCQ589854 KSU589854 KIY589854 JZC589854 JPG589854 JFK589854 IVO589854 ILS589854 IBW589854 HSA589854 HIE589854 GYI589854 GOM589854 GEQ589854 FUU589854 FKY589854 FBC589854 ERG589854 EHK589854 DXO589854 DNS589854 DDW589854 CUA589854 CKE589854 CAI589854 BQM589854 BGQ589854 AWU589854 AMY589854 ADC589854 TG589854 JK589854 O589854 WVW524318 WMA524318 WCE524318 VSI524318 VIM524318 UYQ524318 UOU524318 UEY524318 TVC524318 TLG524318 TBK524318 SRO524318 SHS524318 RXW524318 ROA524318 REE524318 QUI524318 QKM524318 QAQ524318 PQU524318 PGY524318 OXC524318 ONG524318 ODK524318 NTO524318 NJS524318 MZW524318 MQA524318 MGE524318 LWI524318 LMM524318 LCQ524318 KSU524318 KIY524318 JZC524318 JPG524318 JFK524318 IVO524318 ILS524318 IBW524318 HSA524318 HIE524318 GYI524318 GOM524318 GEQ524318 FUU524318 FKY524318 FBC524318 ERG524318 EHK524318 DXO524318 DNS524318 DDW524318 CUA524318 CKE524318 CAI524318 BQM524318 BGQ524318 AWU524318 AMY524318 ADC524318 TG524318 JK524318 O524318 WVW458782 WMA458782 WCE458782 VSI458782 VIM458782 UYQ458782 UOU458782 UEY458782 TVC458782 TLG458782 TBK458782 SRO458782 SHS458782 RXW458782 ROA458782 REE458782 QUI458782 QKM458782 QAQ458782 PQU458782 PGY458782 OXC458782 ONG458782 ODK458782 NTO458782 NJS458782 MZW458782 MQA458782 MGE458782 LWI458782 LMM458782 LCQ458782 KSU458782 KIY458782 JZC458782 JPG458782 JFK458782 IVO458782 ILS458782 IBW458782 HSA458782 HIE458782 GYI458782 GOM458782 GEQ458782 FUU458782 FKY458782 FBC458782 ERG458782 EHK458782 DXO458782 DNS458782 DDW458782 CUA458782 CKE458782 CAI458782 BQM458782 BGQ458782 AWU458782 AMY458782 ADC458782 TG458782 JK458782 O458782 WVW393246 WMA393246 WCE393246 VSI393246 VIM393246 UYQ393246 UOU393246 UEY393246 TVC393246 TLG393246 TBK393246 SRO393246 SHS393246 RXW393246 ROA393246 REE393246 QUI393246 QKM393246 QAQ393246 PQU393246 PGY393246 OXC393246 ONG393246 ODK393246 NTO393246 NJS393246 MZW393246 MQA393246 MGE393246 LWI393246 LMM393246 LCQ393246 KSU393246 KIY393246 JZC393246 JPG393246 JFK393246 IVO393246 ILS393246 IBW393246 HSA393246 HIE393246 GYI393246 GOM393246 GEQ393246 FUU393246 FKY393246 FBC393246 ERG393246 EHK393246 DXO393246 DNS393246 DDW393246 CUA393246 CKE393246 CAI393246 BQM393246 BGQ393246 AWU393246 AMY393246 ADC393246 TG393246 JK393246 O393246 WVW327710 WMA327710 WCE327710 VSI327710 VIM327710 UYQ327710 UOU327710 UEY327710 TVC327710 TLG327710 TBK327710 SRO327710 SHS327710 RXW327710 ROA327710 REE327710 QUI327710 QKM327710 QAQ327710 PQU327710 PGY327710 OXC327710 ONG327710 ODK327710 NTO327710 NJS327710 MZW327710 MQA327710 MGE327710 LWI327710 LMM327710 LCQ327710 KSU327710 KIY327710 JZC327710 JPG327710 JFK327710 IVO327710 ILS327710 IBW327710 HSA327710 HIE327710 GYI327710 GOM327710 GEQ327710 FUU327710 FKY327710 FBC327710 ERG327710 EHK327710 DXO327710 DNS327710 DDW327710 CUA327710 CKE327710 CAI327710 BQM327710 BGQ327710 AWU327710 AMY327710 ADC327710 TG327710 JK327710 O327710 WVW262174 WMA262174 WCE262174 VSI262174 VIM262174 UYQ262174 UOU262174 UEY262174 TVC262174 TLG262174 TBK262174 SRO262174 SHS262174 RXW262174 ROA262174 REE262174 QUI262174 QKM262174 QAQ262174 PQU262174 PGY262174 OXC262174 ONG262174 ODK262174 NTO262174 NJS262174 MZW262174 MQA262174 MGE262174 LWI262174 LMM262174 LCQ262174 KSU262174 KIY262174 JZC262174 JPG262174 JFK262174 IVO262174 ILS262174 IBW262174 HSA262174 HIE262174 GYI262174 GOM262174 GEQ262174 FUU262174 FKY262174 FBC262174 ERG262174 EHK262174 DXO262174 DNS262174 DDW262174 CUA262174 CKE262174 CAI262174 BQM262174 BGQ262174 AWU262174 AMY262174 ADC262174 TG262174 JK262174 O262174 WVW196638 WMA196638 WCE196638 VSI196638 VIM196638 UYQ196638 UOU196638 UEY196638 TVC196638 TLG196638 TBK196638 SRO196638 SHS196638 RXW196638 ROA196638 REE196638 QUI196638 QKM196638 QAQ196638 PQU196638 PGY196638 OXC196638 ONG196638 ODK196638 NTO196638 NJS196638 MZW196638 MQA196638 MGE196638 LWI196638 LMM196638 LCQ196638 KSU196638 KIY196638 JZC196638 JPG196638 JFK196638 IVO196638 ILS196638 IBW196638 HSA196638 HIE196638 GYI196638 GOM196638 GEQ196638 FUU196638 FKY196638 FBC196638 ERG196638 EHK196638 DXO196638 DNS196638 DDW196638 CUA196638 CKE196638 CAI196638 BQM196638 BGQ196638 AWU196638 AMY196638 ADC196638 TG196638 JK196638 O196638 WVW131102 WMA131102 WCE131102 VSI131102 VIM131102 UYQ131102 UOU131102 UEY131102 TVC131102 TLG131102 TBK131102 SRO131102 SHS131102 RXW131102 ROA131102 REE131102 QUI131102 QKM131102 QAQ131102 PQU131102 PGY131102 OXC131102 ONG131102 ODK131102 NTO131102 NJS131102 MZW131102 MQA131102 MGE131102 LWI131102 LMM131102 LCQ131102 KSU131102 KIY131102 JZC131102 JPG131102 JFK131102 IVO131102 ILS131102 IBW131102 HSA131102 HIE131102 GYI131102 GOM131102 GEQ131102 FUU131102 FKY131102 FBC131102 ERG131102 EHK131102 DXO131102 DNS131102 DDW131102 CUA131102 CKE131102 CAI131102 BQM131102 BGQ131102 AWU131102 AMY131102 ADC131102 TG131102 JK131102 O131102 WVW65566 WMA65566 WCE65566 VSI65566 VIM65566 UYQ65566 UOU65566 UEY65566 TVC65566 TLG65566 TBK65566 SRO65566 SHS65566 RXW65566 ROA65566 REE65566 QUI65566 QKM65566 QAQ65566 PQU65566 PGY65566 OXC65566 ONG65566 ODK65566 NTO65566 NJS65566 MZW65566 MQA65566 MGE65566 LWI65566 LMM65566 LCQ65566 KSU65566 KIY65566 JZC65566 JPG65566 JFK65566 IVO65566 ILS65566 IBW65566 HSA65566 HIE65566 GYI65566 GOM65566 GEQ65566 FUU65566 FKY65566 FBC65566 ERG65566 EHK65566 DXO65566 DNS65566 DDW65566 CUA65566 CKE65566 CAI65566 BQM65566 BGQ65566 AWU65566 AMY65566 ADC65566 TG65566 JK65566 O65566 WWD983070 WMH983070 WCL983070 VSP983070 VIT983070 UYX983070 UPB983070 UFF983070 TVJ983070 TLN983070 TBR983070 SRV983070 SHZ983070 RYD983070 ROH983070 REL983070 QUP983070 QKT983070 QAX983070 PRB983070 PHF983070 OXJ983070 ONN983070 ODR983070 NTV983070 NJZ983070 NAD983070 MQH983070 MGL983070 LWP983070 LMT983070 LCX983070 KTB983070 KJF983070 JZJ983070 JPN983070 JFR983070 IVV983070 ILZ983070 ICD983070 HSH983070 HIL983070 GYP983070 GOT983070 GEX983070 FVB983070 FLF983070 FBJ983070 ERN983070 EHR983070 DXV983070 DNZ983070 DED983070 CUH983070 CKL983070 CAP983070 BQT983070 BGX983070 AXB983070 ANF983070 ADJ983070 TN983070 JR983070 V983070 WWD917534 WMH917534 WCL917534 VSP917534 VIT917534 UYX917534 UPB917534 UFF917534 TVJ917534 TLN917534 TBR917534 SRV917534 SHZ917534 RYD917534 ROH917534 REL917534 QUP917534 QKT917534 QAX917534 PRB917534 PHF917534 OXJ917534 ONN917534 ODR917534 NTV917534 NJZ917534 NAD917534 MQH917534 MGL917534 LWP917534 LMT917534 LCX917534 KTB917534 KJF917534 JZJ917534 JPN917534 JFR917534 IVV917534 ILZ917534 ICD917534 HSH917534 HIL917534 GYP917534 GOT917534 GEX917534 FVB917534 FLF917534 FBJ917534 ERN917534 EHR917534 DXV917534 DNZ917534 DED917534 CUH917534 CKL917534 CAP917534 BQT917534 BGX917534 AXB917534 ANF917534 ADJ917534 TN917534 JR917534 V917534 WWD851998 WMH851998 WCL851998 VSP851998 VIT851998 UYX851998 UPB851998 UFF851998 TVJ851998 TLN851998 TBR851998 SRV851998 SHZ851998 RYD851998 ROH851998 REL851998 QUP851998 QKT851998 QAX851998 PRB851998 PHF851998 OXJ851998 ONN851998 ODR851998 NTV851998 NJZ851998 NAD851998 MQH851998 MGL851998 LWP851998 LMT851998 LCX851998 KTB851998 KJF851998 JZJ851998 JPN851998 JFR851998 IVV851998 ILZ851998 ICD851998 HSH851998 HIL851998 GYP851998 GOT851998 GEX851998 FVB851998 FLF851998 FBJ851998 ERN851998 EHR851998 DXV851998 DNZ851998 DED851998 CUH851998 CKL851998 CAP851998 BQT851998 BGX851998 AXB851998 ANF851998 ADJ851998 TN851998 JR851998 V851998 WWD786462 WMH786462 WCL786462 VSP786462 VIT786462 UYX786462 UPB786462 UFF786462 TVJ786462 TLN786462 TBR786462 SRV786462 SHZ786462 RYD786462 ROH786462 REL786462 QUP786462 QKT786462 QAX786462 PRB786462 PHF786462 OXJ786462 ONN786462 ODR786462 NTV786462 NJZ786462 NAD786462 MQH786462 MGL786462 LWP786462 LMT786462 LCX786462 KTB786462 KJF786462 JZJ786462 JPN786462 JFR786462 IVV786462 ILZ786462 ICD786462 HSH786462 HIL786462 GYP786462 GOT786462 GEX786462 FVB786462 FLF786462 FBJ786462 ERN786462 EHR786462 DXV786462 DNZ786462 DED786462 CUH786462 CKL786462 CAP786462 BQT786462 BGX786462 AXB786462 ANF786462 ADJ786462 TN786462 JR786462 V786462 WWD720926 WMH720926 WCL720926 VSP720926 VIT720926 UYX720926 UPB720926 UFF720926 TVJ720926 TLN720926 TBR720926 SRV720926 SHZ720926 RYD720926 ROH720926 REL720926 QUP720926 QKT720926 QAX720926 PRB720926 PHF720926 OXJ720926 ONN720926 ODR720926 NTV720926 NJZ720926 NAD720926 MQH720926 MGL720926 LWP720926 LMT720926 LCX720926 KTB720926 KJF720926 JZJ720926 JPN720926 JFR720926 IVV720926 ILZ720926 ICD720926 HSH720926 HIL720926 GYP720926 GOT720926 GEX720926 FVB720926 FLF720926 FBJ720926 ERN720926 EHR720926 DXV720926 DNZ720926 DED720926 CUH720926 CKL720926 CAP720926 BQT720926 BGX720926 AXB720926 ANF720926 ADJ720926 TN720926 JR720926 V720926 WWD655390 WMH655390 WCL655390 VSP655390 VIT655390 UYX655390 UPB655390 UFF655390 TVJ655390 TLN655390 TBR655390 SRV655390 SHZ655390 RYD655390 ROH655390 REL655390 QUP655390 QKT655390 QAX655390 PRB655390 PHF655390 OXJ655390 ONN655390 ODR655390 NTV655390 NJZ655390 NAD655390 MQH655390 MGL655390 LWP655390 LMT655390 LCX655390 KTB655390 KJF655390 JZJ655390 JPN655390 JFR655390 IVV655390 ILZ655390 ICD655390 HSH655390 HIL655390 GYP655390 GOT655390 GEX655390 FVB655390 FLF655390 FBJ655390 ERN655390 EHR655390 DXV655390 DNZ655390 DED655390 CUH655390 CKL655390 CAP655390 BQT655390 BGX655390 AXB655390 ANF655390 ADJ655390 TN655390 JR655390 V655390 WWD589854 WMH589854 WCL589854 VSP589854 VIT589854 UYX589854 UPB589854 UFF589854 TVJ589854 TLN589854 TBR589854 SRV589854 SHZ589854 RYD589854 ROH589854 REL589854 QUP589854 QKT589854 QAX589854 PRB589854 PHF589854 OXJ589854 ONN589854 ODR589854 NTV589854 NJZ589854 NAD589854 MQH589854 MGL589854 LWP589854 LMT589854 LCX589854 KTB589854 KJF589854 JZJ589854 JPN589854 JFR589854 IVV589854 ILZ589854 ICD589854 HSH589854 HIL589854 GYP589854 GOT589854 GEX589854 FVB589854 FLF589854 FBJ589854 ERN589854 EHR589854 DXV589854 DNZ589854 DED589854 CUH589854 CKL589854 CAP589854 BQT589854 BGX589854 AXB589854 ANF589854 ADJ589854 TN589854 JR589854 V589854 WWD524318 WMH524318 WCL524318 VSP524318 VIT524318 UYX524318 UPB524318 UFF524318 TVJ524318 TLN524318 TBR524318 SRV524318 SHZ524318 RYD524318 ROH524318 REL524318 QUP524318 QKT524318 QAX524318 PRB524318 PHF524318 OXJ524318 ONN524318 ODR524318 NTV524318 NJZ524318 NAD524318 MQH524318 MGL524318 LWP524318 LMT524318 LCX524318 KTB524318 KJF524318 JZJ524318 JPN524318 JFR524318 IVV524318 ILZ524318 ICD524318 HSH524318 HIL524318 GYP524318 GOT524318 GEX524318 FVB524318 FLF524318 FBJ524318 ERN524318 EHR524318 DXV524318 DNZ524318 DED524318 CUH524318 CKL524318 CAP524318 BQT524318 BGX524318 AXB524318 ANF524318 ADJ524318 TN524318 JR524318 V524318 WWD458782 WMH458782 WCL458782 VSP458782 VIT458782 UYX458782 UPB458782 UFF458782 TVJ458782 TLN458782 TBR458782 SRV458782 SHZ458782 RYD458782 ROH458782 REL458782 QUP458782 QKT458782 QAX458782 PRB458782 PHF458782 OXJ458782 ONN458782 ODR458782 NTV458782 NJZ458782 NAD458782 MQH458782 MGL458782 LWP458782 LMT458782 LCX458782 KTB458782 KJF458782 JZJ458782 JPN458782 JFR458782 IVV458782 ILZ458782 ICD458782 HSH458782 HIL458782 GYP458782 GOT458782 GEX458782 FVB458782 FLF458782 FBJ458782 ERN458782 EHR458782 DXV458782 DNZ458782 DED458782 CUH458782 CKL458782 CAP458782 BQT458782 BGX458782 AXB458782 ANF458782 ADJ458782 TN458782 JR458782 V458782 WWD393246 WMH393246 WCL393246 VSP393246 VIT393246 UYX393246 UPB393246 UFF393246 TVJ393246 TLN393246 TBR393246 SRV393246 SHZ393246 RYD393246 ROH393246 REL393246 QUP393246 QKT393246 QAX393246 PRB393246 PHF393246 OXJ393246 ONN393246 ODR393246 NTV393246 NJZ393246 NAD393246 MQH393246 MGL393246 LWP393246 LMT393246 LCX393246 KTB393246 KJF393246 JZJ393246 JPN393246 JFR393246 IVV393246 ILZ393246 ICD393246 HSH393246 HIL393246 GYP393246 GOT393246 GEX393246 FVB393246 FLF393246 FBJ393246 ERN393246 EHR393246 DXV393246 DNZ393246 DED393246 CUH393246 CKL393246 CAP393246 BQT393246 BGX393246 AXB393246 ANF393246 ADJ393246 TN393246 JR393246 V393246 WWD327710 WMH327710 WCL327710 VSP327710 VIT327710 UYX327710 UPB327710 UFF327710 TVJ327710 TLN327710 TBR327710 SRV327710 SHZ327710 RYD327710 ROH327710 REL327710 QUP327710 QKT327710 QAX327710 PRB327710 PHF327710 OXJ327710 ONN327710 ODR327710 NTV327710 NJZ327710 NAD327710 MQH327710 MGL327710 LWP327710 LMT327710 LCX327710 KTB327710 KJF327710 JZJ327710 JPN327710 JFR327710 IVV327710 ILZ327710 ICD327710 HSH327710 HIL327710 GYP327710 GOT327710 GEX327710 FVB327710 FLF327710 FBJ327710 ERN327710 EHR327710 DXV327710 DNZ327710 DED327710 CUH327710 CKL327710 CAP327710 BQT327710 BGX327710 AXB327710 ANF327710 ADJ327710 TN327710 JR327710 V327710 WWD262174 WMH262174 WCL262174 VSP262174 VIT262174 UYX262174 UPB262174 UFF262174 TVJ262174 TLN262174 TBR262174 SRV262174 SHZ262174 RYD262174 ROH262174 REL262174 QUP262174 QKT262174 QAX262174 PRB262174 PHF262174 OXJ262174 ONN262174 ODR262174 NTV262174 NJZ262174 NAD262174 MQH262174 MGL262174 LWP262174 LMT262174 LCX262174 KTB262174 KJF262174 JZJ262174 JPN262174 JFR262174 IVV262174 ILZ262174 ICD262174 HSH262174 HIL262174 GYP262174 GOT262174 GEX262174 FVB262174 FLF262174 FBJ262174 ERN262174 EHR262174 DXV262174 DNZ262174 DED262174 CUH262174 CKL262174 CAP262174 BQT262174 BGX262174 AXB262174 ANF262174 ADJ262174 TN262174 JR262174 V262174 WWD196638 WMH196638 WCL196638 VSP196638 VIT196638 UYX196638 UPB196638 UFF196638 TVJ196638 TLN196638 TBR196638 SRV196638 SHZ196638 RYD196638 ROH196638 REL196638 QUP196638 QKT196638 QAX196638 PRB196638 PHF196638 OXJ196638 ONN196638 ODR196638 NTV196638 NJZ196638 NAD196638 MQH196638 MGL196638 LWP196638 LMT196638 LCX196638 KTB196638 KJF196638 JZJ196638 JPN196638 JFR196638 IVV196638 ILZ196638 ICD196638 HSH196638 HIL196638 GYP196638 GOT196638 GEX196638 FVB196638 FLF196638 FBJ196638 ERN196638 EHR196638 DXV196638 DNZ196638 DED196638 CUH196638 CKL196638 CAP196638 BQT196638 BGX196638 AXB196638 ANF196638 ADJ196638 TN196638 JR196638 V196638 WWD131102 WMH131102 WCL131102 VSP131102 VIT131102 UYX131102 UPB131102 UFF131102 TVJ131102 TLN131102 TBR131102 SRV131102 SHZ131102 RYD131102 ROH131102 REL131102 QUP131102 QKT131102 QAX131102 PRB131102 PHF131102 OXJ131102 ONN131102 ODR131102 NTV131102 NJZ131102 NAD131102 MQH131102 MGL131102 LWP131102 LMT131102 LCX131102 KTB131102 KJF131102 JZJ131102 JPN131102 JFR131102 IVV131102 ILZ131102 ICD131102 HSH131102 HIL131102 GYP131102 GOT131102 GEX131102 FVB131102 FLF131102 FBJ131102 ERN131102 EHR131102 DXV131102 DNZ131102 DED131102 CUH131102 CKL131102 CAP131102 BQT131102 BGX131102 AXB131102 ANF131102 ADJ131102 TN131102 JR131102 V131102 WWD65566 WMH65566 WCL65566 VSP65566 VIT65566 UYX65566 UPB65566 UFF65566 TVJ65566 TLN65566 TBR65566 SRV65566 SHZ65566 RYD65566 ROH65566 REL65566 QUP65566 QKT65566 QAX65566 PRB65566 PHF65566 OXJ65566 ONN65566 ODR65566 NTV65566 NJZ65566 NAD65566 MQH65566 MGL65566 LWP65566 LMT65566 LCX65566 KTB65566 KJF65566 JZJ65566 JPN65566 JFR65566 IVV65566 ILZ65566 ICD65566 HSH65566 HIL65566 GYP65566 GOT65566 GEX65566 FVB65566 FLF65566 FBJ65566 ERN65566 EHR65566 DXV65566 DNZ65566 DED65566 CUH65566 CKL65566 CAP65566 BQT65566 BGX65566 AXB65566 ANF65566 ADJ65566 TN65566 JR65566 V65566 WVN983074:WVN983075 WLR983074:WLR983075 WBV983074:WBV983075 VRZ983074:VRZ983075 VID983074:VID983075 UYH983074:UYH983075 UOL983074:UOL983075 UEP983074:UEP983075 TUT983074:TUT983075 TKX983074:TKX983075 TBB983074:TBB983075 SRF983074:SRF983075 SHJ983074:SHJ983075 RXN983074:RXN983075 RNR983074:RNR983075 RDV983074:RDV983075 QTZ983074:QTZ983075 QKD983074:QKD983075 QAH983074:QAH983075 PQL983074:PQL983075 PGP983074:PGP983075 OWT983074:OWT983075 OMX983074:OMX983075 ODB983074:ODB983075 NTF983074:NTF983075 NJJ983074:NJJ983075 MZN983074:MZN983075 MPR983074:MPR983075 MFV983074:MFV983075 LVZ983074:LVZ983075 LMD983074:LMD983075 LCH983074:LCH983075 KSL983074:KSL983075 KIP983074:KIP983075 JYT983074:JYT983075 JOX983074:JOX983075 JFB983074:JFB983075 IVF983074:IVF983075 ILJ983074:ILJ983075 IBN983074:IBN983075 HRR983074:HRR983075 HHV983074:HHV983075 GXZ983074:GXZ983075 GOD983074:GOD983075 GEH983074:GEH983075 FUL983074:FUL983075 FKP983074:FKP983075 FAT983074:FAT983075 EQX983074:EQX983075 EHB983074:EHB983075 DXF983074:DXF983075 DNJ983074:DNJ983075 DDN983074:DDN983075 CTR983074:CTR983075 CJV983074:CJV983075 BZZ983074:BZZ983075 BQD983074:BQD983075 BGH983074:BGH983075 AWL983074:AWL983075 AMP983074:AMP983075 ACT983074:ACT983075 SX983074:SX983075 JB983074:JB983075 F983074:F983075 WVN917538:WVN917539 WLR917538:WLR917539 WBV917538:WBV917539 VRZ917538:VRZ917539 VID917538:VID917539 UYH917538:UYH917539 UOL917538:UOL917539 UEP917538:UEP917539 TUT917538:TUT917539 TKX917538:TKX917539 TBB917538:TBB917539 SRF917538:SRF917539 SHJ917538:SHJ917539 RXN917538:RXN917539 RNR917538:RNR917539 RDV917538:RDV917539 QTZ917538:QTZ917539 QKD917538:QKD917539 QAH917538:QAH917539 PQL917538:PQL917539 PGP917538:PGP917539 OWT917538:OWT917539 OMX917538:OMX917539 ODB917538:ODB917539 NTF917538:NTF917539 NJJ917538:NJJ917539 MZN917538:MZN917539 MPR917538:MPR917539 MFV917538:MFV917539 LVZ917538:LVZ917539 LMD917538:LMD917539 LCH917538:LCH917539 KSL917538:KSL917539 KIP917538:KIP917539 JYT917538:JYT917539 JOX917538:JOX917539 JFB917538:JFB917539 IVF917538:IVF917539 ILJ917538:ILJ917539 IBN917538:IBN917539 HRR917538:HRR917539 HHV917538:HHV917539 GXZ917538:GXZ917539 GOD917538:GOD917539 GEH917538:GEH917539 FUL917538:FUL917539 FKP917538:FKP917539 FAT917538:FAT917539 EQX917538:EQX917539 EHB917538:EHB917539 DXF917538:DXF917539 DNJ917538:DNJ917539 DDN917538:DDN917539 CTR917538:CTR917539 CJV917538:CJV917539 BZZ917538:BZZ917539 BQD917538:BQD917539 BGH917538:BGH917539 AWL917538:AWL917539 AMP917538:AMP917539 ACT917538:ACT917539 SX917538:SX917539 JB917538:JB917539 F917538:F917539 WVN852002:WVN852003 WLR852002:WLR852003 WBV852002:WBV852003 VRZ852002:VRZ852003 VID852002:VID852003 UYH852002:UYH852003 UOL852002:UOL852003 UEP852002:UEP852003 TUT852002:TUT852003 TKX852002:TKX852003 TBB852002:TBB852003 SRF852002:SRF852003 SHJ852002:SHJ852003 RXN852002:RXN852003 RNR852002:RNR852003 RDV852002:RDV852003 QTZ852002:QTZ852003 QKD852002:QKD852003 QAH852002:QAH852003 PQL852002:PQL852003 PGP852002:PGP852003 OWT852002:OWT852003 OMX852002:OMX852003 ODB852002:ODB852003 NTF852002:NTF852003 NJJ852002:NJJ852003 MZN852002:MZN852003 MPR852002:MPR852003 MFV852002:MFV852003 LVZ852002:LVZ852003 LMD852002:LMD852003 LCH852002:LCH852003 KSL852002:KSL852003 KIP852002:KIP852003 JYT852002:JYT852003 JOX852002:JOX852003 JFB852002:JFB852003 IVF852002:IVF852003 ILJ852002:ILJ852003 IBN852002:IBN852003 HRR852002:HRR852003 HHV852002:HHV852003 GXZ852002:GXZ852003 GOD852002:GOD852003 GEH852002:GEH852003 FUL852002:FUL852003 FKP852002:FKP852003 FAT852002:FAT852003 EQX852002:EQX852003 EHB852002:EHB852003 DXF852002:DXF852003 DNJ852002:DNJ852003 DDN852002:DDN852003 CTR852002:CTR852003 CJV852002:CJV852003 BZZ852002:BZZ852003 BQD852002:BQD852003 BGH852002:BGH852003 AWL852002:AWL852003 AMP852002:AMP852003 ACT852002:ACT852003 SX852002:SX852003 JB852002:JB852003 F852002:F852003 WVN786466:WVN786467 WLR786466:WLR786467 WBV786466:WBV786467 VRZ786466:VRZ786467 VID786466:VID786467 UYH786466:UYH786467 UOL786466:UOL786467 UEP786466:UEP786467 TUT786466:TUT786467 TKX786466:TKX786467 TBB786466:TBB786467 SRF786466:SRF786467 SHJ786466:SHJ786467 RXN786466:RXN786467 RNR786466:RNR786467 RDV786466:RDV786467 QTZ786466:QTZ786467 QKD786466:QKD786467 QAH786466:QAH786467 PQL786466:PQL786467 PGP786466:PGP786467 OWT786466:OWT786467 OMX786466:OMX786467 ODB786466:ODB786467 NTF786466:NTF786467 NJJ786466:NJJ786467 MZN786466:MZN786467 MPR786466:MPR786467 MFV786466:MFV786467 LVZ786466:LVZ786467 LMD786466:LMD786467 LCH786466:LCH786467 KSL786466:KSL786467 KIP786466:KIP786467 JYT786466:JYT786467 JOX786466:JOX786467 JFB786466:JFB786467 IVF786466:IVF786467 ILJ786466:ILJ786467 IBN786466:IBN786467 HRR786466:HRR786467 HHV786466:HHV786467 GXZ786466:GXZ786467 GOD786466:GOD786467 GEH786466:GEH786467 FUL786466:FUL786467 FKP786466:FKP786467 FAT786466:FAT786467 EQX786466:EQX786467 EHB786466:EHB786467 DXF786466:DXF786467 DNJ786466:DNJ786467 DDN786466:DDN786467 CTR786466:CTR786467 CJV786466:CJV786467 BZZ786466:BZZ786467 BQD786466:BQD786467 BGH786466:BGH786467 AWL786466:AWL786467 AMP786466:AMP786467 ACT786466:ACT786467 SX786466:SX786467 JB786466:JB786467 F786466:F786467 WVN720930:WVN720931 WLR720930:WLR720931 WBV720930:WBV720931 VRZ720930:VRZ720931 VID720930:VID720931 UYH720930:UYH720931 UOL720930:UOL720931 UEP720930:UEP720931 TUT720930:TUT720931 TKX720930:TKX720931 TBB720930:TBB720931 SRF720930:SRF720931 SHJ720930:SHJ720931 RXN720930:RXN720931 RNR720930:RNR720931 RDV720930:RDV720931 QTZ720930:QTZ720931 QKD720930:QKD720931 QAH720930:QAH720931 PQL720930:PQL720931 PGP720930:PGP720931 OWT720930:OWT720931 OMX720930:OMX720931 ODB720930:ODB720931 NTF720930:NTF720931 NJJ720930:NJJ720931 MZN720930:MZN720931 MPR720930:MPR720931 MFV720930:MFV720931 LVZ720930:LVZ720931 LMD720930:LMD720931 LCH720930:LCH720931 KSL720930:KSL720931 KIP720930:KIP720931 JYT720930:JYT720931 JOX720930:JOX720931 JFB720930:JFB720931 IVF720930:IVF720931 ILJ720930:ILJ720931 IBN720930:IBN720931 HRR720930:HRR720931 HHV720930:HHV720931 GXZ720930:GXZ720931 GOD720930:GOD720931 GEH720930:GEH720931 FUL720930:FUL720931 FKP720930:FKP720931 FAT720930:FAT720931 EQX720930:EQX720931 EHB720930:EHB720931 DXF720930:DXF720931 DNJ720930:DNJ720931 DDN720930:DDN720931 CTR720930:CTR720931 CJV720930:CJV720931 BZZ720930:BZZ720931 BQD720930:BQD720931 BGH720930:BGH720931 AWL720930:AWL720931 AMP720930:AMP720931 ACT720930:ACT720931 SX720930:SX720931 JB720930:JB720931 F720930:F720931 WVN655394:WVN655395 WLR655394:WLR655395 WBV655394:WBV655395 VRZ655394:VRZ655395 VID655394:VID655395 UYH655394:UYH655395 UOL655394:UOL655395 UEP655394:UEP655395 TUT655394:TUT655395 TKX655394:TKX655395 TBB655394:TBB655395 SRF655394:SRF655395 SHJ655394:SHJ655395 RXN655394:RXN655395 RNR655394:RNR655395 RDV655394:RDV655395 QTZ655394:QTZ655395 QKD655394:QKD655395 QAH655394:QAH655395 PQL655394:PQL655395 PGP655394:PGP655395 OWT655394:OWT655395 OMX655394:OMX655395 ODB655394:ODB655395 NTF655394:NTF655395 NJJ655394:NJJ655395 MZN655394:MZN655395 MPR655394:MPR655395 MFV655394:MFV655395 LVZ655394:LVZ655395 LMD655394:LMD655395 LCH655394:LCH655395 KSL655394:KSL655395 KIP655394:KIP655395 JYT655394:JYT655395 JOX655394:JOX655395 JFB655394:JFB655395 IVF655394:IVF655395 ILJ655394:ILJ655395 IBN655394:IBN655395 HRR655394:HRR655395 HHV655394:HHV655395 GXZ655394:GXZ655395 GOD655394:GOD655395 GEH655394:GEH655395 FUL655394:FUL655395 FKP655394:FKP655395 FAT655394:FAT655395 EQX655394:EQX655395 EHB655394:EHB655395 DXF655394:DXF655395 DNJ655394:DNJ655395 DDN655394:DDN655395 CTR655394:CTR655395 CJV655394:CJV655395 BZZ655394:BZZ655395 BQD655394:BQD655395 BGH655394:BGH655395 AWL655394:AWL655395 AMP655394:AMP655395 ACT655394:ACT655395 SX655394:SX655395 JB655394:JB655395 F655394:F655395 WVN589858:WVN589859 WLR589858:WLR589859 WBV589858:WBV589859 VRZ589858:VRZ589859 VID589858:VID589859 UYH589858:UYH589859 UOL589858:UOL589859 UEP589858:UEP589859 TUT589858:TUT589859 TKX589858:TKX589859 TBB589858:TBB589859 SRF589858:SRF589859 SHJ589858:SHJ589859 RXN589858:RXN589859 RNR589858:RNR589859 RDV589858:RDV589859 QTZ589858:QTZ589859 QKD589858:QKD589859 QAH589858:QAH589859 PQL589858:PQL589859 PGP589858:PGP589859 OWT589858:OWT589859 OMX589858:OMX589859 ODB589858:ODB589859 NTF589858:NTF589859 NJJ589858:NJJ589859 MZN589858:MZN589859 MPR589858:MPR589859 MFV589858:MFV589859 LVZ589858:LVZ589859 LMD589858:LMD589859 LCH589858:LCH589859 KSL589858:KSL589859 KIP589858:KIP589859 JYT589858:JYT589859 JOX589858:JOX589859 JFB589858:JFB589859 IVF589858:IVF589859 ILJ589858:ILJ589859 IBN589858:IBN589859 HRR589858:HRR589859 HHV589858:HHV589859 GXZ589858:GXZ589859 GOD589858:GOD589859 GEH589858:GEH589859 FUL589858:FUL589859 FKP589858:FKP589859 FAT589858:FAT589859 EQX589858:EQX589859 EHB589858:EHB589859 DXF589858:DXF589859 DNJ589858:DNJ589859 DDN589858:DDN589859 CTR589858:CTR589859 CJV589858:CJV589859 BZZ589858:BZZ589859 BQD589858:BQD589859 BGH589858:BGH589859 AWL589858:AWL589859 AMP589858:AMP589859 ACT589858:ACT589859 SX589858:SX589859 JB589858:JB589859 F589858:F589859 WVN524322:WVN524323 WLR524322:WLR524323 WBV524322:WBV524323 VRZ524322:VRZ524323 VID524322:VID524323 UYH524322:UYH524323 UOL524322:UOL524323 UEP524322:UEP524323 TUT524322:TUT524323 TKX524322:TKX524323 TBB524322:TBB524323 SRF524322:SRF524323 SHJ524322:SHJ524323 RXN524322:RXN524323 RNR524322:RNR524323 RDV524322:RDV524323 QTZ524322:QTZ524323 QKD524322:QKD524323 QAH524322:QAH524323 PQL524322:PQL524323 PGP524322:PGP524323 OWT524322:OWT524323 OMX524322:OMX524323 ODB524322:ODB524323 NTF524322:NTF524323 NJJ524322:NJJ524323 MZN524322:MZN524323 MPR524322:MPR524323 MFV524322:MFV524323 LVZ524322:LVZ524323 LMD524322:LMD524323 LCH524322:LCH524323 KSL524322:KSL524323 KIP524322:KIP524323 JYT524322:JYT524323 JOX524322:JOX524323 JFB524322:JFB524323 IVF524322:IVF524323 ILJ524322:ILJ524323 IBN524322:IBN524323 HRR524322:HRR524323 HHV524322:HHV524323 GXZ524322:GXZ524323 GOD524322:GOD524323 GEH524322:GEH524323 FUL524322:FUL524323 FKP524322:FKP524323 FAT524322:FAT524323 EQX524322:EQX524323 EHB524322:EHB524323 DXF524322:DXF524323 DNJ524322:DNJ524323 DDN524322:DDN524323 CTR524322:CTR524323 CJV524322:CJV524323 BZZ524322:BZZ524323 BQD524322:BQD524323 BGH524322:BGH524323 AWL524322:AWL524323 AMP524322:AMP524323 ACT524322:ACT524323 SX524322:SX524323 JB524322:JB524323 F524322:F524323 WVN458786:WVN458787 WLR458786:WLR458787 WBV458786:WBV458787 VRZ458786:VRZ458787 VID458786:VID458787 UYH458786:UYH458787 UOL458786:UOL458787 UEP458786:UEP458787 TUT458786:TUT458787 TKX458786:TKX458787 TBB458786:TBB458787 SRF458786:SRF458787 SHJ458786:SHJ458787 RXN458786:RXN458787 RNR458786:RNR458787 RDV458786:RDV458787 QTZ458786:QTZ458787 QKD458786:QKD458787 QAH458786:QAH458787 PQL458786:PQL458787 PGP458786:PGP458787 OWT458786:OWT458787 OMX458786:OMX458787 ODB458786:ODB458787 NTF458786:NTF458787 NJJ458786:NJJ458787 MZN458786:MZN458787 MPR458786:MPR458787 MFV458786:MFV458787 LVZ458786:LVZ458787 LMD458786:LMD458787 LCH458786:LCH458787 KSL458786:KSL458787 KIP458786:KIP458787 JYT458786:JYT458787 JOX458786:JOX458787 JFB458786:JFB458787 IVF458786:IVF458787 ILJ458786:ILJ458787 IBN458786:IBN458787 HRR458786:HRR458787 HHV458786:HHV458787 GXZ458786:GXZ458787 GOD458786:GOD458787 GEH458786:GEH458787 FUL458786:FUL458787 FKP458786:FKP458787 FAT458786:FAT458787 EQX458786:EQX458787 EHB458786:EHB458787 DXF458786:DXF458787 DNJ458786:DNJ458787 DDN458786:DDN458787 CTR458786:CTR458787 CJV458786:CJV458787 BZZ458786:BZZ458787 BQD458786:BQD458787 BGH458786:BGH458787 AWL458786:AWL458787 AMP458786:AMP458787 ACT458786:ACT458787 SX458786:SX458787 JB458786:JB458787 F458786:F458787 WVN393250:WVN393251 WLR393250:WLR393251 WBV393250:WBV393251 VRZ393250:VRZ393251 VID393250:VID393251 UYH393250:UYH393251 UOL393250:UOL393251 UEP393250:UEP393251 TUT393250:TUT393251 TKX393250:TKX393251 TBB393250:TBB393251 SRF393250:SRF393251 SHJ393250:SHJ393251 RXN393250:RXN393251 RNR393250:RNR393251 RDV393250:RDV393251 QTZ393250:QTZ393251 QKD393250:QKD393251 QAH393250:QAH393251 PQL393250:PQL393251 PGP393250:PGP393251 OWT393250:OWT393251 OMX393250:OMX393251 ODB393250:ODB393251 NTF393250:NTF393251 NJJ393250:NJJ393251 MZN393250:MZN393251 MPR393250:MPR393251 MFV393250:MFV393251 LVZ393250:LVZ393251 LMD393250:LMD393251 LCH393250:LCH393251 KSL393250:KSL393251 KIP393250:KIP393251 JYT393250:JYT393251 JOX393250:JOX393251 JFB393250:JFB393251 IVF393250:IVF393251 ILJ393250:ILJ393251 IBN393250:IBN393251 HRR393250:HRR393251 HHV393250:HHV393251 GXZ393250:GXZ393251 GOD393250:GOD393251 GEH393250:GEH393251 FUL393250:FUL393251 FKP393250:FKP393251 FAT393250:FAT393251 EQX393250:EQX393251 EHB393250:EHB393251 DXF393250:DXF393251 DNJ393250:DNJ393251 DDN393250:DDN393251 CTR393250:CTR393251 CJV393250:CJV393251 BZZ393250:BZZ393251 BQD393250:BQD393251 BGH393250:BGH393251 AWL393250:AWL393251 AMP393250:AMP393251 ACT393250:ACT393251 SX393250:SX393251 JB393250:JB393251 F393250:F393251 WVN327714:WVN327715 WLR327714:WLR327715 WBV327714:WBV327715 VRZ327714:VRZ327715 VID327714:VID327715 UYH327714:UYH327715 UOL327714:UOL327715 UEP327714:UEP327715 TUT327714:TUT327715 TKX327714:TKX327715 TBB327714:TBB327715 SRF327714:SRF327715 SHJ327714:SHJ327715 RXN327714:RXN327715 RNR327714:RNR327715 RDV327714:RDV327715 QTZ327714:QTZ327715 QKD327714:QKD327715 QAH327714:QAH327715 PQL327714:PQL327715 PGP327714:PGP327715 OWT327714:OWT327715 OMX327714:OMX327715 ODB327714:ODB327715 NTF327714:NTF327715 NJJ327714:NJJ327715 MZN327714:MZN327715 MPR327714:MPR327715 MFV327714:MFV327715 LVZ327714:LVZ327715 LMD327714:LMD327715 LCH327714:LCH327715 KSL327714:KSL327715 KIP327714:KIP327715 JYT327714:JYT327715 JOX327714:JOX327715 JFB327714:JFB327715 IVF327714:IVF327715 ILJ327714:ILJ327715 IBN327714:IBN327715 HRR327714:HRR327715 HHV327714:HHV327715 GXZ327714:GXZ327715 GOD327714:GOD327715 GEH327714:GEH327715 FUL327714:FUL327715 FKP327714:FKP327715 FAT327714:FAT327715 EQX327714:EQX327715 EHB327714:EHB327715 DXF327714:DXF327715 DNJ327714:DNJ327715 DDN327714:DDN327715 CTR327714:CTR327715 CJV327714:CJV327715 BZZ327714:BZZ327715 BQD327714:BQD327715 BGH327714:BGH327715 AWL327714:AWL327715 AMP327714:AMP327715 ACT327714:ACT327715 SX327714:SX327715 JB327714:JB327715 F327714:F327715 WVN262178:WVN262179 WLR262178:WLR262179 WBV262178:WBV262179 VRZ262178:VRZ262179 VID262178:VID262179 UYH262178:UYH262179 UOL262178:UOL262179 UEP262178:UEP262179 TUT262178:TUT262179 TKX262178:TKX262179 TBB262178:TBB262179 SRF262178:SRF262179 SHJ262178:SHJ262179 RXN262178:RXN262179 RNR262178:RNR262179 RDV262178:RDV262179 QTZ262178:QTZ262179 QKD262178:QKD262179 QAH262178:QAH262179 PQL262178:PQL262179 PGP262178:PGP262179 OWT262178:OWT262179 OMX262178:OMX262179 ODB262178:ODB262179 NTF262178:NTF262179 NJJ262178:NJJ262179 MZN262178:MZN262179 MPR262178:MPR262179 MFV262178:MFV262179 LVZ262178:LVZ262179 LMD262178:LMD262179 LCH262178:LCH262179 KSL262178:KSL262179 KIP262178:KIP262179 JYT262178:JYT262179 JOX262178:JOX262179 JFB262178:JFB262179 IVF262178:IVF262179 ILJ262178:ILJ262179 IBN262178:IBN262179 HRR262178:HRR262179 HHV262178:HHV262179 GXZ262178:GXZ262179 GOD262178:GOD262179 GEH262178:GEH262179 FUL262178:FUL262179 FKP262178:FKP262179 FAT262178:FAT262179 EQX262178:EQX262179 EHB262178:EHB262179 DXF262178:DXF262179 DNJ262178:DNJ262179 DDN262178:DDN262179 CTR262178:CTR262179 CJV262178:CJV262179 BZZ262178:BZZ262179 BQD262178:BQD262179 BGH262178:BGH262179 AWL262178:AWL262179 AMP262178:AMP262179 ACT262178:ACT262179 SX262178:SX262179 JB262178:JB262179 F262178:F262179 WVN196642:WVN196643 WLR196642:WLR196643 WBV196642:WBV196643 VRZ196642:VRZ196643 VID196642:VID196643 UYH196642:UYH196643 UOL196642:UOL196643 UEP196642:UEP196643 TUT196642:TUT196643 TKX196642:TKX196643 TBB196642:TBB196643 SRF196642:SRF196643 SHJ196642:SHJ196643 RXN196642:RXN196643 RNR196642:RNR196643 RDV196642:RDV196643 QTZ196642:QTZ196643 QKD196642:QKD196643 QAH196642:QAH196643 PQL196642:PQL196643 PGP196642:PGP196643 OWT196642:OWT196643 OMX196642:OMX196643 ODB196642:ODB196643 NTF196642:NTF196643 NJJ196642:NJJ196643 MZN196642:MZN196643 MPR196642:MPR196643 MFV196642:MFV196643 LVZ196642:LVZ196643 LMD196642:LMD196643 LCH196642:LCH196643 KSL196642:KSL196643 KIP196642:KIP196643 JYT196642:JYT196643 JOX196642:JOX196643 JFB196642:JFB196643 IVF196642:IVF196643 ILJ196642:ILJ196643 IBN196642:IBN196643 HRR196642:HRR196643 HHV196642:HHV196643 GXZ196642:GXZ196643 GOD196642:GOD196643 GEH196642:GEH196643 FUL196642:FUL196643 FKP196642:FKP196643 FAT196642:FAT196643 EQX196642:EQX196643 EHB196642:EHB196643 DXF196642:DXF196643 DNJ196642:DNJ196643 DDN196642:DDN196643 CTR196642:CTR196643 CJV196642:CJV196643 BZZ196642:BZZ196643 BQD196642:BQD196643 BGH196642:BGH196643 AWL196642:AWL196643 AMP196642:AMP196643 ACT196642:ACT196643 SX196642:SX196643 JB196642:JB196643 F196642:F196643 WVN131106:WVN131107 WLR131106:WLR131107 WBV131106:WBV131107 VRZ131106:VRZ131107 VID131106:VID131107 UYH131106:UYH131107 UOL131106:UOL131107 UEP131106:UEP131107 TUT131106:TUT131107 TKX131106:TKX131107 TBB131106:TBB131107 SRF131106:SRF131107 SHJ131106:SHJ131107 RXN131106:RXN131107 RNR131106:RNR131107 RDV131106:RDV131107 QTZ131106:QTZ131107 QKD131106:QKD131107 QAH131106:QAH131107 PQL131106:PQL131107 PGP131106:PGP131107 OWT131106:OWT131107 OMX131106:OMX131107 ODB131106:ODB131107 NTF131106:NTF131107 NJJ131106:NJJ131107 MZN131106:MZN131107 MPR131106:MPR131107 MFV131106:MFV131107 LVZ131106:LVZ131107 LMD131106:LMD131107 LCH131106:LCH131107 KSL131106:KSL131107 KIP131106:KIP131107 JYT131106:JYT131107 JOX131106:JOX131107 JFB131106:JFB131107 IVF131106:IVF131107 ILJ131106:ILJ131107 IBN131106:IBN131107 HRR131106:HRR131107 HHV131106:HHV131107 GXZ131106:GXZ131107 GOD131106:GOD131107 GEH131106:GEH131107 FUL131106:FUL131107 FKP131106:FKP131107 FAT131106:FAT131107 EQX131106:EQX131107 EHB131106:EHB131107 DXF131106:DXF131107 DNJ131106:DNJ131107 DDN131106:DDN131107 CTR131106:CTR131107 CJV131106:CJV131107 BZZ131106:BZZ131107 BQD131106:BQD131107 BGH131106:BGH131107 AWL131106:AWL131107 AMP131106:AMP131107 ACT131106:ACT131107 SX131106:SX131107 JB131106:JB131107 F131106:F131107 WVN65570:WVN65571 WLR65570:WLR65571 WBV65570:WBV65571 VRZ65570:VRZ65571 VID65570:VID65571 UYH65570:UYH65571 UOL65570:UOL65571 UEP65570:UEP65571 TUT65570:TUT65571 TKX65570:TKX65571 TBB65570:TBB65571 SRF65570:SRF65571 SHJ65570:SHJ65571 RXN65570:RXN65571 RNR65570:RNR65571 RDV65570:RDV65571 QTZ65570:QTZ65571 QKD65570:QKD65571 QAH65570:QAH65571 PQL65570:PQL65571 PGP65570:PGP65571 OWT65570:OWT65571 OMX65570:OMX65571 ODB65570:ODB65571 NTF65570:NTF65571 NJJ65570:NJJ65571 MZN65570:MZN65571 MPR65570:MPR65571 MFV65570:MFV65571 LVZ65570:LVZ65571 LMD65570:LMD65571 LCH65570:LCH65571 KSL65570:KSL65571 KIP65570:KIP65571 JYT65570:JYT65571 JOX65570:JOX65571 JFB65570:JFB65571 IVF65570:IVF65571 ILJ65570:ILJ65571 IBN65570:IBN65571 HRR65570:HRR65571 HHV65570:HHV65571 GXZ65570:GXZ65571 GOD65570:GOD65571 GEH65570:GEH65571 FUL65570:FUL65571 FKP65570:FKP65571 FAT65570:FAT65571 EQX65570:EQX65571 EHB65570:EHB65571 DXF65570:DXF65571 DNJ65570:DNJ65571 DDN65570:DDN65571 CTR65570:CTR65571 CJV65570:CJV65571 BZZ65570:BZZ65571 BQD65570:BQD65571 BGH65570:BGH65571 AWL65570:AWL65571 AMP65570:AMP65571 ACT65570:ACT65571 SX65570:SX65571 JB65570:JB65571 F65570:F65571 WVN28:WVN29 WLR28:WLR29 WBV28:WBV29 VRZ28:VRZ29 VID28:VID29 UYH28:UYH29 UOL28:UOL29 UEP28:UEP29 TUT28:TUT29 TKX28:TKX29 TBB28:TBB29 SRF28:SRF29 SHJ28:SHJ29 RXN28:RXN29 RNR28:RNR29 RDV28:RDV29 QTZ28:QTZ29 QKD28:QKD29 QAH28:QAH29 PQL28:PQL29 PGP28:PGP29 OWT28:OWT29 OMX28:OMX29 ODB28:ODB29 NTF28:NTF29 NJJ28:NJJ29 MZN28:MZN29 MPR28:MPR29 MFV28:MFV29 LVZ28:LVZ29 LMD28:LMD29 LCH28:LCH29 KSL28:KSL29 KIP28:KIP29 JYT28:JYT29 JOX28:JOX29 JFB28:JFB29 IVF28:IVF29 ILJ28:ILJ29 IBN28:IBN29 HRR28:HRR29 HHV28:HHV29 GXZ28:GXZ29 GOD28:GOD29 GEH28:GEH29 FUL28:FUL29 FKP28:FKP29 FAT28:FAT29 EQX28:EQX29 EHB28:EHB29 DXF28:DXF29 DNJ28:DNJ29 DDN28:DDN29 CTR28:CTR29 CJV28:CJV29 BZZ28:BZZ29 BQD28:BQD29 BGH28:BGH29 AWL28:AWL29 AMP28:AMP29 ACT28:ACT29 SX28:SX29 JB28:JB29 F28:F29 WVQ983078 WLU983078 WBY983078 VSC983078 VIG983078 UYK983078 UOO983078 UES983078 TUW983078 TLA983078 TBE983078 SRI983078 SHM983078 RXQ983078 RNU983078 RDY983078 QUC983078 QKG983078 QAK983078 PQO983078 PGS983078 OWW983078 ONA983078 ODE983078 NTI983078 NJM983078 MZQ983078 MPU983078 MFY983078 LWC983078 LMG983078 LCK983078 KSO983078 KIS983078 JYW983078 JPA983078 JFE983078 IVI983078 ILM983078 IBQ983078 HRU983078 HHY983078 GYC983078 GOG983078 GEK983078 FUO983078 FKS983078 FAW983078 ERA983078 EHE983078 DXI983078 DNM983078 DDQ983078 CTU983078 CJY983078 CAC983078 BQG983078 BGK983078 AWO983078 AMS983078 ACW983078 TA983078 JE983078 I983078 WVQ917542 WLU917542 WBY917542 VSC917542 VIG917542 UYK917542 UOO917542 UES917542 TUW917542 TLA917542 TBE917542 SRI917542 SHM917542 RXQ917542 RNU917542 RDY917542 QUC917542 QKG917542 QAK917542 PQO917542 PGS917542 OWW917542 ONA917542 ODE917542 NTI917542 NJM917542 MZQ917542 MPU917542 MFY917542 LWC917542 LMG917542 LCK917542 KSO917542 KIS917542 JYW917542 JPA917542 JFE917542 IVI917542 ILM917542 IBQ917542 HRU917542 HHY917542 GYC917542 GOG917542 GEK917542 FUO917542 FKS917542 FAW917542 ERA917542 EHE917542 DXI917542 DNM917542 DDQ917542 CTU917542 CJY917542 CAC917542 BQG917542 BGK917542 AWO917542 AMS917542 ACW917542 TA917542 JE917542 I917542 WVQ852006 WLU852006 WBY852006 VSC852006 VIG852006 UYK852006 UOO852006 UES852006 TUW852006 TLA852006 TBE852006 SRI852006 SHM852006 RXQ852006 RNU852006 RDY852006 QUC852006 QKG852006 QAK852006 PQO852006 PGS852006 OWW852006 ONA852006 ODE852006 NTI852006 NJM852006 MZQ852006 MPU852006 MFY852006 LWC852006 LMG852006 LCK852006 KSO852006 KIS852006 JYW852006 JPA852006 JFE852006 IVI852006 ILM852006 IBQ852006 HRU852006 HHY852006 GYC852006 GOG852006 GEK852006 FUO852006 FKS852006 FAW852006 ERA852006 EHE852006 DXI852006 DNM852006 DDQ852006 CTU852006 CJY852006 CAC852006 BQG852006 BGK852006 AWO852006 AMS852006 ACW852006 TA852006 JE852006 I852006 WVQ786470 WLU786470 WBY786470 VSC786470 VIG786470 UYK786470 UOO786470 UES786470 TUW786470 TLA786470 TBE786470 SRI786470 SHM786470 RXQ786470 RNU786470 RDY786470 QUC786470 QKG786470 QAK786470 PQO786470 PGS786470 OWW786470 ONA786470 ODE786470 NTI786470 NJM786470 MZQ786470 MPU786470 MFY786470 LWC786470 LMG786470 LCK786470 KSO786470 KIS786470 JYW786470 JPA786470 JFE786470 IVI786470 ILM786470 IBQ786470 HRU786470 HHY786470 GYC786470 GOG786470 GEK786470 FUO786470 FKS786470 FAW786470 ERA786470 EHE786470 DXI786470 DNM786470 DDQ786470 CTU786470 CJY786470 CAC786470 BQG786470 BGK786470 AWO786470 AMS786470 ACW786470 TA786470 JE786470 I786470 WVQ720934 WLU720934 WBY720934 VSC720934 VIG720934 UYK720934 UOO720934 UES720934 TUW720934 TLA720934 TBE720934 SRI720934 SHM720934 RXQ720934 RNU720934 RDY720934 QUC720934 QKG720934 QAK720934 PQO720934 PGS720934 OWW720934 ONA720934 ODE720934 NTI720934 NJM720934 MZQ720934 MPU720934 MFY720934 LWC720934 LMG720934 LCK720934 KSO720934 KIS720934 JYW720934 JPA720934 JFE720934 IVI720934 ILM720934 IBQ720934 HRU720934 HHY720934 GYC720934 GOG720934 GEK720934 FUO720934 FKS720934 FAW720934 ERA720934 EHE720934 DXI720934 DNM720934 DDQ720934 CTU720934 CJY720934 CAC720934 BQG720934 BGK720934 AWO720934 AMS720934 ACW720934 TA720934 JE720934 I720934 WVQ655398 WLU655398 WBY655398 VSC655398 VIG655398 UYK655398 UOO655398 UES655398 TUW655398 TLA655398 TBE655398 SRI655398 SHM655398 RXQ655398 RNU655398 RDY655398 QUC655398 QKG655398 QAK655398 PQO655398 PGS655398 OWW655398 ONA655398 ODE655398 NTI655398 NJM655398 MZQ655398 MPU655398 MFY655398 LWC655398 LMG655398 LCK655398 KSO655398 KIS655398 JYW655398 JPA655398 JFE655398 IVI655398 ILM655398 IBQ655398 HRU655398 HHY655398 GYC655398 GOG655398 GEK655398 FUO655398 FKS655398 FAW655398 ERA655398 EHE655398 DXI655398 DNM655398 DDQ655398 CTU655398 CJY655398 CAC655398 BQG655398 BGK655398 AWO655398 AMS655398 ACW655398 TA655398 JE655398 I655398 WVQ589862 WLU589862 WBY589862 VSC589862 VIG589862 UYK589862 UOO589862 UES589862 TUW589862 TLA589862 TBE589862 SRI589862 SHM589862 RXQ589862 RNU589862 RDY589862 QUC589862 QKG589862 QAK589862 PQO589862 PGS589862 OWW589862 ONA589862 ODE589862 NTI589862 NJM589862 MZQ589862 MPU589862 MFY589862 LWC589862 LMG589862 LCK589862 KSO589862 KIS589862 JYW589862 JPA589862 JFE589862 IVI589862 ILM589862 IBQ589862 HRU589862 HHY589862 GYC589862 GOG589862 GEK589862 FUO589862 FKS589862 FAW589862 ERA589862 EHE589862 DXI589862 DNM589862 DDQ589862 CTU589862 CJY589862 CAC589862 BQG589862 BGK589862 AWO589862 AMS589862 ACW589862 TA589862 JE589862 I589862 WVQ524326 WLU524326 WBY524326 VSC524326 VIG524326 UYK524326 UOO524326 UES524326 TUW524326 TLA524326 TBE524326 SRI524326 SHM524326 RXQ524326 RNU524326 RDY524326 QUC524326 QKG524326 QAK524326 PQO524326 PGS524326 OWW524326 ONA524326 ODE524326 NTI524326 NJM524326 MZQ524326 MPU524326 MFY524326 LWC524326 LMG524326 LCK524326 KSO524326 KIS524326 JYW524326 JPA524326 JFE524326 IVI524326 ILM524326 IBQ524326 HRU524326 HHY524326 GYC524326 GOG524326 GEK524326 FUO524326 FKS524326 FAW524326 ERA524326 EHE524326 DXI524326 DNM524326 DDQ524326 CTU524326 CJY524326 CAC524326 BQG524326 BGK524326 AWO524326 AMS524326 ACW524326 TA524326 JE524326 I524326 WVQ458790 WLU458790 WBY458790 VSC458790 VIG458790 UYK458790 UOO458790 UES458790 TUW458790 TLA458790 TBE458790 SRI458790 SHM458790 RXQ458790 RNU458790 RDY458790 QUC458790 QKG458790 QAK458790 PQO458790 PGS458790 OWW458790 ONA458790 ODE458790 NTI458790 NJM458790 MZQ458790 MPU458790 MFY458790 LWC458790 LMG458790 LCK458790 KSO458790 KIS458790 JYW458790 JPA458790 JFE458790 IVI458790 ILM458790 IBQ458790 HRU458790 HHY458790 GYC458790 GOG458790 GEK458790 FUO458790 FKS458790 FAW458790 ERA458790 EHE458790 DXI458790 DNM458790 DDQ458790 CTU458790 CJY458790 CAC458790 BQG458790 BGK458790 AWO458790 AMS458790 ACW458790 TA458790 JE458790 I458790 WVQ393254 WLU393254 WBY393254 VSC393254 VIG393254 UYK393254 UOO393254 UES393254 TUW393254 TLA393254 TBE393254 SRI393254 SHM393254 RXQ393254 RNU393254 RDY393254 QUC393254 QKG393254 QAK393254 PQO393254 PGS393254 OWW393254 ONA393254 ODE393254 NTI393254 NJM393254 MZQ393254 MPU393254 MFY393254 LWC393254 LMG393254 LCK393254 KSO393254 KIS393254 JYW393254 JPA393254 JFE393254 IVI393254 ILM393254 IBQ393254 HRU393254 HHY393254 GYC393254 GOG393254 GEK393254 FUO393254 FKS393254 FAW393254 ERA393254 EHE393254 DXI393254 DNM393254 DDQ393254 CTU393254 CJY393254 CAC393254 BQG393254 BGK393254 AWO393254 AMS393254 ACW393254 TA393254 JE393254 I393254 WVQ327718 WLU327718 WBY327718 VSC327718 VIG327718 UYK327718 UOO327718 UES327718 TUW327718 TLA327718 TBE327718 SRI327718 SHM327718 RXQ327718 RNU327718 RDY327718 QUC327718 QKG327718 QAK327718 PQO327718 PGS327718 OWW327718 ONA327718 ODE327718 NTI327718 NJM327718 MZQ327718 MPU327718 MFY327718 LWC327718 LMG327718 LCK327718 KSO327718 KIS327718 JYW327718 JPA327718 JFE327718 IVI327718 ILM327718 IBQ327718 HRU327718 HHY327718 GYC327718 GOG327718 GEK327718 FUO327718 FKS327718 FAW327718 ERA327718 EHE327718 DXI327718 DNM327718 DDQ327718 CTU327718 CJY327718 CAC327718 BQG327718 BGK327718 AWO327718 AMS327718 ACW327718 TA327718 JE327718 I327718 WVQ262182 WLU262182 WBY262182 VSC262182 VIG262182 UYK262182 UOO262182 UES262182 TUW262182 TLA262182 TBE262182 SRI262182 SHM262182 RXQ262182 RNU262182 RDY262182 QUC262182 QKG262182 QAK262182 PQO262182 PGS262182 OWW262182 ONA262182 ODE262182 NTI262182 NJM262182 MZQ262182 MPU262182 MFY262182 LWC262182 LMG262182 LCK262182 KSO262182 KIS262182 JYW262182 JPA262182 JFE262182 IVI262182 ILM262182 IBQ262182 HRU262182 HHY262182 GYC262182 GOG262182 GEK262182 FUO262182 FKS262182 FAW262182 ERA262182 EHE262182 DXI262182 DNM262182 DDQ262182 CTU262182 CJY262182 CAC262182 BQG262182 BGK262182 AWO262182 AMS262182 ACW262182 TA262182 JE262182 I262182 WVQ196646 WLU196646 WBY196646 VSC196646 VIG196646 UYK196646 UOO196646 UES196646 TUW196646 TLA196646 TBE196646 SRI196646 SHM196646 RXQ196646 RNU196646 RDY196646 QUC196646 QKG196646 QAK196646 PQO196646 PGS196646 OWW196646 ONA196646 ODE196646 NTI196646 NJM196646 MZQ196646 MPU196646 MFY196646 LWC196646 LMG196646 LCK196646 KSO196646 KIS196646 JYW196646 JPA196646 JFE196646 IVI196646 ILM196646 IBQ196646 HRU196646 HHY196646 GYC196646 GOG196646 GEK196646 FUO196646 FKS196646 FAW196646 ERA196646 EHE196646 DXI196646 DNM196646 DDQ196646 CTU196646 CJY196646 CAC196646 BQG196646 BGK196646 AWO196646 AMS196646 ACW196646 TA196646 JE196646 I196646 WVQ131110 WLU131110 WBY131110 VSC131110 VIG131110 UYK131110 UOO131110 UES131110 TUW131110 TLA131110 TBE131110 SRI131110 SHM131110 RXQ131110 RNU131110 RDY131110 QUC131110 QKG131110 QAK131110 PQO131110 PGS131110 OWW131110 ONA131110 ODE131110 NTI131110 NJM131110 MZQ131110 MPU131110 MFY131110 LWC131110 LMG131110 LCK131110 KSO131110 KIS131110 JYW131110 JPA131110 JFE131110 IVI131110 ILM131110 IBQ131110 HRU131110 HHY131110 GYC131110 GOG131110 GEK131110 FUO131110 FKS131110 FAW131110 ERA131110 EHE131110 DXI131110 DNM131110 DDQ131110 CTU131110 CJY131110 CAC131110 BQG131110 BGK131110 AWO131110 AMS131110 ACW131110 TA131110 JE131110 I131110 WVQ65574 WLU65574 WBY65574 VSC65574 VIG65574 UYK65574 UOO65574 UES65574 TUW65574 TLA65574 TBE65574 SRI65574 SHM65574 RXQ65574 RNU65574 RDY65574 QUC65574 QKG65574 QAK65574 PQO65574 PGS65574 OWW65574 ONA65574 ODE65574 NTI65574 NJM65574 MZQ65574 MPU65574 MFY65574 LWC65574 LMG65574 LCK65574 KSO65574 KIS65574 JYW65574 JPA65574 JFE65574 IVI65574 ILM65574 IBQ65574 HRU65574 HHY65574 GYC65574 GOG65574 GEK65574 FUO65574 FKS65574 FAW65574 ERA65574 EHE65574 DXI65574 DNM65574 DDQ65574 CTU65574 CJY65574 CAC65574 BQG65574 BGK65574 AWO65574 AMS65574 ACW65574 TA65574 JE65574 I65574 WVQ32 WLU32 WBY32 VSC32 VIG32 UYK32 UOO32 UES32 TUW32 TLA32 TBE32 SRI32 SHM32 RXQ32 RNU32 RDY32 QUC32 QKG32 QAK32 PQO32 PGS32 OWW32 ONA32 ODE32 NTI32 NJM32 MZQ32 MPU32 MFY32 LWC32 LMG32 LCK32 KSO32 KIS32 JYW32 JPA32 JFE32 IVI32 ILM32 IBQ32 HRU32 HHY32 GYC32 GOG32 GEK32 FUO32 FKS32 FAW32 ERA32 EHE32 DXI32 DNM32 DDQ32 CTU32 CJY32 CAC32 BQG32 BGK32 AWO32 AMS32 ACW32 TA32 JE32 I32 WWA983078 WME983078 WCI983078 VSM983078 VIQ983078 UYU983078 UOY983078 UFC983078 TVG983078 TLK983078 TBO983078 SRS983078 SHW983078 RYA983078 ROE983078 REI983078 QUM983078 QKQ983078 QAU983078 PQY983078 PHC983078 OXG983078 ONK983078 ODO983078 NTS983078 NJW983078 NAA983078 MQE983078 MGI983078 LWM983078 LMQ983078 LCU983078 KSY983078 KJC983078 JZG983078 JPK983078 JFO983078 IVS983078 ILW983078 ICA983078 HSE983078 HII983078 GYM983078 GOQ983078 GEU983078 FUY983078 FLC983078 FBG983078 ERK983078 EHO983078 DXS983078 DNW983078 DEA983078 CUE983078 CKI983078 CAM983078 BQQ983078 BGU983078 AWY983078 ANC983078 ADG983078 TK983078 JO983078 S983078 WWA917542 WME917542 WCI917542 VSM917542 VIQ917542 UYU917542 UOY917542 UFC917542 TVG917542 TLK917542 TBO917542 SRS917542 SHW917542 RYA917542 ROE917542 REI917542 QUM917542 QKQ917542 QAU917542 PQY917542 PHC917542 OXG917542 ONK917542 ODO917542 NTS917542 NJW917542 NAA917542 MQE917542 MGI917542 LWM917542 LMQ917542 LCU917542 KSY917542 KJC917542 JZG917542 JPK917542 JFO917542 IVS917542 ILW917542 ICA917542 HSE917542 HII917542 GYM917542 GOQ917542 GEU917542 FUY917542 FLC917542 FBG917542 ERK917542 EHO917542 DXS917542 DNW917542 DEA917542 CUE917542 CKI917542 CAM917542 BQQ917542 BGU917542 AWY917542 ANC917542 ADG917542 TK917542 JO917542 S917542 WWA852006 WME852006 WCI852006 VSM852006 VIQ852006 UYU852006 UOY852006 UFC852006 TVG852006 TLK852006 TBO852006 SRS852006 SHW852006 RYA852006 ROE852006 REI852006 QUM852006 QKQ852006 QAU852006 PQY852006 PHC852006 OXG852006 ONK852006 ODO852006 NTS852006 NJW852006 NAA852006 MQE852006 MGI852006 LWM852006 LMQ852006 LCU852006 KSY852006 KJC852006 JZG852006 JPK852006 JFO852006 IVS852006 ILW852006 ICA852006 HSE852006 HII852006 GYM852006 GOQ852006 GEU852006 FUY852006 FLC852006 FBG852006 ERK852006 EHO852006 DXS852006 DNW852006 DEA852006 CUE852006 CKI852006 CAM852006 BQQ852006 BGU852006 AWY852006 ANC852006 ADG852006 TK852006 JO852006 S852006 WWA786470 WME786470 WCI786470 VSM786470 VIQ786470 UYU786470 UOY786470 UFC786470 TVG786470 TLK786470 TBO786470 SRS786470 SHW786470 RYA786470 ROE786470 REI786470 QUM786470 QKQ786470 QAU786470 PQY786470 PHC786470 OXG786470 ONK786470 ODO786470 NTS786470 NJW786470 NAA786470 MQE786470 MGI786470 LWM786470 LMQ786470 LCU786470 KSY786470 KJC786470 JZG786470 JPK786470 JFO786470 IVS786470 ILW786470 ICA786470 HSE786470 HII786470 GYM786470 GOQ786470 GEU786470 FUY786470 FLC786470 FBG786470 ERK786470 EHO786470 DXS786470 DNW786470 DEA786470 CUE786470 CKI786470 CAM786470 BQQ786470 BGU786470 AWY786470 ANC786470 ADG786470 TK786470 JO786470 S786470 WWA720934 WME720934 WCI720934 VSM720934 VIQ720934 UYU720934 UOY720934 UFC720934 TVG720934 TLK720934 TBO720934 SRS720934 SHW720934 RYA720934 ROE720934 REI720934 QUM720934 QKQ720934 QAU720934 PQY720934 PHC720934 OXG720934 ONK720934 ODO720934 NTS720934 NJW720934 NAA720934 MQE720934 MGI720934 LWM720934 LMQ720934 LCU720934 KSY720934 KJC720934 JZG720934 JPK720934 JFO720934 IVS720934 ILW720934 ICA720934 HSE720934 HII720934 GYM720934 GOQ720934 GEU720934 FUY720934 FLC720934 FBG720934 ERK720934 EHO720934 DXS720934 DNW720934 DEA720934 CUE720934 CKI720934 CAM720934 BQQ720934 BGU720934 AWY720934 ANC720934 ADG720934 TK720934 JO720934 S720934 WWA655398 WME655398 WCI655398 VSM655398 VIQ655398 UYU655398 UOY655398 UFC655398 TVG655398 TLK655398 TBO655398 SRS655398 SHW655398 RYA655398 ROE655398 REI655398 QUM655398 QKQ655398 QAU655398 PQY655398 PHC655398 OXG655398 ONK655398 ODO655398 NTS655398 NJW655398 NAA655398 MQE655398 MGI655398 LWM655398 LMQ655398 LCU655398 KSY655398 KJC655398 JZG655398 JPK655398 JFO655398 IVS655398 ILW655398 ICA655398 HSE655398 HII655398 GYM655398 GOQ655398 GEU655398 FUY655398 FLC655398 FBG655398 ERK655398 EHO655398 DXS655398 DNW655398 DEA655398 CUE655398 CKI655398 CAM655398 BQQ655398 BGU655398 AWY655398 ANC655398 ADG655398 TK655398 JO655398 S655398 WWA589862 WME589862 WCI589862 VSM589862 VIQ589862 UYU589862 UOY589862 UFC589862 TVG589862 TLK589862 TBO589862 SRS589862 SHW589862 RYA589862 ROE589862 REI589862 QUM589862 QKQ589862 QAU589862 PQY589862 PHC589862 OXG589862 ONK589862 ODO589862 NTS589862 NJW589862 NAA589862 MQE589862 MGI589862 LWM589862 LMQ589862 LCU589862 KSY589862 KJC589862 JZG589862 JPK589862 JFO589862 IVS589862 ILW589862 ICA589862 HSE589862 HII589862 GYM589862 GOQ589862 GEU589862 FUY589862 FLC589862 FBG589862 ERK589862 EHO589862 DXS589862 DNW589862 DEA589862 CUE589862 CKI589862 CAM589862 BQQ589862 BGU589862 AWY589862 ANC589862 ADG589862 TK589862 JO589862 S589862 WWA524326 WME524326 WCI524326 VSM524326 VIQ524326 UYU524326 UOY524326 UFC524326 TVG524326 TLK524326 TBO524326 SRS524326 SHW524326 RYA524326 ROE524326 REI524326 QUM524326 QKQ524326 QAU524326 PQY524326 PHC524326 OXG524326 ONK524326 ODO524326 NTS524326 NJW524326 NAA524326 MQE524326 MGI524326 LWM524326 LMQ524326 LCU524326 KSY524326 KJC524326 JZG524326 JPK524326 JFO524326 IVS524326 ILW524326 ICA524326 HSE524326 HII524326 GYM524326 GOQ524326 GEU524326 FUY524326 FLC524326 FBG524326 ERK524326 EHO524326 DXS524326 DNW524326 DEA524326 CUE524326 CKI524326 CAM524326 BQQ524326 BGU524326 AWY524326 ANC524326 ADG524326 TK524326 JO524326 S524326 WWA458790 WME458790 WCI458790 VSM458790 VIQ458790 UYU458790 UOY458790 UFC458790 TVG458790 TLK458790 TBO458790 SRS458790 SHW458790 RYA458790 ROE458790 REI458790 QUM458790 QKQ458790 QAU458790 PQY458790 PHC458790 OXG458790 ONK458790 ODO458790 NTS458790 NJW458790 NAA458790 MQE458790 MGI458790 LWM458790 LMQ458790 LCU458790 KSY458790 KJC458790 JZG458790 JPK458790 JFO458790 IVS458790 ILW458790 ICA458790 HSE458790 HII458790 GYM458790 GOQ458790 GEU458790 FUY458790 FLC458790 FBG458790 ERK458790 EHO458790 DXS458790 DNW458790 DEA458790 CUE458790 CKI458790 CAM458790 BQQ458790 BGU458790 AWY458790 ANC458790 ADG458790 TK458790 JO458790 S458790 WWA393254 WME393254 WCI393254 VSM393254 VIQ393254 UYU393254 UOY393254 UFC393254 TVG393254 TLK393254 TBO393254 SRS393254 SHW393254 RYA393254 ROE393254 REI393254 QUM393254 QKQ393254 QAU393254 PQY393254 PHC393254 OXG393254 ONK393254 ODO393254 NTS393254 NJW393254 NAA393254 MQE393254 MGI393254 LWM393254 LMQ393254 LCU393254 KSY393254 KJC393254 JZG393254 JPK393254 JFO393254 IVS393254 ILW393254 ICA393254 HSE393254 HII393254 GYM393254 GOQ393254 GEU393254 FUY393254 FLC393254 FBG393254 ERK393254 EHO393254 DXS393254 DNW393254 DEA393254 CUE393254 CKI393254 CAM393254 BQQ393254 BGU393254 AWY393254 ANC393254 ADG393254 TK393254 JO393254 S393254 WWA327718 WME327718 WCI327718 VSM327718 VIQ327718 UYU327718 UOY327718 UFC327718 TVG327718 TLK327718 TBO327718 SRS327718 SHW327718 RYA327718 ROE327718 REI327718 QUM327718 QKQ327718 QAU327718 PQY327718 PHC327718 OXG327718 ONK327718 ODO327718 NTS327718 NJW327718 NAA327718 MQE327718 MGI327718 LWM327718 LMQ327718 LCU327718 KSY327718 KJC327718 JZG327718 JPK327718 JFO327718 IVS327718 ILW327718 ICA327718 HSE327718 HII327718 GYM327718 GOQ327718 GEU327718 FUY327718 FLC327718 FBG327718 ERK327718 EHO327718 DXS327718 DNW327718 DEA327718 CUE327718 CKI327718 CAM327718 BQQ327718 BGU327718 AWY327718 ANC327718 ADG327718 TK327718 JO327718 S327718 WWA262182 WME262182 WCI262182 VSM262182 VIQ262182 UYU262182 UOY262182 UFC262182 TVG262182 TLK262182 TBO262182 SRS262182 SHW262182 RYA262182 ROE262182 REI262182 QUM262182 QKQ262182 QAU262182 PQY262182 PHC262182 OXG262182 ONK262182 ODO262182 NTS262182 NJW262182 NAA262182 MQE262182 MGI262182 LWM262182 LMQ262182 LCU262182 KSY262182 KJC262182 JZG262182 JPK262182 JFO262182 IVS262182 ILW262182 ICA262182 HSE262182 HII262182 GYM262182 GOQ262182 GEU262182 FUY262182 FLC262182 FBG262182 ERK262182 EHO262182 DXS262182 DNW262182 DEA262182 CUE262182 CKI262182 CAM262182 BQQ262182 BGU262182 AWY262182 ANC262182 ADG262182 TK262182 JO262182 S262182 WWA196646 WME196646 WCI196646 VSM196646 VIQ196646 UYU196646 UOY196646 UFC196646 TVG196646 TLK196646 TBO196646 SRS196646 SHW196646 RYA196646 ROE196646 REI196646 QUM196646 QKQ196646 QAU196646 PQY196646 PHC196646 OXG196646 ONK196646 ODO196646 NTS196646 NJW196646 NAA196646 MQE196646 MGI196646 LWM196646 LMQ196646 LCU196646 KSY196646 KJC196646 JZG196646 JPK196646 JFO196646 IVS196646 ILW196646 ICA196646 HSE196646 HII196646 GYM196646 GOQ196646 GEU196646 FUY196646 FLC196646 FBG196646 ERK196646 EHO196646 DXS196646 DNW196646 DEA196646 CUE196646 CKI196646 CAM196646 BQQ196646 BGU196646 AWY196646 ANC196646 ADG196646 TK196646 JO196646 S196646 WWA131110 WME131110 WCI131110 VSM131110 VIQ131110 UYU131110 UOY131110 UFC131110 TVG131110 TLK131110 TBO131110 SRS131110 SHW131110 RYA131110 ROE131110 REI131110 QUM131110 QKQ131110 QAU131110 PQY131110 PHC131110 OXG131110 ONK131110 ODO131110 NTS131110 NJW131110 NAA131110 MQE131110 MGI131110 LWM131110 LMQ131110 LCU131110 KSY131110 KJC131110 JZG131110 JPK131110 JFO131110 IVS131110 ILW131110 ICA131110 HSE131110 HII131110 GYM131110 GOQ131110 GEU131110 FUY131110 FLC131110 FBG131110 ERK131110 EHO131110 DXS131110 DNW131110 DEA131110 CUE131110 CKI131110 CAM131110 BQQ131110 BGU131110 AWY131110 ANC131110 ADG131110 TK131110 JO131110 S131110 WWA65574 WME65574 WCI65574 VSM65574 VIQ65574 UYU65574 UOY65574 UFC65574 TVG65574 TLK65574 TBO65574 SRS65574 SHW65574 RYA65574 ROE65574 REI65574 QUM65574 QKQ65574 QAU65574 PQY65574 PHC65574 OXG65574 ONK65574 ODO65574 NTS65574 NJW65574 NAA65574 MQE65574 MGI65574 LWM65574 LMQ65574 LCU65574 KSY65574 KJC65574 JZG65574 JPK65574 JFO65574 IVS65574 ILW65574 ICA65574 HSE65574 HII65574 GYM65574 GOQ65574 GEU65574 FUY65574 FLC65574 FBG65574 ERK65574 EHO65574 DXS65574 DNW65574 DEA65574 CUE65574 CKI65574 CAM65574 BQQ65574 BGU65574 AWY65574 ANC65574 ADG65574 TK65574 JO65574 S65574 WWA32 WME32 WCI32 VSM32 VIQ32 UYU32 UOY32 UFC32 TVG32 TLK32 TBO32 SRS32 SHW32 RYA32 ROE32 REI32 QUM32 QKQ32 QAU32 PQY32 PHC32 OXG32 ONK32 ODO32 NTS32 NJW32 NAA32 MQE32 MGI32 LWM32 LMQ32 LCU32 KSY32 KJC32 JZG32 JPK32 JFO32 IVS32 ILW32 ICA32 HSE32 HII32 GYM32 GOQ32 GEU32 FUY32 FLC32 FBG32 ERK32 EHO32 DXS32 DNW32 DEA32 CUE32 CKI32 CAM32 BQQ32 BGU32 AWY32 ANC32 ADG32 TK32 JO32 S32 WWA983081 WME983081 WCI983081 VSM983081 VIQ983081 UYU983081 UOY983081 UFC983081 TVG983081 TLK983081 TBO983081 SRS983081 SHW983081 RYA983081 ROE983081 REI983081 QUM983081 QKQ983081 QAU983081 PQY983081 PHC983081 OXG983081 ONK983081 ODO983081 NTS983081 NJW983081 NAA983081 MQE983081 MGI983081 LWM983081 LMQ983081 LCU983081 KSY983081 KJC983081 JZG983081 JPK983081 JFO983081 IVS983081 ILW983081 ICA983081 HSE983081 HII983081 GYM983081 GOQ983081 GEU983081 FUY983081 FLC983081 FBG983081 ERK983081 EHO983081 DXS983081 DNW983081 DEA983081 CUE983081 CKI983081 CAM983081 BQQ983081 BGU983081 AWY983081 ANC983081 ADG983081 TK983081 JO983081 S983081 WWA917545 WME917545 WCI917545 VSM917545 VIQ917545 UYU917545 UOY917545 UFC917545 TVG917545 TLK917545 TBO917545 SRS917545 SHW917545 RYA917545 ROE917545 REI917545 QUM917545 QKQ917545 QAU917545 PQY917545 PHC917545 OXG917545 ONK917545 ODO917545 NTS917545 NJW917545 NAA917545 MQE917545 MGI917545 LWM917545 LMQ917545 LCU917545 KSY917545 KJC917545 JZG917545 JPK917545 JFO917545 IVS917545 ILW917545 ICA917545 HSE917545 HII917545 GYM917545 GOQ917545 GEU917545 FUY917545 FLC917545 FBG917545 ERK917545 EHO917545 DXS917545 DNW917545 DEA917545 CUE917545 CKI917545 CAM917545 BQQ917545 BGU917545 AWY917545 ANC917545 ADG917545 TK917545 JO917545 S917545 WWA852009 WME852009 WCI852009 VSM852009 VIQ852009 UYU852009 UOY852009 UFC852009 TVG852009 TLK852009 TBO852009 SRS852009 SHW852009 RYA852009 ROE852009 REI852009 QUM852009 QKQ852009 QAU852009 PQY852009 PHC852009 OXG852009 ONK852009 ODO852009 NTS852009 NJW852009 NAA852009 MQE852009 MGI852009 LWM852009 LMQ852009 LCU852009 KSY852009 KJC852009 JZG852009 JPK852009 JFO852009 IVS852009 ILW852009 ICA852009 HSE852009 HII852009 GYM852009 GOQ852009 GEU852009 FUY852009 FLC852009 FBG852009 ERK852009 EHO852009 DXS852009 DNW852009 DEA852009 CUE852009 CKI852009 CAM852009 BQQ852009 BGU852009 AWY852009 ANC852009 ADG852009 TK852009 JO852009 S852009 WWA786473 WME786473 WCI786473 VSM786473 VIQ786473 UYU786473 UOY786473 UFC786473 TVG786473 TLK786473 TBO786473 SRS786473 SHW786473 RYA786473 ROE786473 REI786473 QUM786473 QKQ786473 QAU786473 PQY786473 PHC786473 OXG786473 ONK786473 ODO786473 NTS786473 NJW786473 NAA786473 MQE786473 MGI786473 LWM786473 LMQ786473 LCU786473 KSY786473 KJC786473 JZG786473 JPK786473 JFO786473 IVS786473 ILW786473 ICA786473 HSE786473 HII786473 GYM786473 GOQ786473 GEU786473 FUY786473 FLC786473 FBG786473 ERK786473 EHO786473 DXS786473 DNW786473 DEA786473 CUE786473 CKI786473 CAM786473 BQQ786473 BGU786473 AWY786473 ANC786473 ADG786473 TK786473 JO786473 S786473 WWA720937 WME720937 WCI720937 VSM720937 VIQ720937 UYU720937 UOY720937 UFC720937 TVG720937 TLK720937 TBO720937 SRS720937 SHW720937 RYA720937 ROE720937 REI720937 QUM720937 QKQ720937 QAU720937 PQY720937 PHC720937 OXG720937 ONK720937 ODO720937 NTS720937 NJW720937 NAA720937 MQE720937 MGI720937 LWM720937 LMQ720937 LCU720937 KSY720937 KJC720937 JZG720937 JPK720937 JFO720937 IVS720937 ILW720937 ICA720937 HSE720937 HII720937 GYM720937 GOQ720937 GEU720937 FUY720937 FLC720937 FBG720937 ERK720937 EHO720937 DXS720937 DNW720937 DEA720937 CUE720937 CKI720937 CAM720937 BQQ720937 BGU720937 AWY720937 ANC720937 ADG720937 TK720937 JO720937 S720937 WWA655401 WME655401 WCI655401 VSM655401 VIQ655401 UYU655401 UOY655401 UFC655401 TVG655401 TLK655401 TBO655401 SRS655401 SHW655401 RYA655401 ROE655401 REI655401 QUM655401 QKQ655401 QAU655401 PQY655401 PHC655401 OXG655401 ONK655401 ODO655401 NTS655401 NJW655401 NAA655401 MQE655401 MGI655401 LWM655401 LMQ655401 LCU655401 KSY655401 KJC655401 JZG655401 JPK655401 JFO655401 IVS655401 ILW655401 ICA655401 HSE655401 HII655401 GYM655401 GOQ655401 GEU655401 FUY655401 FLC655401 FBG655401 ERK655401 EHO655401 DXS655401 DNW655401 DEA655401 CUE655401 CKI655401 CAM655401 BQQ655401 BGU655401 AWY655401 ANC655401 ADG655401 TK655401 JO655401 S655401 WWA589865 WME589865 WCI589865 VSM589865 VIQ589865 UYU589865 UOY589865 UFC589865 TVG589865 TLK589865 TBO589865 SRS589865 SHW589865 RYA589865 ROE589865 REI589865 QUM589865 QKQ589865 QAU589865 PQY589865 PHC589865 OXG589865 ONK589865 ODO589865 NTS589865 NJW589865 NAA589865 MQE589865 MGI589865 LWM589865 LMQ589865 LCU589865 KSY589865 KJC589865 JZG589865 JPK589865 JFO589865 IVS589865 ILW589865 ICA589865 HSE589865 HII589865 GYM589865 GOQ589865 GEU589865 FUY589865 FLC589865 FBG589865 ERK589865 EHO589865 DXS589865 DNW589865 DEA589865 CUE589865 CKI589865 CAM589865 BQQ589865 BGU589865 AWY589865 ANC589865 ADG589865 TK589865 JO589865 S589865 WWA524329 WME524329 WCI524329 VSM524329 VIQ524329 UYU524329 UOY524329 UFC524329 TVG524329 TLK524329 TBO524329 SRS524329 SHW524329 RYA524329 ROE524329 REI524329 QUM524329 QKQ524329 QAU524329 PQY524329 PHC524329 OXG524329 ONK524329 ODO524329 NTS524329 NJW524329 NAA524329 MQE524329 MGI524329 LWM524329 LMQ524329 LCU524329 KSY524329 KJC524329 JZG524329 JPK524329 JFO524329 IVS524329 ILW524329 ICA524329 HSE524329 HII524329 GYM524329 GOQ524329 GEU524329 FUY524329 FLC524329 FBG524329 ERK524329 EHO524329 DXS524329 DNW524329 DEA524329 CUE524329 CKI524329 CAM524329 BQQ524329 BGU524329 AWY524329 ANC524329 ADG524329 TK524329 JO524329 S524329 WWA458793 WME458793 WCI458793 VSM458793 VIQ458793 UYU458793 UOY458793 UFC458793 TVG458793 TLK458793 TBO458793 SRS458793 SHW458793 RYA458793 ROE458793 REI458793 QUM458793 QKQ458793 QAU458793 PQY458793 PHC458793 OXG458793 ONK458793 ODO458793 NTS458793 NJW458793 NAA458793 MQE458793 MGI458793 LWM458793 LMQ458793 LCU458793 KSY458793 KJC458793 JZG458793 JPK458793 JFO458793 IVS458793 ILW458793 ICA458793 HSE458793 HII458793 GYM458793 GOQ458793 GEU458793 FUY458793 FLC458793 FBG458793 ERK458793 EHO458793 DXS458793 DNW458793 DEA458793 CUE458793 CKI458793 CAM458793 BQQ458793 BGU458793 AWY458793 ANC458793 ADG458793 TK458793 JO458793 S458793 WWA393257 WME393257 WCI393257 VSM393257 VIQ393257 UYU393257 UOY393257 UFC393257 TVG393257 TLK393257 TBO393257 SRS393257 SHW393257 RYA393257 ROE393257 REI393257 QUM393257 QKQ393257 QAU393257 PQY393257 PHC393257 OXG393257 ONK393257 ODO393257 NTS393257 NJW393257 NAA393257 MQE393257 MGI393257 LWM393257 LMQ393257 LCU393257 KSY393257 KJC393257 JZG393257 JPK393257 JFO393257 IVS393257 ILW393257 ICA393257 HSE393257 HII393257 GYM393257 GOQ393257 GEU393257 FUY393257 FLC393257 FBG393257 ERK393257 EHO393257 DXS393257 DNW393257 DEA393257 CUE393257 CKI393257 CAM393257 BQQ393257 BGU393257 AWY393257 ANC393257 ADG393257 TK393257 JO393257 S393257 WWA327721 WME327721 WCI327721 VSM327721 VIQ327721 UYU327721 UOY327721 UFC327721 TVG327721 TLK327721 TBO327721 SRS327721 SHW327721 RYA327721 ROE327721 REI327721 QUM327721 QKQ327721 QAU327721 PQY327721 PHC327721 OXG327721 ONK327721 ODO327721 NTS327721 NJW327721 NAA327721 MQE327721 MGI327721 LWM327721 LMQ327721 LCU327721 KSY327721 KJC327721 JZG327721 JPK327721 JFO327721 IVS327721 ILW327721 ICA327721 HSE327721 HII327721 GYM327721 GOQ327721 GEU327721 FUY327721 FLC327721 FBG327721 ERK327721 EHO327721 DXS327721 DNW327721 DEA327721 CUE327721 CKI327721 CAM327721 BQQ327721 BGU327721 AWY327721 ANC327721 ADG327721 TK327721 JO327721 S327721 WWA262185 WME262185 WCI262185 VSM262185 VIQ262185 UYU262185 UOY262185 UFC262185 TVG262185 TLK262185 TBO262185 SRS262185 SHW262185 RYA262185 ROE262185 REI262185 QUM262185 QKQ262185 QAU262185 PQY262185 PHC262185 OXG262185 ONK262185 ODO262185 NTS262185 NJW262185 NAA262185 MQE262185 MGI262185 LWM262185 LMQ262185 LCU262185 KSY262185 KJC262185 JZG262185 JPK262185 JFO262185 IVS262185 ILW262185 ICA262185 HSE262185 HII262185 GYM262185 GOQ262185 GEU262185 FUY262185 FLC262185 FBG262185 ERK262185 EHO262185 DXS262185 DNW262185 DEA262185 CUE262185 CKI262185 CAM262185 BQQ262185 BGU262185 AWY262185 ANC262185 ADG262185 TK262185 JO262185 S262185 WWA196649 WME196649 WCI196649 VSM196649 VIQ196649 UYU196649 UOY196649 UFC196649 TVG196649 TLK196649 TBO196649 SRS196649 SHW196649 RYA196649 ROE196649 REI196649 QUM196649 QKQ196649 QAU196649 PQY196649 PHC196649 OXG196649 ONK196649 ODO196649 NTS196649 NJW196649 NAA196649 MQE196649 MGI196649 LWM196649 LMQ196649 LCU196649 KSY196649 KJC196649 JZG196649 JPK196649 JFO196649 IVS196649 ILW196649 ICA196649 HSE196649 HII196649 GYM196649 GOQ196649 GEU196649 FUY196649 FLC196649 FBG196649 ERK196649 EHO196649 DXS196649 DNW196649 DEA196649 CUE196649 CKI196649 CAM196649 BQQ196649 BGU196649 AWY196649 ANC196649 ADG196649 TK196649 JO196649 S196649 WWA131113 WME131113 WCI131113 VSM131113 VIQ131113 UYU131113 UOY131113 UFC131113 TVG131113 TLK131113 TBO131113 SRS131113 SHW131113 RYA131113 ROE131113 REI131113 QUM131113 QKQ131113 QAU131113 PQY131113 PHC131113 OXG131113 ONK131113 ODO131113 NTS131113 NJW131113 NAA131113 MQE131113 MGI131113 LWM131113 LMQ131113 LCU131113 KSY131113 KJC131113 JZG131113 JPK131113 JFO131113 IVS131113 ILW131113 ICA131113 HSE131113 HII131113 GYM131113 GOQ131113 GEU131113 FUY131113 FLC131113 FBG131113 ERK131113 EHO131113 DXS131113 DNW131113 DEA131113 CUE131113 CKI131113 CAM131113 BQQ131113 BGU131113 AWY131113 ANC131113 ADG131113 TK131113 JO131113 S131113 WWA65577 WME65577 WCI65577 VSM65577 VIQ65577 UYU65577 UOY65577 UFC65577 TVG65577 TLK65577 TBO65577 SRS65577 SHW65577 RYA65577 ROE65577 REI65577 QUM65577 QKQ65577 QAU65577 PQY65577 PHC65577 OXG65577 ONK65577 ODO65577 NTS65577 NJW65577 NAA65577 MQE65577 MGI65577 LWM65577 LMQ65577 LCU65577 KSY65577 KJC65577 JZG65577 JPK65577 JFO65577 IVS65577 ILW65577 ICA65577 HSE65577 HII65577 GYM65577 GOQ65577 GEU65577 FUY65577 FLC65577 FBG65577 ERK65577 EHO65577 DXS65577 DNW65577 DEA65577 CUE65577 CKI65577 CAM65577 BQQ65577 BGU65577 AWY65577 ANC65577 ADG65577 TK65577 JO65577 S65577 WWA35 WME35 WCI35 VSM35 VIQ35 UYU35 UOY35 UFC35 TVG35 TLK35 TBO35 SRS35 SHW35 RYA35 ROE35 REI35 QUM35 QKQ35 QAU35 PQY35 PHC35 OXG35 ONK35 ODO35 NTS35 NJW35 NAA35 MQE35 MGI35 LWM35 LMQ35 LCU35 KSY35 KJC35 JZG35 JPK35 JFO35 IVS35 ILW35 ICA35 HSE35 HII35 GYM35 GOQ35 GEU35 FUY35 FLC35 FBG35 ERK35 EHO35 DXS35 DNW35 DEA35 CUE35 CKI35 CAM35 BQQ35 BGU35 AWY35 ANC35 ADG35 TK35 JO35 S35 WVQ983081 WLU983081 WBY983081 VSC983081 VIG983081 UYK983081 UOO983081 UES983081 TUW983081 TLA983081 TBE983081 SRI983081 SHM983081 RXQ983081 RNU983081 RDY983081 QUC983081 QKG983081 QAK983081 PQO983081 PGS983081 OWW983081 ONA983081 ODE983081 NTI983081 NJM983081 MZQ983081 MPU983081 MFY983081 LWC983081 LMG983081 LCK983081 KSO983081 KIS983081 JYW983081 JPA983081 JFE983081 IVI983081 ILM983081 IBQ983081 HRU983081 HHY983081 GYC983081 GOG983081 GEK983081 FUO983081 FKS983081 FAW983081 ERA983081 EHE983081 DXI983081 DNM983081 DDQ983081 CTU983081 CJY983081 CAC983081 BQG983081 BGK983081 AWO983081 AMS983081 ACW983081 TA983081 JE983081 I983081 WVQ917545 WLU917545 WBY917545 VSC917545 VIG917545 UYK917545 UOO917545 UES917545 TUW917545 TLA917545 TBE917545 SRI917545 SHM917545 RXQ917545 RNU917545 RDY917545 QUC917545 QKG917545 QAK917545 PQO917545 PGS917545 OWW917545 ONA917545 ODE917545 NTI917545 NJM917545 MZQ917545 MPU917545 MFY917545 LWC917545 LMG917545 LCK917545 KSO917545 KIS917545 JYW917545 JPA917545 JFE917545 IVI917545 ILM917545 IBQ917545 HRU917545 HHY917545 GYC917545 GOG917545 GEK917545 FUO917545 FKS917545 FAW917545 ERA917545 EHE917545 DXI917545 DNM917545 DDQ917545 CTU917545 CJY917545 CAC917545 BQG917545 BGK917545 AWO917545 AMS917545 ACW917545 TA917545 JE917545 I917545 WVQ852009 WLU852009 WBY852009 VSC852009 VIG852009 UYK852009 UOO852009 UES852009 TUW852009 TLA852009 TBE852009 SRI852009 SHM852009 RXQ852009 RNU852009 RDY852009 QUC852009 QKG852009 QAK852009 PQO852009 PGS852009 OWW852009 ONA852009 ODE852009 NTI852009 NJM852009 MZQ852009 MPU852009 MFY852009 LWC852009 LMG852009 LCK852009 KSO852009 KIS852009 JYW852009 JPA852009 JFE852009 IVI852009 ILM852009 IBQ852009 HRU852009 HHY852009 GYC852009 GOG852009 GEK852009 FUO852009 FKS852009 FAW852009 ERA852009 EHE852009 DXI852009 DNM852009 DDQ852009 CTU852009 CJY852009 CAC852009 BQG852009 BGK852009 AWO852009 AMS852009 ACW852009 TA852009 JE852009 I852009 WVQ786473 WLU786473 WBY786473 VSC786473 VIG786473 UYK786473 UOO786473 UES786473 TUW786473 TLA786473 TBE786473 SRI786473 SHM786473 RXQ786473 RNU786473 RDY786473 QUC786473 QKG786473 QAK786473 PQO786473 PGS786473 OWW786473 ONA786473 ODE786473 NTI786473 NJM786473 MZQ786473 MPU786473 MFY786473 LWC786473 LMG786473 LCK786473 KSO786473 KIS786473 JYW786473 JPA786473 JFE786473 IVI786473 ILM786473 IBQ786473 HRU786473 HHY786473 GYC786473 GOG786473 GEK786473 FUO786473 FKS786473 FAW786473 ERA786473 EHE786473 DXI786473 DNM786473 DDQ786473 CTU786473 CJY786473 CAC786473 BQG786473 BGK786473 AWO786473 AMS786473 ACW786473 TA786473 JE786473 I786473 WVQ720937 WLU720937 WBY720937 VSC720937 VIG720937 UYK720937 UOO720937 UES720937 TUW720937 TLA720937 TBE720937 SRI720937 SHM720937 RXQ720937 RNU720937 RDY720937 QUC720937 QKG720937 QAK720937 PQO720937 PGS720937 OWW720937 ONA720937 ODE720937 NTI720937 NJM720937 MZQ720937 MPU720937 MFY720937 LWC720937 LMG720937 LCK720937 KSO720937 KIS720937 JYW720937 JPA720937 JFE720937 IVI720937 ILM720937 IBQ720937 HRU720937 HHY720937 GYC720937 GOG720937 GEK720937 FUO720937 FKS720937 FAW720937 ERA720937 EHE720937 DXI720937 DNM720937 DDQ720937 CTU720937 CJY720937 CAC720937 BQG720937 BGK720937 AWO720937 AMS720937 ACW720937 TA720937 JE720937 I720937 WVQ655401 WLU655401 WBY655401 VSC655401 VIG655401 UYK655401 UOO655401 UES655401 TUW655401 TLA655401 TBE655401 SRI655401 SHM655401 RXQ655401 RNU655401 RDY655401 QUC655401 QKG655401 QAK655401 PQO655401 PGS655401 OWW655401 ONA655401 ODE655401 NTI655401 NJM655401 MZQ655401 MPU655401 MFY655401 LWC655401 LMG655401 LCK655401 KSO655401 KIS655401 JYW655401 JPA655401 JFE655401 IVI655401 ILM655401 IBQ655401 HRU655401 HHY655401 GYC655401 GOG655401 GEK655401 FUO655401 FKS655401 FAW655401 ERA655401 EHE655401 DXI655401 DNM655401 DDQ655401 CTU655401 CJY655401 CAC655401 BQG655401 BGK655401 AWO655401 AMS655401 ACW655401 TA655401 JE655401 I655401 WVQ589865 WLU589865 WBY589865 VSC589865 VIG589865 UYK589865 UOO589865 UES589865 TUW589865 TLA589865 TBE589865 SRI589865 SHM589865 RXQ589865 RNU589865 RDY589865 QUC589865 QKG589865 QAK589865 PQO589865 PGS589865 OWW589865 ONA589865 ODE589865 NTI589865 NJM589865 MZQ589865 MPU589865 MFY589865 LWC589865 LMG589865 LCK589865 KSO589865 KIS589865 JYW589865 JPA589865 JFE589865 IVI589865 ILM589865 IBQ589865 HRU589865 HHY589865 GYC589865 GOG589865 GEK589865 FUO589865 FKS589865 FAW589865 ERA589865 EHE589865 DXI589865 DNM589865 DDQ589865 CTU589865 CJY589865 CAC589865 BQG589865 BGK589865 AWO589865 AMS589865 ACW589865 TA589865 JE589865 I589865 WVQ524329 WLU524329 WBY524329 VSC524329 VIG524329 UYK524329 UOO524329 UES524329 TUW524329 TLA524329 TBE524329 SRI524329 SHM524329 RXQ524329 RNU524329 RDY524329 QUC524329 QKG524329 QAK524329 PQO524329 PGS524329 OWW524329 ONA524329 ODE524329 NTI524329 NJM524329 MZQ524329 MPU524329 MFY524329 LWC524329 LMG524329 LCK524329 KSO524329 KIS524329 JYW524329 JPA524329 JFE524329 IVI524329 ILM524329 IBQ524329 HRU524329 HHY524329 GYC524329 GOG524329 GEK524329 FUO524329 FKS524329 FAW524329 ERA524329 EHE524329 DXI524329 DNM524329 DDQ524329 CTU524329 CJY524329 CAC524329 BQG524329 BGK524329 AWO524329 AMS524329 ACW524329 TA524329 JE524329 I524329 WVQ458793 WLU458793 WBY458793 VSC458793 VIG458793 UYK458793 UOO458793 UES458793 TUW458793 TLA458793 TBE458793 SRI458793 SHM458793 RXQ458793 RNU458793 RDY458793 QUC458793 QKG458793 QAK458793 PQO458793 PGS458793 OWW458793 ONA458793 ODE458793 NTI458793 NJM458793 MZQ458793 MPU458793 MFY458793 LWC458793 LMG458793 LCK458793 KSO458793 KIS458793 JYW458793 JPA458793 JFE458793 IVI458793 ILM458793 IBQ458793 HRU458793 HHY458793 GYC458793 GOG458793 GEK458793 FUO458793 FKS458793 FAW458793 ERA458793 EHE458793 DXI458793 DNM458793 DDQ458793 CTU458793 CJY458793 CAC458793 BQG458793 BGK458793 AWO458793 AMS458793 ACW458793 TA458793 JE458793 I458793 WVQ393257 WLU393257 WBY393257 VSC393257 VIG393257 UYK393257 UOO393257 UES393257 TUW393257 TLA393257 TBE393257 SRI393257 SHM393257 RXQ393257 RNU393257 RDY393257 QUC393257 QKG393257 QAK393257 PQO393257 PGS393257 OWW393257 ONA393257 ODE393257 NTI393257 NJM393257 MZQ393257 MPU393257 MFY393257 LWC393257 LMG393257 LCK393257 KSO393257 KIS393257 JYW393257 JPA393257 JFE393257 IVI393257 ILM393257 IBQ393257 HRU393257 HHY393257 GYC393257 GOG393257 GEK393257 FUO393257 FKS393257 FAW393257 ERA393257 EHE393257 DXI393257 DNM393257 DDQ393257 CTU393257 CJY393257 CAC393257 BQG393257 BGK393257 AWO393257 AMS393257 ACW393257 TA393257 JE393257 I393257 WVQ327721 WLU327721 WBY327721 VSC327721 VIG327721 UYK327721 UOO327721 UES327721 TUW327721 TLA327721 TBE327721 SRI327721 SHM327721 RXQ327721 RNU327721 RDY327721 QUC327721 QKG327721 QAK327721 PQO327721 PGS327721 OWW327721 ONA327721 ODE327721 NTI327721 NJM327721 MZQ327721 MPU327721 MFY327721 LWC327721 LMG327721 LCK327721 KSO327721 KIS327721 JYW327721 JPA327721 JFE327721 IVI327721 ILM327721 IBQ327721 HRU327721 HHY327721 GYC327721 GOG327721 GEK327721 FUO327721 FKS327721 FAW327721 ERA327721 EHE327721 DXI327721 DNM327721 DDQ327721 CTU327721 CJY327721 CAC327721 BQG327721 BGK327721 AWO327721 AMS327721 ACW327721 TA327721 JE327721 I327721 WVQ262185 WLU262185 WBY262185 VSC262185 VIG262185 UYK262185 UOO262185 UES262185 TUW262185 TLA262185 TBE262185 SRI262185 SHM262185 RXQ262185 RNU262185 RDY262185 QUC262185 QKG262185 QAK262185 PQO262185 PGS262185 OWW262185 ONA262185 ODE262185 NTI262185 NJM262185 MZQ262185 MPU262185 MFY262185 LWC262185 LMG262185 LCK262185 KSO262185 KIS262185 JYW262185 JPA262185 JFE262185 IVI262185 ILM262185 IBQ262185 HRU262185 HHY262185 GYC262185 GOG262185 GEK262185 FUO262185 FKS262185 FAW262185 ERA262185 EHE262185 DXI262185 DNM262185 DDQ262185 CTU262185 CJY262185 CAC262185 BQG262185 BGK262185 AWO262185 AMS262185 ACW262185 TA262185 JE262185 I262185 WVQ196649 WLU196649 WBY196649 VSC196649 VIG196649 UYK196649 UOO196649 UES196649 TUW196649 TLA196649 TBE196649 SRI196649 SHM196649 RXQ196649 RNU196649 RDY196649 QUC196649 QKG196649 QAK196649 PQO196649 PGS196649 OWW196649 ONA196649 ODE196649 NTI196649 NJM196649 MZQ196649 MPU196649 MFY196649 LWC196649 LMG196649 LCK196649 KSO196649 KIS196649 JYW196649 JPA196649 JFE196649 IVI196649 ILM196649 IBQ196649 HRU196649 HHY196649 GYC196649 GOG196649 GEK196649 FUO196649 FKS196649 FAW196649 ERA196649 EHE196649 DXI196649 DNM196649 DDQ196649 CTU196649 CJY196649 CAC196649 BQG196649 BGK196649 AWO196649 AMS196649 ACW196649 TA196649 JE196649 I196649 WVQ131113 WLU131113 WBY131113 VSC131113 VIG131113 UYK131113 UOO131113 UES131113 TUW131113 TLA131113 TBE131113 SRI131113 SHM131113 RXQ131113 RNU131113 RDY131113 QUC131113 QKG131113 QAK131113 PQO131113 PGS131113 OWW131113 ONA131113 ODE131113 NTI131113 NJM131113 MZQ131113 MPU131113 MFY131113 LWC131113 LMG131113 LCK131113 KSO131113 KIS131113 JYW131113 JPA131113 JFE131113 IVI131113 ILM131113 IBQ131113 HRU131113 HHY131113 GYC131113 GOG131113 GEK131113 FUO131113 FKS131113 FAW131113 ERA131113 EHE131113 DXI131113 DNM131113 DDQ131113 CTU131113 CJY131113 CAC131113 BQG131113 BGK131113 AWO131113 AMS131113 ACW131113 TA131113 JE131113 I131113 WVQ65577 WLU65577 WBY65577 VSC65577 VIG65577 UYK65577 UOO65577 UES65577 TUW65577 TLA65577 TBE65577 SRI65577 SHM65577 RXQ65577 RNU65577 RDY65577 QUC65577 QKG65577 QAK65577 PQO65577 PGS65577 OWW65577 ONA65577 ODE65577 NTI65577 NJM65577 MZQ65577 MPU65577 MFY65577 LWC65577 LMG65577 LCK65577 KSO65577 KIS65577 JYW65577 JPA65577 JFE65577 IVI65577 ILM65577 IBQ65577 HRU65577 HHY65577 GYC65577 GOG65577 GEK65577 FUO65577 FKS65577 FAW65577 ERA65577 EHE65577 DXI65577 DNM65577 DDQ65577 CTU65577 CJY65577 CAC65577 BQG65577 BGK65577 AWO65577 AMS65577 ACW65577 TA65577 JE65577 I65577 WVQ35 WLU35 WBY35 VSC35 VIG35 UYK35 UOO35 UES35 TUW35 TLA35 TBE35 SRI35 SHM35 RXQ35 RNU35 RDY35 QUC35 QKG35 QAK35 PQO35 PGS35 OWW35 ONA35 ODE35 NTI35 NJM35 MZQ35 MPU35 MFY35 LWC35 LMG35 LCK35 KSO35 KIS35 JYW35 JPA35 JFE35 IVI35 ILM35 IBQ35 HRU35 HHY35 GYC35 GOG35 GEK35 FUO35 FKS35 FAW35 ERA35 EHE35 DXI35 DNM35 DDQ35 CTU35 CJY35 CAC35 BQG35 BGK35 AWO35 AMS35 ACW35 TA35 JE35 I35 WVQ983084:WVQ983085 WLU983084:WLU983085 WBY983084:WBY983085 VSC983084:VSC983085 VIG983084:VIG983085 UYK983084:UYK983085 UOO983084:UOO983085 UES983084:UES983085 TUW983084:TUW983085 TLA983084:TLA983085 TBE983084:TBE983085 SRI983084:SRI983085 SHM983084:SHM983085 RXQ983084:RXQ983085 RNU983084:RNU983085 RDY983084:RDY983085 QUC983084:QUC983085 QKG983084:QKG983085 QAK983084:QAK983085 PQO983084:PQO983085 PGS983084:PGS983085 OWW983084:OWW983085 ONA983084:ONA983085 ODE983084:ODE983085 NTI983084:NTI983085 NJM983084:NJM983085 MZQ983084:MZQ983085 MPU983084:MPU983085 MFY983084:MFY983085 LWC983084:LWC983085 LMG983084:LMG983085 LCK983084:LCK983085 KSO983084:KSO983085 KIS983084:KIS983085 JYW983084:JYW983085 JPA983084:JPA983085 JFE983084:JFE983085 IVI983084:IVI983085 ILM983084:ILM983085 IBQ983084:IBQ983085 HRU983084:HRU983085 HHY983084:HHY983085 GYC983084:GYC983085 GOG983084:GOG983085 GEK983084:GEK983085 FUO983084:FUO983085 FKS983084:FKS983085 FAW983084:FAW983085 ERA983084:ERA983085 EHE983084:EHE983085 DXI983084:DXI983085 DNM983084:DNM983085 DDQ983084:DDQ983085 CTU983084:CTU983085 CJY983084:CJY983085 CAC983084:CAC983085 BQG983084:BQG983085 BGK983084:BGK983085 AWO983084:AWO983085 AMS983084:AMS983085 ACW983084:ACW983085 TA983084:TA983085 JE983084:JE983085 I983084:I983085 WVQ917548:WVQ917549 WLU917548:WLU917549 WBY917548:WBY917549 VSC917548:VSC917549 VIG917548:VIG917549 UYK917548:UYK917549 UOO917548:UOO917549 UES917548:UES917549 TUW917548:TUW917549 TLA917548:TLA917549 TBE917548:TBE917549 SRI917548:SRI917549 SHM917548:SHM917549 RXQ917548:RXQ917549 RNU917548:RNU917549 RDY917548:RDY917549 QUC917548:QUC917549 QKG917548:QKG917549 QAK917548:QAK917549 PQO917548:PQO917549 PGS917548:PGS917549 OWW917548:OWW917549 ONA917548:ONA917549 ODE917548:ODE917549 NTI917548:NTI917549 NJM917548:NJM917549 MZQ917548:MZQ917549 MPU917548:MPU917549 MFY917548:MFY917549 LWC917548:LWC917549 LMG917548:LMG917549 LCK917548:LCK917549 KSO917548:KSO917549 KIS917548:KIS917549 JYW917548:JYW917549 JPA917548:JPA917549 JFE917548:JFE917549 IVI917548:IVI917549 ILM917548:ILM917549 IBQ917548:IBQ917549 HRU917548:HRU917549 HHY917548:HHY917549 GYC917548:GYC917549 GOG917548:GOG917549 GEK917548:GEK917549 FUO917548:FUO917549 FKS917548:FKS917549 FAW917548:FAW917549 ERA917548:ERA917549 EHE917548:EHE917549 DXI917548:DXI917549 DNM917548:DNM917549 DDQ917548:DDQ917549 CTU917548:CTU917549 CJY917548:CJY917549 CAC917548:CAC917549 BQG917548:BQG917549 BGK917548:BGK917549 AWO917548:AWO917549 AMS917548:AMS917549 ACW917548:ACW917549 TA917548:TA917549 JE917548:JE917549 I917548:I917549 WVQ852012:WVQ852013 WLU852012:WLU852013 WBY852012:WBY852013 VSC852012:VSC852013 VIG852012:VIG852013 UYK852012:UYK852013 UOO852012:UOO852013 UES852012:UES852013 TUW852012:TUW852013 TLA852012:TLA852013 TBE852012:TBE852013 SRI852012:SRI852013 SHM852012:SHM852013 RXQ852012:RXQ852013 RNU852012:RNU852013 RDY852012:RDY852013 QUC852012:QUC852013 QKG852012:QKG852013 QAK852012:QAK852013 PQO852012:PQO852013 PGS852012:PGS852013 OWW852012:OWW852013 ONA852012:ONA852013 ODE852012:ODE852013 NTI852012:NTI852013 NJM852012:NJM852013 MZQ852012:MZQ852013 MPU852012:MPU852013 MFY852012:MFY852013 LWC852012:LWC852013 LMG852012:LMG852013 LCK852012:LCK852013 KSO852012:KSO852013 KIS852012:KIS852013 JYW852012:JYW852013 JPA852012:JPA852013 JFE852012:JFE852013 IVI852012:IVI852013 ILM852012:ILM852013 IBQ852012:IBQ852013 HRU852012:HRU852013 HHY852012:HHY852013 GYC852012:GYC852013 GOG852012:GOG852013 GEK852012:GEK852013 FUO852012:FUO852013 FKS852012:FKS852013 FAW852012:FAW852013 ERA852012:ERA852013 EHE852012:EHE852013 DXI852012:DXI852013 DNM852012:DNM852013 DDQ852012:DDQ852013 CTU852012:CTU852013 CJY852012:CJY852013 CAC852012:CAC852013 BQG852012:BQG852013 BGK852012:BGK852013 AWO852012:AWO852013 AMS852012:AMS852013 ACW852012:ACW852013 TA852012:TA852013 JE852012:JE852013 I852012:I852013 WVQ786476:WVQ786477 WLU786476:WLU786477 WBY786476:WBY786477 VSC786476:VSC786477 VIG786476:VIG786477 UYK786476:UYK786477 UOO786476:UOO786477 UES786476:UES786477 TUW786476:TUW786477 TLA786476:TLA786477 TBE786476:TBE786477 SRI786476:SRI786477 SHM786476:SHM786477 RXQ786476:RXQ786477 RNU786476:RNU786477 RDY786476:RDY786477 QUC786476:QUC786477 QKG786476:QKG786477 QAK786476:QAK786477 PQO786476:PQO786477 PGS786476:PGS786477 OWW786476:OWW786477 ONA786476:ONA786477 ODE786476:ODE786477 NTI786476:NTI786477 NJM786476:NJM786477 MZQ786476:MZQ786477 MPU786476:MPU786477 MFY786476:MFY786477 LWC786476:LWC786477 LMG786476:LMG786477 LCK786476:LCK786477 KSO786476:KSO786477 KIS786476:KIS786477 JYW786476:JYW786477 JPA786476:JPA786477 JFE786476:JFE786477 IVI786476:IVI786477 ILM786476:ILM786477 IBQ786476:IBQ786477 HRU786476:HRU786477 HHY786476:HHY786477 GYC786476:GYC786477 GOG786476:GOG786477 GEK786476:GEK786477 FUO786476:FUO786477 FKS786476:FKS786477 FAW786476:FAW786477 ERA786476:ERA786477 EHE786476:EHE786477 DXI786476:DXI786477 DNM786476:DNM786477 DDQ786476:DDQ786477 CTU786476:CTU786477 CJY786476:CJY786477 CAC786476:CAC786477 BQG786476:BQG786477 BGK786476:BGK786477 AWO786476:AWO786477 AMS786476:AMS786477 ACW786476:ACW786477 TA786476:TA786477 JE786476:JE786477 I786476:I786477 WVQ720940:WVQ720941 WLU720940:WLU720941 WBY720940:WBY720941 VSC720940:VSC720941 VIG720940:VIG720941 UYK720940:UYK720941 UOO720940:UOO720941 UES720940:UES720941 TUW720940:TUW720941 TLA720940:TLA720941 TBE720940:TBE720941 SRI720940:SRI720941 SHM720940:SHM720941 RXQ720940:RXQ720941 RNU720940:RNU720941 RDY720940:RDY720941 QUC720940:QUC720941 QKG720940:QKG720941 QAK720940:QAK720941 PQO720940:PQO720941 PGS720940:PGS720941 OWW720940:OWW720941 ONA720940:ONA720941 ODE720940:ODE720941 NTI720940:NTI720941 NJM720940:NJM720941 MZQ720940:MZQ720941 MPU720940:MPU720941 MFY720940:MFY720941 LWC720940:LWC720941 LMG720940:LMG720941 LCK720940:LCK720941 KSO720940:KSO720941 KIS720940:KIS720941 JYW720940:JYW720941 JPA720940:JPA720941 JFE720940:JFE720941 IVI720940:IVI720941 ILM720940:ILM720941 IBQ720940:IBQ720941 HRU720940:HRU720941 HHY720940:HHY720941 GYC720940:GYC720941 GOG720940:GOG720941 GEK720940:GEK720941 FUO720940:FUO720941 FKS720940:FKS720941 FAW720940:FAW720941 ERA720940:ERA720941 EHE720940:EHE720941 DXI720940:DXI720941 DNM720940:DNM720941 DDQ720940:DDQ720941 CTU720940:CTU720941 CJY720940:CJY720941 CAC720940:CAC720941 BQG720940:BQG720941 BGK720940:BGK720941 AWO720940:AWO720941 AMS720940:AMS720941 ACW720940:ACW720941 TA720940:TA720941 JE720940:JE720941 I720940:I720941 WVQ655404:WVQ655405 WLU655404:WLU655405 WBY655404:WBY655405 VSC655404:VSC655405 VIG655404:VIG655405 UYK655404:UYK655405 UOO655404:UOO655405 UES655404:UES655405 TUW655404:TUW655405 TLA655404:TLA655405 TBE655404:TBE655405 SRI655404:SRI655405 SHM655404:SHM655405 RXQ655404:RXQ655405 RNU655404:RNU655405 RDY655404:RDY655405 QUC655404:QUC655405 QKG655404:QKG655405 QAK655404:QAK655405 PQO655404:PQO655405 PGS655404:PGS655405 OWW655404:OWW655405 ONA655404:ONA655405 ODE655404:ODE655405 NTI655404:NTI655405 NJM655404:NJM655405 MZQ655404:MZQ655405 MPU655404:MPU655405 MFY655404:MFY655405 LWC655404:LWC655405 LMG655404:LMG655405 LCK655404:LCK655405 KSO655404:KSO655405 KIS655404:KIS655405 JYW655404:JYW655405 JPA655404:JPA655405 JFE655404:JFE655405 IVI655404:IVI655405 ILM655404:ILM655405 IBQ655404:IBQ655405 HRU655404:HRU655405 HHY655404:HHY655405 GYC655404:GYC655405 GOG655404:GOG655405 GEK655404:GEK655405 FUO655404:FUO655405 FKS655404:FKS655405 FAW655404:FAW655405 ERA655404:ERA655405 EHE655404:EHE655405 DXI655404:DXI655405 DNM655404:DNM655405 DDQ655404:DDQ655405 CTU655404:CTU655405 CJY655404:CJY655405 CAC655404:CAC655405 BQG655404:BQG655405 BGK655404:BGK655405 AWO655404:AWO655405 AMS655404:AMS655405 ACW655404:ACW655405 TA655404:TA655405 JE655404:JE655405 I655404:I655405 WVQ589868:WVQ589869 WLU589868:WLU589869 WBY589868:WBY589869 VSC589868:VSC589869 VIG589868:VIG589869 UYK589868:UYK589869 UOO589868:UOO589869 UES589868:UES589869 TUW589868:TUW589869 TLA589868:TLA589869 TBE589868:TBE589869 SRI589868:SRI589869 SHM589868:SHM589869 RXQ589868:RXQ589869 RNU589868:RNU589869 RDY589868:RDY589869 QUC589868:QUC589869 QKG589868:QKG589869 QAK589868:QAK589869 PQO589868:PQO589869 PGS589868:PGS589869 OWW589868:OWW589869 ONA589868:ONA589869 ODE589868:ODE589869 NTI589868:NTI589869 NJM589868:NJM589869 MZQ589868:MZQ589869 MPU589868:MPU589869 MFY589868:MFY589869 LWC589868:LWC589869 LMG589868:LMG589869 LCK589868:LCK589869 KSO589868:KSO589869 KIS589868:KIS589869 JYW589868:JYW589869 JPA589868:JPA589869 JFE589868:JFE589869 IVI589868:IVI589869 ILM589868:ILM589869 IBQ589868:IBQ589869 HRU589868:HRU589869 HHY589868:HHY589869 GYC589868:GYC589869 GOG589868:GOG589869 GEK589868:GEK589869 FUO589868:FUO589869 FKS589868:FKS589869 FAW589868:FAW589869 ERA589868:ERA589869 EHE589868:EHE589869 DXI589868:DXI589869 DNM589868:DNM589869 DDQ589868:DDQ589869 CTU589868:CTU589869 CJY589868:CJY589869 CAC589868:CAC589869 BQG589868:BQG589869 BGK589868:BGK589869 AWO589868:AWO589869 AMS589868:AMS589869 ACW589868:ACW589869 TA589868:TA589869 JE589868:JE589869 I589868:I589869 WVQ524332:WVQ524333 WLU524332:WLU524333 WBY524332:WBY524333 VSC524332:VSC524333 VIG524332:VIG524333 UYK524332:UYK524333 UOO524332:UOO524333 UES524332:UES524333 TUW524332:TUW524333 TLA524332:TLA524333 TBE524332:TBE524333 SRI524332:SRI524333 SHM524332:SHM524333 RXQ524332:RXQ524333 RNU524332:RNU524333 RDY524332:RDY524333 QUC524332:QUC524333 QKG524332:QKG524333 QAK524332:QAK524333 PQO524332:PQO524333 PGS524332:PGS524333 OWW524332:OWW524333 ONA524332:ONA524333 ODE524332:ODE524333 NTI524332:NTI524333 NJM524332:NJM524333 MZQ524332:MZQ524333 MPU524332:MPU524333 MFY524332:MFY524333 LWC524332:LWC524333 LMG524332:LMG524333 LCK524332:LCK524333 KSO524332:KSO524333 KIS524332:KIS524333 JYW524332:JYW524333 JPA524332:JPA524333 JFE524332:JFE524333 IVI524332:IVI524333 ILM524332:ILM524333 IBQ524332:IBQ524333 HRU524332:HRU524333 HHY524332:HHY524333 GYC524332:GYC524333 GOG524332:GOG524333 GEK524332:GEK524333 FUO524332:FUO524333 FKS524332:FKS524333 FAW524332:FAW524333 ERA524332:ERA524333 EHE524332:EHE524333 DXI524332:DXI524333 DNM524332:DNM524333 DDQ524332:DDQ524333 CTU524332:CTU524333 CJY524332:CJY524333 CAC524332:CAC524333 BQG524332:BQG524333 BGK524332:BGK524333 AWO524332:AWO524333 AMS524332:AMS524333 ACW524332:ACW524333 TA524332:TA524333 JE524332:JE524333 I524332:I524333 WVQ458796:WVQ458797 WLU458796:WLU458797 WBY458796:WBY458797 VSC458796:VSC458797 VIG458796:VIG458797 UYK458796:UYK458797 UOO458796:UOO458797 UES458796:UES458797 TUW458796:TUW458797 TLA458796:TLA458797 TBE458796:TBE458797 SRI458796:SRI458797 SHM458796:SHM458797 RXQ458796:RXQ458797 RNU458796:RNU458797 RDY458796:RDY458797 QUC458796:QUC458797 QKG458796:QKG458797 QAK458796:QAK458797 PQO458796:PQO458797 PGS458796:PGS458797 OWW458796:OWW458797 ONA458796:ONA458797 ODE458796:ODE458797 NTI458796:NTI458797 NJM458796:NJM458797 MZQ458796:MZQ458797 MPU458796:MPU458797 MFY458796:MFY458797 LWC458796:LWC458797 LMG458796:LMG458797 LCK458796:LCK458797 KSO458796:KSO458797 KIS458796:KIS458797 JYW458796:JYW458797 JPA458796:JPA458797 JFE458796:JFE458797 IVI458796:IVI458797 ILM458796:ILM458797 IBQ458796:IBQ458797 HRU458796:HRU458797 HHY458796:HHY458797 GYC458796:GYC458797 GOG458796:GOG458797 GEK458796:GEK458797 FUO458796:FUO458797 FKS458796:FKS458797 FAW458796:FAW458797 ERA458796:ERA458797 EHE458796:EHE458797 DXI458796:DXI458797 DNM458796:DNM458797 DDQ458796:DDQ458797 CTU458796:CTU458797 CJY458796:CJY458797 CAC458796:CAC458797 BQG458796:BQG458797 BGK458796:BGK458797 AWO458796:AWO458797 AMS458796:AMS458797 ACW458796:ACW458797 TA458796:TA458797 JE458796:JE458797 I458796:I458797 WVQ393260:WVQ393261 WLU393260:WLU393261 WBY393260:WBY393261 VSC393260:VSC393261 VIG393260:VIG393261 UYK393260:UYK393261 UOO393260:UOO393261 UES393260:UES393261 TUW393260:TUW393261 TLA393260:TLA393261 TBE393260:TBE393261 SRI393260:SRI393261 SHM393260:SHM393261 RXQ393260:RXQ393261 RNU393260:RNU393261 RDY393260:RDY393261 QUC393260:QUC393261 QKG393260:QKG393261 QAK393260:QAK393261 PQO393260:PQO393261 PGS393260:PGS393261 OWW393260:OWW393261 ONA393260:ONA393261 ODE393260:ODE393261 NTI393260:NTI393261 NJM393260:NJM393261 MZQ393260:MZQ393261 MPU393260:MPU393261 MFY393260:MFY393261 LWC393260:LWC393261 LMG393260:LMG393261 LCK393260:LCK393261 KSO393260:KSO393261 KIS393260:KIS393261 JYW393260:JYW393261 JPA393260:JPA393261 JFE393260:JFE393261 IVI393260:IVI393261 ILM393260:ILM393261 IBQ393260:IBQ393261 HRU393260:HRU393261 HHY393260:HHY393261 GYC393260:GYC393261 GOG393260:GOG393261 GEK393260:GEK393261 FUO393260:FUO393261 FKS393260:FKS393261 FAW393260:FAW393261 ERA393260:ERA393261 EHE393260:EHE393261 DXI393260:DXI393261 DNM393260:DNM393261 DDQ393260:DDQ393261 CTU393260:CTU393261 CJY393260:CJY393261 CAC393260:CAC393261 BQG393260:BQG393261 BGK393260:BGK393261 AWO393260:AWO393261 AMS393260:AMS393261 ACW393260:ACW393261 TA393260:TA393261 JE393260:JE393261 I393260:I393261 WVQ327724:WVQ327725 WLU327724:WLU327725 WBY327724:WBY327725 VSC327724:VSC327725 VIG327724:VIG327725 UYK327724:UYK327725 UOO327724:UOO327725 UES327724:UES327725 TUW327724:TUW327725 TLA327724:TLA327725 TBE327724:TBE327725 SRI327724:SRI327725 SHM327724:SHM327725 RXQ327724:RXQ327725 RNU327724:RNU327725 RDY327724:RDY327725 QUC327724:QUC327725 QKG327724:QKG327725 QAK327724:QAK327725 PQO327724:PQO327725 PGS327724:PGS327725 OWW327724:OWW327725 ONA327724:ONA327725 ODE327724:ODE327725 NTI327724:NTI327725 NJM327724:NJM327725 MZQ327724:MZQ327725 MPU327724:MPU327725 MFY327724:MFY327725 LWC327724:LWC327725 LMG327724:LMG327725 LCK327724:LCK327725 KSO327724:KSO327725 KIS327724:KIS327725 JYW327724:JYW327725 JPA327724:JPA327725 JFE327724:JFE327725 IVI327724:IVI327725 ILM327724:ILM327725 IBQ327724:IBQ327725 HRU327724:HRU327725 HHY327724:HHY327725 GYC327724:GYC327725 GOG327724:GOG327725 GEK327724:GEK327725 FUO327724:FUO327725 FKS327724:FKS327725 FAW327724:FAW327725 ERA327724:ERA327725 EHE327724:EHE327725 DXI327724:DXI327725 DNM327724:DNM327725 DDQ327724:DDQ327725 CTU327724:CTU327725 CJY327724:CJY327725 CAC327724:CAC327725 BQG327724:BQG327725 BGK327724:BGK327725 AWO327724:AWO327725 AMS327724:AMS327725 ACW327724:ACW327725 TA327724:TA327725 JE327724:JE327725 I327724:I327725 WVQ262188:WVQ262189 WLU262188:WLU262189 WBY262188:WBY262189 VSC262188:VSC262189 VIG262188:VIG262189 UYK262188:UYK262189 UOO262188:UOO262189 UES262188:UES262189 TUW262188:TUW262189 TLA262188:TLA262189 TBE262188:TBE262189 SRI262188:SRI262189 SHM262188:SHM262189 RXQ262188:RXQ262189 RNU262188:RNU262189 RDY262188:RDY262189 QUC262188:QUC262189 QKG262188:QKG262189 QAK262188:QAK262189 PQO262188:PQO262189 PGS262188:PGS262189 OWW262188:OWW262189 ONA262188:ONA262189 ODE262188:ODE262189 NTI262188:NTI262189 NJM262188:NJM262189 MZQ262188:MZQ262189 MPU262188:MPU262189 MFY262188:MFY262189 LWC262188:LWC262189 LMG262188:LMG262189 LCK262188:LCK262189 KSO262188:KSO262189 KIS262188:KIS262189 JYW262188:JYW262189 JPA262188:JPA262189 JFE262188:JFE262189 IVI262188:IVI262189 ILM262188:ILM262189 IBQ262188:IBQ262189 HRU262188:HRU262189 HHY262188:HHY262189 GYC262188:GYC262189 GOG262188:GOG262189 GEK262188:GEK262189 FUO262188:FUO262189 FKS262188:FKS262189 FAW262188:FAW262189 ERA262188:ERA262189 EHE262188:EHE262189 DXI262188:DXI262189 DNM262188:DNM262189 DDQ262188:DDQ262189 CTU262188:CTU262189 CJY262188:CJY262189 CAC262188:CAC262189 BQG262188:BQG262189 BGK262188:BGK262189 AWO262188:AWO262189 AMS262188:AMS262189 ACW262188:ACW262189 TA262188:TA262189 JE262188:JE262189 I262188:I262189 WVQ196652:WVQ196653 WLU196652:WLU196653 WBY196652:WBY196653 VSC196652:VSC196653 VIG196652:VIG196653 UYK196652:UYK196653 UOO196652:UOO196653 UES196652:UES196653 TUW196652:TUW196653 TLA196652:TLA196653 TBE196652:TBE196653 SRI196652:SRI196653 SHM196652:SHM196653 RXQ196652:RXQ196653 RNU196652:RNU196653 RDY196652:RDY196653 QUC196652:QUC196653 QKG196652:QKG196653 QAK196652:QAK196653 PQO196652:PQO196653 PGS196652:PGS196653 OWW196652:OWW196653 ONA196652:ONA196653 ODE196652:ODE196653 NTI196652:NTI196653 NJM196652:NJM196653 MZQ196652:MZQ196653 MPU196652:MPU196653 MFY196652:MFY196653 LWC196652:LWC196653 LMG196652:LMG196653 LCK196652:LCK196653 KSO196652:KSO196653 KIS196652:KIS196653 JYW196652:JYW196653 JPA196652:JPA196653 JFE196652:JFE196653 IVI196652:IVI196653 ILM196652:ILM196653 IBQ196652:IBQ196653 HRU196652:HRU196653 HHY196652:HHY196653 GYC196652:GYC196653 GOG196652:GOG196653 GEK196652:GEK196653 FUO196652:FUO196653 FKS196652:FKS196653 FAW196652:FAW196653 ERA196652:ERA196653 EHE196652:EHE196653 DXI196652:DXI196653 DNM196652:DNM196653 DDQ196652:DDQ196653 CTU196652:CTU196653 CJY196652:CJY196653 CAC196652:CAC196653 BQG196652:BQG196653 BGK196652:BGK196653 AWO196652:AWO196653 AMS196652:AMS196653 ACW196652:ACW196653 TA196652:TA196653 JE196652:JE196653 I196652:I196653 WVQ131116:WVQ131117 WLU131116:WLU131117 WBY131116:WBY131117 VSC131116:VSC131117 VIG131116:VIG131117 UYK131116:UYK131117 UOO131116:UOO131117 UES131116:UES131117 TUW131116:TUW131117 TLA131116:TLA131117 TBE131116:TBE131117 SRI131116:SRI131117 SHM131116:SHM131117 RXQ131116:RXQ131117 RNU131116:RNU131117 RDY131116:RDY131117 QUC131116:QUC131117 QKG131116:QKG131117 QAK131116:QAK131117 PQO131116:PQO131117 PGS131116:PGS131117 OWW131116:OWW131117 ONA131116:ONA131117 ODE131116:ODE131117 NTI131116:NTI131117 NJM131116:NJM131117 MZQ131116:MZQ131117 MPU131116:MPU131117 MFY131116:MFY131117 LWC131116:LWC131117 LMG131116:LMG131117 LCK131116:LCK131117 KSO131116:KSO131117 KIS131116:KIS131117 JYW131116:JYW131117 JPA131116:JPA131117 JFE131116:JFE131117 IVI131116:IVI131117 ILM131116:ILM131117 IBQ131116:IBQ131117 HRU131116:HRU131117 HHY131116:HHY131117 GYC131116:GYC131117 GOG131116:GOG131117 GEK131116:GEK131117 FUO131116:FUO131117 FKS131116:FKS131117 FAW131116:FAW131117 ERA131116:ERA131117 EHE131116:EHE131117 DXI131116:DXI131117 DNM131116:DNM131117 DDQ131116:DDQ131117 CTU131116:CTU131117 CJY131116:CJY131117 CAC131116:CAC131117 BQG131116:BQG131117 BGK131116:BGK131117 AWO131116:AWO131117 AMS131116:AMS131117 ACW131116:ACW131117 TA131116:TA131117 JE131116:JE131117 I131116:I131117 WVQ65580:WVQ65581 WLU65580:WLU65581 WBY65580:WBY65581 VSC65580:VSC65581 VIG65580:VIG65581 UYK65580:UYK65581 UOO65580:UOO65581 UES65580:UES65581 TUW65580:TUW65581 TLA65580:TLA65581 TBE65580:TBE65581 SRI65580:SRI65581 SHM65580:SHM65581 RXQ65580:RXQ65581 RNU65580:RNU65581 RDY65580:RDY65581 QUC65580:QUC65581 QKG65580:QKG65581 QAK65580:QAK65581 PQO65580:PQO65581 PGS65580:PGS65581 OWW65580:OWW65581 ONA65580:ONA65581 ODE65580:ODE65581 NTI65580:NTI65581 NJM65580:NJM65581 MZQ65580:MZQ65581 MPU65580:MPU65581 MFY65580:MFY65581 LWC65580:LWC65581 LMG65580:LMG65581 LCK65580:LCK65581 KSO65580:KSO65581 KIS65580:KIS65581 JYW65580:JYW65581 JPA65580:JPA65581 JFE65580:JFE65581 IVI65580:IVI65581 ILM65580:ILM65581 IBQ65580:IBQ65581 HRU65580:HRU65581 HHY65580:HHY65581 GYC65580:GYC65581 GOG65580:GOG65581 GEK65580:GEK65581 FUO65580:FUO65581 FKS65580:FKS65581 FAW65580:FAW65581 ERA65580:ERA65581 EHE65580:EHE65581 DXI65580:DXI65581 DNM65580:DNM65581 DDQ65580:DDQ65581 CTU65580:CTU65581 CJY65580:CJY65581 CAC65580:CAC65581 BQG65580:BQG65581 BGK65580:BGK65581 AWO65580:AWO65581 AMS65580:AMS65581 ACW65580:ACW65581 TA65580:TA65581 JE65580:JE65581 I65580:I65581 WVQ38:WVQ39 WLU38:WLU39 WBY38:WBY39 VSC38:VSC39 VIG38:VIG39 UYK38:UYK39 UOO38:UOO39 UES38:UES39 TUW38:TUW39 TLA38:TLA39 TBE38:TBE39 SRI38:SRI39 SHM38:SHM39 RXQ38:RXQ39 RNU38:RNU39 RDY38:RDY39 QUC38:QUC39 QKG38:QKG39 QAK38:QAK39 PQO38:PQO39 PGS38:PGS39 OWW38:OWW39 ONA38:ONA39 ODE38:ODE39 NTI38:NTI39 NJM38:NJM39 MZQ38:MZQ39 MPU38:MPU39 MFY38:MFY39 LWC38:LWC39 LMG38:LMG39 LCK38:LCK39 KSO38:KSO39 KIS38:KIS39 JYW38:JYW39 JPA38:JPA39 JFE38:JFE39 IVI38:IVI39 ILM38:ILM39 IBQ38:IBQ39 HRU38:HRU39 HHY38:HHY39 GYC38:GYC39 GOG38:GOG39 GEK38:GEK39 FUO38:FUO39 FKS38:FKS39 FAW38:FAW39 ERA38:ERA39 EHE38:EHE39 DXI38:DXI39 DNM38:DNM39 DDQ38:DDQ39 CTU38:CTU39 CJY38:CJY39 CAC38:CAC39 BQG38:BQG39 BGK38:BGK39 AWO38:AWO39 AMS38:AMS39 ACW38:ACW39 TA38:TA39 JE38:JE39 I38:I39 WWA983084 WME983084 WCI983084 VSM983084 VIQ983084 UYU983084 UOY983084 UFC983084 TVG983084 TLK983084 TBO983084 SRS983084 SHW983084 RYA983084 ROE983084 REI983084 QUM983084 QKQ983084 QAU983084 PQY983084 PHC983084 OXG983084 ONK983084 ODO983084 NTS983084 NJW983084 NAA983084 MQE983084 MGI983084 LWM983084 LMQ983084 LCU983084 KSY983084 KJC983084 JZG983084 JPK983084 JFO983084 IVS983084 ILW983084 ICA983084 HSE983084 HII983084 GYM983084 GOQ983084 GEU983084 FUY983084 FLC983084 FBG983084 ERK983084 EHO983084 DXS983084 DNW983084 DEA983084 CUE983084 CKI983084 CAM983084 BQQ983084 BGU983084 AWY983084 ANC983084 ADG983084 TK983084 JO983084 S983084 WWA917548 WME917548 WCI917548 VSM917548 VIQ917548 UYU917548 UOY917548 UFC917548 TVG917548 TLK917548 TBO917548 SRS917548 SHW917548 RYA917548 ROE917548 REI917548 QUM917548 QKQ917548 QAU917548 PQY917548 PHC917548 OXG917548 ONK917548 ODO917548 NTS917548 NJW917548 NAA917548 MQE917548 MGI917548 LWM917548 LMQ917548 LCU917548 KSY917548 KJC917548 JZG917548 JPK917548 JFO917548 IVS917548 ILW917548 ICA917548 HSE917548 HII917548 GYM917548 GOQ917548 GEU917548 FUY917548 FLC917548 FBG917548 ERK917548 EHO917548 DXS917548 DNW917548 DEA917548 CUE917548 CKI917548 CAM917548 BQQ917548 BGU917548 AWY917548 ANC917548 ADG917548 TK917548 JO917548 S917548 WWA852012 WME852012 WCI852012 VSM852012 VIQ852012 UYU852012 UOY852012 UFC852012 TVG852012 TLK852012 TBO852012 SRS852012 SHW852012 RYA852012 ROE852012 REI852012 QUM852012 QKQ852012 QAU852012 PQY852012 PHC852012 OXG852012 ONK852012 ODO852012 NTS852012 NJW852012 NAA852012 MQE852012 MGI852012 LWM852012 LMQ852012 LCU852012 KSY852012 KJC852012 JZG852012 JPK852012 JFO852012 IVS852012 ILW852012 ICA852012 HSE852012 HII852012 GYM852012 GOQ852012 GEU852012 FUY852012 FLC852012 FBG852012 ERK852012 EHO852012 DXS852012 DNW852012 DEA852012 CUE852012 CKI852012 CAM852012 BQQ852012 BGU852012 AWY852012 ANC852012 ADG852012 TK852012 JO852012 S852012 WWA786476 WME786476 WCI786476 VSM786476 VIQ786476 UYU786476 UOY786476 UFC786476 TVG786476 TLK786476 TBO786476 SRS786476 SHW786476 RYA786476 ROE786476 REI786476 QUM786476 QKQ786476 QAU786476 PQY786476 PHC786476 OXG786476 ONK786476 ODO786476 NTS786476 NJW786476 NAA786476 MQE786476 MGI786476 LWM786476 LMQ786476 LCU786476 KSY786476 KJC786476 JZG786476 JPK786476 JFO786476 IVS786476 ILW786476 ICA786476 HSE786476 HII786476 GYM786476 GOQ786476 GEU786476 FUY786476 FLC786476 FBG786476 ERK786476 EHO786476 DXS786476 DNW786476 DEA786476 CUE786476 CKI786476 CAM786476 BQQ786476 BGU786476 AWY786476 ANC786476 ADG786476 TK786476 JO786476 S786476 WWA720940 WME720940 WCI720940 VSM720940 VIQ720940 UYU720940 UOY720940 UFC720940 TVG720940 TLK720940 TBO720940 SRS720940 SHW720940 RYA720940 ROE720940 REI720940 QUM720940 QKQ720940 QAU720940 PQY720940 PHC720940 OXG720940 ONK720940 ODO720940 NTS720940 NJW720940 NAA720940 MQE720940 MGI720940 LWM720940 LMQ720940 LCU720940 KSY720940 KJC720940 JZG720940 JPK720940 JFO720940 IVS720940 ILW720940 ICA720940 HSE720940 HII720940 GYM720940 GOQ720940 GEU720940 FUY720940 FLC720940 FBG720940 ERK720940 EHO720940 DXS720940 DNW720940 DEA720940 CUE720940 CKI720940 CAM720940 BQQ720940 BGU720940 AWY720940 ANC720940 ADG720940 TK720940 JO720940 S720940 WWA655404 WME655404 WCI655404 VSM655404 VIQ655404 UYU655404 UOY655404 UFC655404 TVG655404 TLK655404 TBO655404 SRS655404 SHW655404 RYA655404 ROE655404 REI655404 QUM655404 QKQ655404 QAU655404 PQY655404 PHC655404 OXG655404 ONK655404 ODO655404 NTS655404 NJW655404 NAA655404 MQE655404 MGI655404 LWM655404 LMQ655404 LCU655404 KSY655404 KJC655404 JZG655404 JPK655404 JFO655404 IVS655404 ILW655404 ICA655404 HSE655404 HII655404 GYM655404 GOQ655404 GEU655404 FUY655404 FLC655404 FBG655404 ERK655404 EHO655404 DXS655404 DNW655404 DEA655404 CUE655404 CKI655404 CAM655404 BQQ655404 BGU655404 AWY655404 ANC655404 ADG655404 TK655404 JO655404 S655404 WWA589868 WME589868 WCI589868 VSM589868 VIQ589868 UYU589868 UOY589868 UFC589868 TVG589868 TLK589868 TBO589868 SRS589868 SHW589868 RYA589868 ROE589868 REI589868 QUM589868 QKQ589868 QAU589868 PQY589868 PHC589868 OXG589868 ONK589868 ODO589868 NTS589868 NJW589868 NAA589868 MQE589868 MGI589868 LWM589868 LMQ589868 LCU589868 KSY589868 KJC589868 JZG589868 JPK589868 JFO589868 IVS589868 ILW589868 ICA589868 HSE589868 HII589868 GYM589868 GOQ589868 GEU589868 FUY589868 FLC589868 FBG589868 ERK589868 EHO589868 DXS589868 DNW589868 DEA589868 CUE589868 CKI589868 CAM589868 BQQ589868 BGU589868 AWY589868 ANC589868 ADG589868 TK589868 JO589868 S589868 WWA524332 WME524332 WCI524332 VSM524332 VIQ524332 UYU524332 UOY524332 UFC524332 TVG524332 TLK524332 TBO524332 SRS524332 SHW524332 RYA524332 ROE524332 REI524332 QUM524332 QKQ524332 QAU524332 PQY524332 PHC524332 OXG524332 ONK524332 ODO524332 NTS524332 NJW524332 NAA524332 MQE524332 MGI524332 LWM524332 LMQ524332 LCU524332 KSY524332 KJC524332 JZG524332 JPK524332 JFO524332 IVS524332 ILW524332 ICA524332 HSE524332 HII524332 GYM524332 GOQ524332 GEU524332 FUY524332 FLC524332 FBG524332 ERK524332 EHO524332 DXS524332 DNW524332 DEA524332 CUE524332 CKI524332 CAM524332 BQQ524332 BGU524332 AWY524332 ANC524332 ADG524332 TK524332 JO524332 S524332 WWA458796 WME458796 WCI458796 VSM458796 VIQ458796 UYU458796 UOY458796 UFC458796 TVG458796 TLK458796 TBO458796 SRS458796 SHW458796 RYA458796 ROE458796 REI458796 QUM458796 QKQ458796 QAU458796 PQY458796 PHC458796 OXG458796 ONK458796 ODO458796 NTS458796 NJW458796 NAA458796 MQE458796 MGI458796 LWM458796 LMQ458796 LCU458796 KSY458796 KJC458796 JZG458796 JPK458796 JFO458796 IVS458796 ILW458796 ICA458796 HSE458796 HII458796 GYM458796 GOQ458796 GEU458796 FUY458796 FLC458796 FBG458796 ERK458796 EHO458796 DXS458796 DNW458796 DEA458796 CUE458796 CKI458796 CAM458796 BQQ458796 BGU458796 AWY458796 ANC458796 ADG458796 TK458796 JO458796 S458796 WWA393260 WME393260 WCI393260 VSM393260 VIQ393260 UYU393260 UOY393260 UFC393260 TVG393260 TLK393260 TBO393260 SRS393260 SHW393260 RYA393260 ROE393260 REI393260 QUM393260 QKQ393260 QAU393260 PQY393260 PHC393260 OXG393260 ONK393260 ODO393260 NTS393260 NJW393260 NAA393260 MQE393260 MGI393260 LWM393260 LMQ393260 LCU393260 KSY393260 KJC393260 JZG393260 JPK393260 JFO393260 IVS393260 ILW393260 ICA393260 HSE393260 HII393260 GYM393260 GOQ393260 GEU393260 FUY393260 FLC393260 FBG393260 ERK393260 EHO393260 DXS393260 DNW393260 DEA393260 CUE393260 CKI393260 CAM393260 BQQ393260 BGU393260 AWY393260 ANC393260 ADG393260 TK393260 JO393260 S393260 WWA327724 WME327724 WCI327724 VSM327724 VIQ327724 UYU327724 UOY327724 UFC327724 TVG327724 TLK327724 TBO327724 SRS327724 SHW327724 RYA327724 ROE327724 REI327724 QUM327724 QKQ327724 QAU327724 PQY327724 PHC327724 OXG327724 ONK327724 ODO327724 NTS327724 NJW327724 NAA327724 MQE327724 MGI327724 LWM327724 LMQ327724 LCU327724 KSY327724 KJC327724 JZG327724 JPK327724 JFO327724 IVS327724 ILW327724 ICA327724 HSE327724 HII327724 GYM327724 GOQ327724 GEU327724 FUY327724 FLC327724 FBG327724 ERK327724 EHO327724 DXS327724 DNW327724 DEA327724 CUE327724 CKI327724 CAM327724 BQQ327724 BGU327724 AWY327724 ANC327724 ADG327724 TK327724 JO327724 S327724 WWA262188 WME262188 WCI262188 VSM262188 VIQ262188 UYU262188 UOY262188 UFC262188 TVG262188 TLK262188 TBO262188 SRS262188 SHW262188 RYA262188 ROE262188 REI262188 QUM262188 QKQ262188 QAU262188 PQY262188 PHC262188 OXG262188 ONK262188 ODO262188 NTS262188 NJW262188 NAA262188 MQE262188 MGI262188 LWM262188 LMQ262188 LCU262188 KSY262188 KJC262188 JZG262188 JPK262188 JFO262188 IVS262188 ILW262188 ICA262188 HSE262188 HII262188 GYM262188 GOQ262188 GEU262188 FUY262188 FLC262188 FBG262188 ERK262188 EHO262188 DXS262188 DNW262188 DEA262188 CUE262188 CKI262188 CAM262188 BQQ262188 BGU262188 AWY262188 ANC262188 ADG262188 TK262188 JO262188 S262188 WWA196652 WME196652 WCI196652 VSM196652 VIQ196652 UYU196652 UOY196652 UFC196652 TVG196652 TLK196652 TBO196652 SRS196652 SHW196652 RYA196652 ROE196652 REI196652 QUM196652 QKQ196652 QAU196652 PQY196652 PHC196652 OXG196652 ONK196652 ODO196652 NTS196652 NJW196652 NAA196652 MQE196652 MGI196652 LWM196652 LMQ196652 LCU196652 KSY196652 KJC196652 JZG196652 JPK196652 JFO196652 IVS196652 ILW196652 ICA196652 HSE196652 HII196652 GYM196652 GOQ196652 GEU196652 FUY196652 FLC196652 FBG196652 ERK196652 EHO196652 DXS196652 DNW196652 DEA196652 CUE196652 CKI196652 CAM196652 BQQ196652 BGU196652 AWY196652 ANC196652 ADG196652 TK196652 JO196652 S196652 WWA131116 WME131116 WCI131116 VSM131116 VIQ131116 UYU131116 UOY131116 UFC131116 TVG131116 TLK131116 TBO131116 SRS131116 SHW131116 RYA131116 ROE131116 REI131116 QUM131116 QKQ131116 QAU131116 PQY131116 PHC131116 OXG131116 ONK131116 ODO131116 NTS131116 NJW131116 NAA131116 MQE131116 MGI131116 LWM131116 LMQ131116 LCU131116 KSY131116 KJC131116 JZG131116 JPK131116 JFO131116 IVS131116 ILW131116 ICA131116 HSE131116 HII131116 GYM131116 GOQ131116 GEU131116 FUY131116 FLC131116 FBG131116 ERK131116 EHO131116 DXS131116 DNW131116 DEA131116 CUE131116 CKI131116 CAM131116 BQQ131116 BGU131116 AWY131116 ANC131116 ADG131116 TK131116 JO131116 S131116 WWA65580 WME65580 WCI65580 VSM65580 VIQ65580 UYU65580 UOY65580 UFC65580 TVG65580 TLK65580 TBO65580 SRS65580 SHW65580 RYA65580 ROE65580 REI65580 QUM65580 QKQ65580 QAU65580 PQY65580 PHC65580 OXG65580 ONK65580 ODO65580 NTS65580 NJW65580 NAA65580 MQE65580 MGI65580 LWM65580 LMQ65580 LCU65580 KSY65580 KJC65580 JZG65580 JPK65580 JFO65580 IVS65580 ILW65580 ICA65580 HSE65580 HII65580 GYM65580 GOQ65580 GEU65580 FUY65580 FLC65580 FBG65580 ERK65580 EHO65580 DXS65580 DNW65580 DEA65580 CUE65580 CKI65580 CAM65580 BQQ65580 BGU65580 AWY65580 ANC65580 ADG65580 TK65580 JO65580 S65580 WWA38 WME38 WCI38 VSM38 VIQ38 UYU38 UOY38 UFC38 TVG38 TLK38 TBO38 SRS38 SHW38 RYA38 ROE38 REI38 QUM38 QKQ38 QAU38 PQY38 PHC38 OXG38 ONK38 ODO38 NTS38 NJW38 NAA38 MQE38 MGI38 LWM38 LMQ38 LCU38 KSY38 KJC38 JZG38 JPK38 JFO38 IVS38 ILW38 ICA38 HSE38 HII38 GYM38 GOQ38 GEU38 FUY38 FLC38 FBG38 ERK38 EHO38 DXS38 DNW38 DEA38 CUE38 CKI38 CAM38 BQQ38 BGU38 AWY38 ANC38 ADG38 TK38 JO38 S38 WVN983060:WVN983061 WLR983060:WLR983061 WBV983060:WBV983061 VRZ983060:VRZ983061 VID983060:VID983061 UYH983060:UYH983061 UOL983060:UOL983061 UEP983060:UEP983061 TUT983060:TUT983061 TKX983060:TKX983061 TBB983060:TBB983061 SRF983060:SRF983061 SHJ983060:SHJ983061 RXN983060:RXN983061 RNR983060:RNR983061 RDV983060:RDV983061 QTZ983060:QTZ983061 QKD983060:QKD983061 QAH983060:QAH983061 PQL983060:PQL983061 PGP983060:PGP983061 OWT983060:OWT983061 OMX983060:OMX983061 ODB983060:ODB983061 NTF983060:NTF983061 NJJ983060:NJJ983061 MZN983060:MZN983061 MPR983060:MPR983061 MFV983060:MFV983061 LVZ983060:LVZ983061 LMD983060:LMD983061 LCH983060:LCH983061 KSL983060:KSL983061 KIP983060:KIP983061 JYT983060:JYT983061 JOX983060:JOX983061 JFB983060:JFB983061 IVF983060:IVF983061 ILJ983060:ILJ983061 IBN983060:IBN983061 HRR983060:HRR983061 HHV983060:HHV983061 GXZ983060:GXZ983061 GOD983060:GOD983061 GEH983060:GEH983061 FUL983060:FUL983061 FKP983060:FKP983061 FAT983060:FAT983061 EQX983060:EQX983061 EHB983060:EHB983061 DXF983060:DXF983061 DNJ983060:DNJ983061 DDN983060:DDN983061 CTR983060:CTR983061 CJV983060:CJV983061 BZZ983060:BZZ983061 BQD983060:BQD983061 BGH983060:BGH983061 AWL983060:AWL983061 AMP983060:AMP983061 ACT983060:ACT983061 SX983060:SX983061 JB983060:JB983061 F983060:F983061 WVN917524:WVN917525 WLR917524:WLR917525 WBV917524:WBV917525 VRZ917524:VRZ917525 VID917524:VID917525 UYH917524:UYH917525 UOL917524:UOL917525 UEP917524:UEP917525 TUT917524:TUT917525 TKX917524:TKX917525 TBB917524:TBB917525 SRF917524:SRF917525 SHJ917524:SHJ917525 RXN917524:RXN917525 RNR917524:RNR917525 RDV917524:RDV917525 QTZ917524:QTZ917525 QKD917524:QKD917525 QAH917524:QAH917525 PQL917524:PQL917525 PGP917524:PGP917525 OWT917524:OWT917525 OMX917524:OMX917525 ODB917524:ODB917525 NTF917524:NTF917525 NJJ917524:NJJ917525 MZN917524:MZN917525 MPR917524:MPR917525 MFV917524:MFV917525 LVZ917524:LVZ917525 LMD917524:LMD917525 LCH917524:LCH917525 KSL917524:KSL917525 KIP917524:KIP917525 JYT917524:JYT917525 JOX917524:JOX917525 JFB917524:JFB917525 IVF917524:IVF917525 ILJ917524:ILJ917525 IBN917524:IBN917525 HRR917524:HRR917525 HHV917524:HHV917525 GXZ917524:GXZ917525 GOD917524:GOD917525 GEH917524:GEH917525 FUL917524:FUL917525 FKP917524:FKP917525 FAT917524:FAT917525 EQX917524:EQX917525 EHB917524:EHB917525 DXF917524:DXF917525 DNJ917524:DNJ917525 DDN917524:DDN917525 CTR917524:CTR917525 CJV917524:CJV917525 BZZ917524:BZZ917525 BQD917524:BQD917525 BGH917524:BGH917525 AWL917524:AWL917525 AMP917524:AMP917525 ACT917524:ACT917525 SX917524:SX917525 JB917524:JB917525 F917524:F917525 WVN851988:WVN851989 WLR851988:WLR851989 WBV851988:WBV851989 VRZ851988:VRZ851989 VID851988:VID851989 UYH851988:UYH851989 UOL851988:UOL851989 UEP851988:UEP851989 TUT851988:TUT851989 TKX851988:TKX851989 TBB851988:TBB851989 SRF851988:SRF851989 SHJ851988:SHJ851989 RXN851988:RXN851989 RNR851988:RNR851989 RDV851988:RDV851989 QTZ851988:QTZ851989 QKD851988:QKD851989 QAH851988:QAH851989 PQL851988:PQL851989 PGP851988:PGP851989 OWT851988:OWT851989 OMX851988:OMX851989 ODB851988:ODB851989 NTF851988:NTF851989 NJJ851988:NJJ851989 MZN851988:MZN851989 MPR851988:MPR851989 MFV851988:MFV851989 LVZ851988:LVZ851989 LMD851988:LMD851989 LCH851988:LCH851989 KSL851988:KSL851989 KIP851988:KIP851989 JYT851988:JYT851989 JOX851988:JOX851989 JFB851988:JFB851989 IVF851988:IVF851989 ILJ851988:ILJ851989 IBN851988:IBN851989 HRR851988:HRR851989 HHV851988:HHV851989 GXZ851988:GXZ851989 GOD851988:GOD851989 GEH851988:GEH851989 FUL851988:FUL851989 FKP851988:FKP851989 FAT851988:FAT851989 EQX851988:EQX851989 EHB851988:EHB851989 DXF851988:DXF851989 DNJ851988:DNJ851989 DDN851988:DDN851989 CTR851988:CTR851989 CJV851988:CJV851989 BZZ851988:BZZ851989 BQD851988:BQD851989 BGH851988:BGH851989 AWL851988:AWL851989 AMP851988:AMP851989 ACT851988:ACT851989 SX851988:SX851989 JB851988:JB851989 F851988:F851989 WVN786452:WVN786453 WLR786452:WLR786453 WBV786452:WBV786453 VRZ786452:VRZ786453 VID786452:VID786453 UYH786452:UYH786453 UOL786452:UOL786453 UEP786452:UEP786453 TUT786452:TUT786453 TKX786452:TKX786453 TBB786452:TBB786453 SRF786452:SRF786453 SHJ786452:SHJ786453 RXN786452:RXN786453 RNR786452:RNR786453 RDV786452:RDV786453 QTZ786452:QTZ786453 QKD786452:QKD786453 QAH786452:QAH786453 PQL786452:PQL786453 PGP786452:PGP786453 OWT786452:OWT786453 OMX786452:OMX786453 ODB786452:ODB786453 NTF786452:NTF786453 NJJ786452:NJJ786453 MZN786452:MZN786453 MPR786452:MPR786453 MFV786452:MFV786453 LVZ786452:LVZ786453 LMD786452:LMD786453 LCH786452:LCH786453 KSL786452:KSL786453 KIP786452:KIP786453 JYT786452:JYT786453 JOX786452:JOX786453 JFB786452:JFB786453 IVF786452:IVF786453 ILJ786452:ILJ786453 IBN786452:IBN786453 HRR786452:HRR786453 HHV786452:HHV786453 GXZ786452:GXZ786453 GOD786452:GOD786453 GEH786452:GEH786453 FUL786452:FUL786453 FKP786452:FKP786453 FAT786452:FAT786453 EQX786452:EQX786453 EHB786452:EHB786453 DXF786452:DXF786453 DNJ786452:DNJ786453 DDN786452:DDN786453 CTR786452:CTR786453 CJV786452:CJV786453 BZZ786452:BZZ786453 BQD786452:BQD786453 BGH786452:BGH786453 AWL786452:AWL786453 AMP786452:AMP786453 ACT786452:ACT786453 SX786452:SX786453 JB786452:JB786453 F786452:F786453 WVN720916:WVN720917 WLR720916:WLR720917 WBV720916:WBV720917 VRZ720916:VRZ720917 VID720916:VID720917 UYH720916:UYH720917 UOL720916:UOL720917 UEP720916:UEP720917 TUT720916:TUT720917 TKX720916:TKX720917 TBB720916:TBB720917 SRF720916:SRF720917 SHJ720916:SHJ720917 RXN720916:RXN720917 RNR720916:RNR720917 RDV720916:RDV720917 QTZ720916:QTZ720917 QKD720916:QKD720917 QAH720916:QAH720917 PQL720916:PQL720917 PGP720916:PGP720917 OWT720916:OWT720917 OMX720916:OMX720917 ODB720916:ODB720917 NTF720916:NTF720917 NJJ720916:NJJ720917 MZN720916:MZN720917 MPR720916:MPR720917 MFV720916:MFV720917 LVZ720916:LVZ720917 LMD720916:LMD720917 LCH720916:LCH720917 KSL720916:KSL720917 KIP720916:KIP720917 JYT720916:JYT720917 JOX720916:JOX720917 JFB720916:JFB720917 IVF720916:IVF720917 ILJ720916:ILJ720917 IBN720916:IBN720917 HRR720916:HRR720917 HHV720916:HHV720917 GXZ720916:GXZ720917 GOD720916:GOD720917 GEH720916:GEH720917 FUL720916:FUL720917 FKP720916:FKP720917 FAT720916:FAT720917 EQX720916:EQX720917 EHB720916:EHB720917 DXF720916:DXF720917 DNJ720916:DNJ720917 DDN720916:DDN720917 CTR720916:CTR720917 CJV720916:CJV720917 BZZ720916:BZZ720917 BQD720916:BQD720917 BGH720916:BGH720917 AWL720916:AWL720917 AMP720916:AMP720917 ACT720916:ACT720917 SX720916:SX720917 JB720916:JB720917 F720916:F720917 WVN655380:WVN655381 WLR655380:WLR655381 WBV655380:WBV655381 VRZ655380:VRZ655381 VID655380:VID655381 UYH655380:UYH655381 UOL655380:UOL655381 UEP655380:UEP655381 TUT655380:TUT655381 TKX655380:TKX655381 TBB655380:TBB655381 SRF655380:SRF655381 SHJ655380:SHJ655381 RXN655380:RXN655381 RNR655380:RNR655381 RDV655380:RDV655381 QTZ655380:QTZ655381 QKD655380:QKD655381 QAH655380:QAH655381 PQL655380:PQL655381 PGP655380:PGP655381 OWT655380:OWT655381 OMX655380:OMX655381 ODB655380:ODB655381 NTF655380:NTF655381 NJJ655380:NJJ655381 MZN655380:MZN655381 MPR655380:MPR655381 MFV655380:MFV655381 LVZ655380:LVZ655381 LMD655380:LMD655381 LCH655380:LCH655381 KSL655380:KSL655381 KIP655380:KIP655381 JYT655380:JYT655381 JOX655380:JOX655381 JFB655380:JFB655381 IVF655380:IVF655381 ILJ655380:ILJ655381 IBN655380:IBN655381 HRR655380:HRR655381 HHV655380:HHV655381 GXZ655380:GXZ655381 GOD655380:GOD655381 GEH655380:GEH655381 FUL655380:FUL655381 FKP655380:FKP655381 FAT655380:FAT655381 EQX655380:EQX655381 EHB655380:EHB655381 DXF655380:DXF655381 DNJ655380:DNJ655381 DDN655380:DDN655381 CTR655380:CTR655381 CJV655380:CJV655381 BZZ655380:BZZ655381 BQD655380:BQD655381 BGH655380:BGH655381 AWL655380:AWL655381 AMP655380:AMP655381 ACT655380:ACT655381 SX655380:SX655381 JB655380:JB655381 F655380:F655381 WVN589844:WVN589845 WLR589844:WLR589845 WBV589844:WBV589845 VRZ589844:VRZ589845 VID589844:VID589845 UYH589844:UYH589845 UOL589844:UOL589845 UEP589844:UEP589845 TUT589844:TUT589845 TKX589844:TKX589845 TBB589844:TBB589845 SRF589844:SRF589845 SHJ589844:SHJ589845 RXN589844:RXN589845 RNR589844:RNR589845 RDV589844:RDV589845 QTZ589844:QTZ589845 QKD589844:QKD589845 QAH589844:QAH589845 PQL589844:PQL589845 PGP589844:PGP589845 OWT589844:OWT589845 OMX589844:OMX589845 ODB589844:ODB589845 NTF589844:NTF589845 NJJ589844:NJJ589845 MZN589844:MZN589845 MPR589844:MPR589845 MFV589844:MFV589845 LVZ589844:LVZ589845 LMD589844:LMD589845 LCH589844:LCH589845 KSL589844:KSL589845 KIP589844:KIP589845 JYT589844:JYT589845 JOX589844:JOX589845 JFB589844:JFB589845 IVF589844:IVF589845 ILJ589844:ILJ589845 IBN589844:IBN589845 HRR589844:HRR589845 HHV589844:HHV589845 GXZ589844:GXZ589845 GOD589844:GOD589845 GEH589844:GEH589845 FUL589844:FUL589845 FKP589844:FKP589845 FAT589844:FAT589845 EQX589844:EQX589845 EHB589844:EHB589845 DXF589844:DXF589845 DNJ589844:DNJ589845 DDN589844:DDN589845 CTR589844:CTR589845 CJV589844:CJV589845 BZZ589844:BZZ589845 BQD589844:BQD589845 BGH589844:BGH589845 AWL589844:AWL589845 AMP589844:AMP589845 ACT589844:ACT589845 SX589844:SX589845 JB589844:JB589845 F589844:F589845 WVN524308:WVN524309 WLR524308:WLR524309 WBV524308:WBV524309 VRZ524308:VRZ524309 VID524308:VID524309 UYH524308:UYH524309 UOL524308:UOL524309 UEP524308:UEP524309 TUT524308:TUT524309 TKX524308:TKX524309 TBB524308:TBB524309 SRF524308:SRF524309 SHJ524308:SHJ524309 RXN524308:RXN524309 RNR524308:RNR524309 RDV524308:RDV524309 QTZ524308:QTZ524309 QKD524308:QKD524309 QAH524308:QAH524309 PQL524308:PQL524309 PGP524308:PGP524309 OWT524308:OWT524309 OMX524308:OMX524309 ODB524308:ODB524309 NTF524308:NTF524309 NJJ524308:NJJ524309 MZN524308:MZN524309 MPR524308:MPR524309 MFV524308:MFV524309 LVZ524308:LVZ524309 LMD524308:LMD524309 LCH524308:LCH524309 KSL524308:KSL524309 KIP524308:KIP524309 JYT524308:JYT524309 JOX524308:JOX524309 JFB524308:JFB524309 IVF524308:IVF524309 ILJ524308:ILJ524309 IBN524308:IBN524309 HRR524308:HRR524309 HHV524308:HHV524309 GXZ524308:GXZ524309 GOD524308:GOD524309 GEH524308:GEH524309 FUL524308:FUL524309 FKP524308:FKP524309 FAT524308:FAT524309 EQX524308:EQX524309 EHB524308:EHB524309 DXF524308:DXF524309 DNJ524308:DNJ524309 DDN524308:DDN524309 CTR524308:CTR524309 CJV524308:CJV524309 BZZ524308:BZZ524309 BQD524308:BQD524309 BGH524308:BGH524309 AWL524308:AWL524309 AMP524308:AMP524309 ACT524308:ACT524309 SX524308:SX524309 JB524308:JB524309 F524308:F524309 WVN458772:WVN458773 WLR458772:WLR458773 WBV458772:WBV458773 VRZ458772:VRZ458773 VID458772:VID458773 UYH458772:UYH458773 UOL458772:UOL458773 UEP458772:UEP458773 TUT458772:TUT458773 TKX458772:TKX458773 TBB458772:TBB458773 SRF458772:SRF458773 SHJ458772:SHJ458773 RXN458772:RXN458773 RNR458772:RNR458773 RDV458772:RDV458773 QTZ458772:QTZ458773 QKD458772:QKD458773 QAH458772:QAH458773 PQL458772:PQL458773 PGP458772:PGP458773 OWT458772:OWT458773 OMX458772:OMX458773 ODB458772:ODB458773 NTF458772:NTF458773 NJJ458772:NJJ458773 MZN458772:MZN458773 MPR458772:MPR458773 MFV458772:MFV458773 LVZ458772:LVZ458773 LMD458772:LMD458773 LCH458772:LCH458773 KSL458772:KSL458773 KIP458772:KIP458773 JYT458772:JYT458773 JOX458772:JOX458773 JFB458772:JFB458773 IVF458772:IVF458773 ILJ458772:ILJ458773 IBN458772:IBN458773 HRR458772:HRR458773 HHV458772:HHV458773 GXZ458772:GXZ458773 GOD458772:GOD458773 GEH458772:GEH458773 FUL458772:FUL458773 FKP458772:FKP458773 FAT458772:FAT458773 EQX458772:EQX458773 EHB458772:EHB458773 DXF458772:DXF458773 DNJ458772:DNJ458773 DDN458772:DDN458773 CTR458772:CTR458773 CJV458772:CJV458773 BZZ458772:BZZ458773 BQD458772:BQD458773 BGH458772:BGH458773 AWL458772:AWL458773 AMP458772:AMP458773 ACT458772:ACT458773 SX458772:SX458773 JB458772:JB458773 F458772:F458773 WVN393236:WVN393237 WLR393236:WLR393237 WBV393236:WBV393237 VRZ393236:VRZ393237 VID393236:VID393237 UYH393236:UYH393237 UOL393236:UOL393237 UEP393236:UEP393237 TUT393236:TUT393237 TKX393236:TKX393237 TBB393236:TBB393237 SRF393236:SRF393237 SHJ393236:SHJ393237 RXN393236:RXN393237 RNR393236:RNR393237 RDV393236:RDV393237 QTZ393236:QTZ393237 QKD393236:QKD393237 QAH393236:QAH393237 PQL393236:PQL393237 PGP393236:PGP393237 OWT393236:OWT393237 OMX393236:OMX393237 ODB393236:ODB393237 NTF393236:NTF393237 NJJ393236:NJJ393237 MZN393236:MZN393237 MPR393236:MPR393237 MFV393236:MFV393237 LVZ393236:LVZ393237 LMD393236:LMD393237 LCH393236:LCH393237 KSL393236:KSL393237 KIP393236:KIP393237 JYT393236:JYT393237 JOX393236:JOX393237 JFB393236:JFB393237 IVF393236:IVF393237 ILJ393236:ILJ393237 IBN393236:IBN393237 HRR393236:HRR393237 HHV393236:HHV393237 GXZ393236:GXZ393237 GOD393236:GOD393237 GEH393236:GEH393237 FUL393236:FUL393237 FKP393236:FKP393237 FAT393236:FAT393237 EQX393236:EQX393237 EHB393236:EHB393237 DXF393236:DXF393237 DNJ393236:DNJ393237 DDN393236:DDN393237 CTR393236:CTR393237 CJV393236:CJV393237 BZZ393236:BZZ393237 BQD393236:BQD393237 BGH393236:BGH393237 AWL393236:AWL393237 AMP393236:AMP393237 ACT393236:ACT393237 SX393236:SX393237 JB393236:JB393237 F393236:F393237 WVN327700:WVN327701 WLR327700:WLR327701 WBV327700:WBV327701 VRZ327700:VRZ327701 VID327700:VID327701 UYH327700:UYH327701 UOL327700:UOL327701 UEP327700:UEP327701 TUT327700:TUT327701 TKX327700:TKX327701 TBB327700:TBB327701 SRF327700:SRF327701 SHJ327700:SHJ327701 RXN327700:RXN327701 RNR327700:RNR327701 RDV327700:RDV327701 QTZ327700:QTZ327701 QKD327700:QKD327701 QAH327700:QAH327701 PQL327700:PQL327701 PGP327700:PGP327701 OWT327700:OWT327701 OMX327700:OMX327701 ODB327700:ODB327701 NTF327700:NTF327701 NJJ327700:NJJ327701 MZN327700:MZN327701 MPR327700:MPR327701 MFV327700:MFV327701 LVZ327700:LVZ327701 LMD327700:LMD327701 LCH327700:LCH327701 KSL327700:KSL327701 KIP327700:KIP327701 JYT327700:JYT327701 JOX327700:JOX327701 JFB327700:JFB327701 IVF327700:IVF327701 ILJ327700:ILJ327701 IBN327700:IBN327701 HRR327700:HRR327701 HHV327700:HHV327701 GXZ327700:GXZ327701 GOD327700:GOD327701 GEH327700:GEH327701 FUL327700:FUL327701 FKP327700:FKP327701 FAT327700:FAT327701 EQX327700:EQX327701 EHB327700:EHB327701 DXF327700:DXF327701 DNJ327700:DNJ327701 DDN327700:DDN327701 CTR327700:CTR327701 CJV327700:CJV327701 BZZ327700:BZZ327701 BQD327700:BQD327701 BGH327700:BGH327701 AWL327700:AWL327701 AMP327700:AMP327701 ACT327700:ACT327701 SX327700:SX327701 JB327700:JB327701 F327700:F327701 WVN262164:WVN262165 WLR262164:WLR262165 WBV262164:WBV262165 VRZ262164:VRZ262165 VID262164:VID262165 UYH262164:UYH262165 UOL262164:UOL262165 UEP262164:UEP262165 TUT262164:TUT262165 TKX262164:TKX262165 TBB262164:TBB262165 SRF262164:SRF262165 SHJ262164:SHJ262165 RXN262164:RXN262165 RNR262164:RNR262165 RDV262164:RDV262165 QTZ262164:QTZ262165 QKD262164:QKD262165 QAH262164:QAH262165 PQL262164:PQL262165 PGP262164:PGP262165 OWT262164:OWT262165 OMX262164:OMX262165 ODB262164:ODB262165 NTF262164:NTF262165 NJJ262164:NJJ262165 MZN262164:MZN262165 MPR262164:MPR262165 MFV262164:MFV262165 LVZ262164:LVZ262165 LMD262164:LMD262165 LCH262164:LCH262165 KSL262164:KSL262165 KIP262164:KIP262165 JYT262164:JYT262165 JOX262164:JOX262165 JFB262164:JFB262165 IVF262164:IVF262165 ILJ262164:ILJ262165 IBN262164:IBN262165 HRR262164:HRR262165 HHV262164:HHV262165 GXZ262164:GXZ262165 GOD262164:GOD262165 GEH262164:GEH262165 FUL262164:FUL262165 FKP262164:FKP262165 FAT262164:FAT262165 EQX262164:EQX262165 EHB262164:EHB262165 DXF262164:DXF262165 DNJ262164:DNJ262165 DDN262164:DDN262165 CTR262164:CTR262165 CJV262164:CJV262165 BZZ262164:BZZ262165 BQD262164:BQD262165 BGH262164:BGH262165 AWL262164:AWL262165 AMP262164:AMP262165 ACT262164:ACT262165 SX262164:SX262165 JB262164:JB262165 F262164:F262165 WVN196628:WVN196629 WLR196628:WLR196629 WBV196628:WBV196629 VRZ196628:VRZ196629 VID196628:VID196629 UYH196628:UYH196629 UOL196628:UOL196629 UEP196628:UEP196629 TUT196628:TUT196629 TKX196628:TKX196629 TBB196628:TBB196629 SRF196628:SRF196629 SHJ196628:SHJ196629 RXN196628:RXN196629 RNR196628:RNR196629 RDV196628:RDV196629 QTZ196628:QTZ196629 QKD196628:QKD196629 QAH196628:QAH196629 PQL196628:PQL196629 PGP196628:PGP196629 OWT196628:OWT196629 OMX196628:OMX196629 ODB196628:ODB196629 NTF196628:NTF196629 NJJ196628:NJJ196629 MZN196628:MZN196629 MPR196628:MPR196629 MFV196628:MFV196629 LVZ196628:LVZ196629 LMD196628:LMD196629 LCH196628:LCH196629 KSL196628:KSL196629 KIP196628:KIP196629 JYT196628:JYT196629 JOX196628:JOX196629 JFB196628:JFB196629 IVF196628:IVF196629 ILJ196628:ILJ196629 IBN196628:IBN196629 HRR196628:HRR196629 HHV196628:HHV196629 GXZ196628:GXZ196629 GOD196628:GOD196629 GEH196628:GEH196629 FUL196628:FUL196629 FKP196628:FKP196629 FAT196628:FAT196629 EQX196628:EQX196629 EHB196628:EHB196629 DXF196628:DXF196629 DNJ196628:DNJ196629 DDN196628:DDN196629 CTR196628:CTR196629 CJV196628:CJV196629 BZZ196628:BZZ196629 BQD196628:BQD196629 BGH196628:BGH196629 AWL196628:AWL196629 AMP196628:AMP196629 ACT196628:ACT196629 SX196628:SX196629 JB196628:JB196629 F196628:F196629 WVN131092:WVN131093 WLR131092:WLR131093 WBV131092:WBV131093 VRZ131092:VRZ131093 VID131092:VID131093 UYH131092:UYH131093 UOL131092:UOL131093 UEP131092:UEP131093 TUT131092:TUT131093 TKX131092:TKX131093 TBB131092:TBB131093 SRF131092:SRF131093 SHJ131092:SHJ131093 RXN131092:RXN131093 RNR131092:RNR131093 RDV131092:RDV131093 QTZ131092:QTZ131093 QKD131092:QKD131093 QAH131092:QAH131093 PQL131092:PQL131093 PGP131092:PGP131093 OWT131092:OWT131093 OMX131092:OMX131093 ODB131092:ODB131093 NTF131092:NTF131093 NJJ131092:NJJ131093 MZN131092:MZN131093 MPR131092:MPR131093 MFV131092:MFV131093 LVZ131092:LVZ131093 LMD131092:LMD131093 LCH131092:LCH131093 KSL131092:KSL131093 KIP131092:KIP131093 JYT131092:JYT131093 JOX131092:JOX131093 JFB131092:JFB131093 IVF131092:IVF131093 ILJ131092:ILJ131093 IBN131092:IBN131093 HRR131092:HRR131093 HHV131092:HHV131093 GXZ131092:GXZ131093 GOD131092:GOD131093 GEH131092:GEH131093 FUL131092:FUL131093 FKP131092:FKP131093 FAT131092:FAT131093 EQX131092:EQX131093 EHB131092:EHB131093 DXF131092:DXF131093 DNJ131092:DNJ131093 DDN131092:DDN131093 CTR131092:CTR131093 CJV131092:CJV131093 BZZ131092:BZZ131093 BQD131092:BQD131093 BGH131092:BGH131093 AWL131092:AWL131093 AMP131092:AMP131093 ACT131092:ACT131093 SX131092:SX131093 JB131092:JB131093 F131092:F131093 WVN65556:WVN65557 WLR65556:WLR65557 WBV65556:WBV65557 VRZ65556:VRZ65557 VID65556:VID65557 UYH65556:UYH65557 UOL65556:UOL65557 UEP65556:UEP65557 TUT65556:TUT65557 TKX65556:TKX65557 TBB65556:TBB65557 SRF65556:SRF65557 SHJ65556:SHJ65557 RXN65556:RXN65557 RNR65556:RNR65557 RDV65556:RDV65557 QTZ65556:QTZ65557 QKD65556:QKD65557 QAH65556:QAH65557 PQL65556:PQL65557 PGP65556:PGP65557 OWT65556:OWT65557 OMX65556:OMX65557 ODB65556:ODB65557 NTF65556:NTF65557 NJJ65556:NJJ65557 MZN65556:MZN65557 MPR65556:MPR65557 MFV65556:MFV65557 LVZ65556:LVZ65557 LMD65556:LMD65557 LCH65556:LCH65557 KSL65556:KSL65557 KIP65556:KIP65557 JYT65556:JYT65557 JOX65556:JOX65557 JFB65556:JFB65557 IVF65556:IVF65557 ILJ65556:ILJ65557 IBN65556:IBN65557 HRR65556:HRR65557 HHV65556:HHV65557 GXZ65556:GXZ65557 GOD65556:GOD65557 GEH65556:GEH65557 FUL65556:FUL65557 FKP65556:FKP65557 FAT65556:FAT65557 EQX65556:EQX65557 EHB65556:EHB65557 DXF65556:DXF65557 DNJ65556:DNJ65557 DDN65556:DDN65557 CTR65556:CTR65557 CJV65556:CJV65557 BZZ65556:BZZ65557 BQD65556:BQD65557 BGH65556:BGH65557 AWL65556:AWL65557 AMP65556:AMP65557 ACT65556:ACT65557 SX65556:SX65557 JB65556:JB65557 F65556:F65557 V25 G25:G27 JC25:JC27 SY25:SY27 ACU25:ACU27 AMQ25:AMQ27 AWM25:AWM27 BGI25:BGI27 BQE25:BQE27 CAA25:CAA27 CJW25:CJW27 CTS25:CTS27 DDO25:DDO27 DNK25:DNK27 DXG25:DXG27 EHC25:EHC27 EQY25:EQY27 FAU25:FAU27 FKQ25:FKQ27 FUM25:FUM27 GEI25:GEI27 GOE25:GOE27 GYA25:GYA27 HHW25:HHW27 HRS25:HRS27 IBO25:IBO27 ILK25:ILK27 IVG25:IVG27 JFC25:JFC27 JOY25:JOY27 JYU25:JYU27 KIQ25:KIQ27 KSM25:KSM27 LCI25:LCI27 LME25:LME27 LWA25:LWA27 MFW25:MFW27 MPS25:MPS27 MZO25:MZO27 NJK25:NJK27 NTG25:NTG27 ODC25:ODC27 OMY25:OMY27 OWU25:OWU27 PGQ25:PGQ27 PQM25:PQM27 QAI25:QAI27 QKE25:QKE27 QUA25:QUA27 RDW25:RDW27 RNS25:RNS27 RXO25:RXO27 SHK25:SHK27 SRG25:SRG27 TBC25:TBC27 TKY25:TKY27 TUU25:TUU27 UEQ25:UEQ27 UOM25:UOM27 UYI25:UYI27 VIE25:VIE27 VSA25:VSA27 WBW25:WBW27 WLS25:WLS27 WVO25:WVO27 F15 WVO13:WVO14 WVN15 WLR15 WBV15 VRZ15 VID15 UYH15 UOL15 UEP15 TUT15 TKX15 TBB15 SRF15 SHJ15 RXN15 RNR15 RDV15 QTZ15 QKD15 QAH15 PQL15 PGP15 OWT15 OMX15 ODB15 NTF15 NJJ15 MZN15 MPR15 MFV15 LVZ15 LMD15 LCH15 KSL15 KIP15 JYT15 JOX15 JFB15 IVF15 ILJ15 IBN15 HRR15 HHV15 GXZ15 GOD15 GEH15 FUL15 FKP15 FAT15 EQX15 EHB15 DXF15 DNJ15 DDN15 CTR15 CJV15 BZZ15 BQD15 BGH15 AWL15 AMP15 ACT15 SX15 JB15 M13 G13:G14 JC13:JC14 SY13:SY14 ACU13:ACU14 AMQ13:AMQ14 AWM13:AWM14 BGI13:BGI14 BQE13:BQE14 CAA13:CAA14 CJW13:CJW14 CTS13:CTS14 DDO13:DDO14 DNK13:DNK14 DXG13:DXG14 EHC13:EHC14 EQY13:EQY14 FAU13:FAU14 FKQ13:FKQ14 FUM13:FUM14 GEI13:GEI14 GOE13:GOE14 GYA13:GYA14 HHW13:HHW14 HRS13:HRS14 IBO13:IBO14 ILK13:ILK14 IVG13:IVG14 JFC13:JFC14 JOY13:JOY14 JYU13:JYU14 KIQ13:KIQ14 KSM13:KSM14 LCI13:LCI14 LME13:LME14 LWA13:LWA14 MFW13:MFW14 MPS13:MPS14 MZO13:MZO14 NJK13:NJK14 NTG13:NTG14 ODC13:ODC14 OMY13:OMY14 OWU13:OWU14 PGQ13:PGQ14 PQM13:PQM14 QAI13:QAI14 QKE13:QKE14 QUA13:QUA14 RDW13:RDW14 RNS13:RNS14 RXO13:RXO14 SHK13:SHK14 SRG13:SRG14 TBC13:TBC14 TKY13:TKY14 TUU13:TUU14 UEQ13:UEQ14 UOM13:UOM14 UYI13:UYI14 VIE13:VIE14 VSA13:VSA14 WBW13:WBW14 WLS13:WLS14 F11 JB11 SX11 ACT11 AMP11 AWL11 BGH11 BQD11 BZZ11 CJV11 CTR11 DDN11 DNJ11 DXF11 EHB11 EQX11 FAT11 FKP11 FUL11 GEH11 GOD11 GXZ11 HHV11 HRR11 IBN11 ILJ11 IVF11 JFB11 JOX11 JYT11 KIP11 KSL11 LCH11 LMD11 LVZ11 MFV11 MPR11 MZN11 NJJ11 NTF11 ODB11 OMX11 OWT11 PGP11 PQL11 QAH11 QKD11 QTZ11 RDV11 RNR11 RXN11 SHJ11 SRF11 TBB11 TKX11 TUT11 UEP11 UOL11 UYH11 VID11 VRZ11 WBV11 WLR11 WVN11 WVN18:WVN19 WLR18:WLR19 WBV18:WBV19 VRZ18:VRZ19 VID18:VID19 UYH18:UYH19 UOL18:UOL19 UEP18:UEP19 TUT18:TUT19 TKX18:TKX19 TBB18:TBB19 SRF18:SRF19 SHJ18:SHJ19 RXN18:RXN19 RNR18:RNR19 RDV18:RDV19 QTZ18:QTZ19 QKD18:QKD19 QAH18:QAH19 PQL18:PQL19 PGP18:PGP19 OWT18:OWT19 OMX18:OMX19 ODB18:ODB19 NTF18:NTF19 NJJ18:NJJ19 MZN18:MZN19 MPR18:MPR19 MFV18:MFV19 LVZ18:LVZ19 LMD18:LMD19 LCH18:LCH19 KSL18:KSL19 KIP18:KIP19 JYT18:JYT19 JOX18:JOX19 JFB18:JFB19 IVF18:IVF19 ILJ18:ILJ19 IBN18:IBN19 HRR18:HRR19 HHV18:HHV19 GXZ18:GXZ19 GOD18:GOD19 GEH18:GEH19 FUL18:FUL19 FKP18:FKP19 FAT18:FAT19 EQX18:EQX19 EHB18:EHB19 DXF18:DXF19 DNJ18:DNJ19 DDN18:DDN19 CTR18:CTR19 CJV18:CJV19 BZZ18:BZZ19 BQD18:BQD19 BGH18:BGH19 AWL18:AWL19 AMP18:AMP19 ACT18:ACT19 SX18:SX19 JB18:JB19 F18:F19 WVX18 WMB18 WCF18 VSJ18 VIN18 UYR18 UOV18 UEZ18 TVD18 TLH18 TBL18 SRP18 SHT18 RXX18 ROB18 REF18 QUJ18 QKN18 QAR18 PQV18 PGZ18 OXD18 ONH18 ODL18 NTP18 NJT18 MZX18 MQB18 MGF18 LWJ18 LMN18 LCR18 KSV18 KIZ18 JZD18 JPH18 JFL18 IVP18 ILT18 IBX18 HSB18 HIF18 GYJ18 GON18 GER18 FUV18 FKZ18 FBD18 ERH18 EHL18 DXP18 DNT18 DDX18 CUB18 CKF18 CAJ18 BQN18 BGR18 AWV18 AMZ18 ADD18 TH18 JL18 P18 WLR22:WLR23 WBV22:WBV23 VRZ22:VRZ23 VID22:VID23 UYH22:UYH23 UOL22:UOL23 UEP22:UEP23 TUT22:TUT23 TKX22:TKX23 TBB22:TBB23 SRF22:SRF23 SHJ22:SHJ23 RXN22:RXN23 RNR22:RNR23 RDV22:RDV23 QTZ22:QTZ23 QKD22:QKD23 QAH22:QAH23 PQL22:PQL23 PGP22:PGP23 OWT22:OWT23 OMX22:OMX23 ODB22:ODB23 NTF22:NTF23 NJJ22:NJJ23 MZN22:MZN23 MPR22:MPR23 MFV22:MFV23 LVZ22:LVZ23 LMD22:LMD23 LCH22:LCH23 KSL22:KSL23 KIP22:KIP23 JYT22:JYT23 JOX22:JOX23 JFB22:JFB23 IVF22:IVF23 ILJ22:ILJ23 IBN22:IBN23 HRR22:HRR23 HHV22:HHV23 GXZ22:GXZ23 GOD22:GOD23 GEH22:GEH23 FUL22:FUL23 FKP22:FKP23 FAT22:FAT23 EQX22:EQX23 EHB22:EHB23 DXF22:DXF23 DNJ22:DNJ23 DDN22:DDN23 CTR22:CTR23 CJV22:CJV23 BZZ22:BZZ23 BQD22:BQD23 BGH22:BGH23 AWL22:AWL23 AMP22:AMP23 ACT22:ACT23 SX22:SX23 JB22:JB23 F22:F23 S13 WVW25 WMA25 WCE25 VSI25 VIM25 UYQ25 UOU25 UEY25 TVC25 TLG25 TBK25 SRO25 SHS25 RXW25 ROA25 REE25 QUI25 QKM25 QAQ25 PQU25 PGY25 OXC25 ONG25 ODK25 NTO25 NJS25 MZW25 MQA25 MGE25 LWI25 LMM25 LCQ25 KSU25 KIY25 JZC25 JPG25 JFK25 IVO25 ILS25 IBW25 HSA25 HIE25 GYI25 GOM25 GEQ25 FUU25 FKY25 FBC25 ERG25 EHK25 DXO25 DNS25 DDW25 CUA25 CKE25 CAI25 BQM25 BGQ25 AWU25 AMY25 ADC25 TG25 JK25 O25 WWD25 WMH25 WCL25 VSP25 VIT25 UYX25 UPB25 UFF25 TVJ25 TLN25 TBR25 SRV25 SHZ25 RYD25 ROH25 REL25 QUP25 QKT25 QAX25 PRB25 PHF25 OXJ25 ONN25 ODR25 NTV25 NJZ25 NAD25 MQH25 MGL25 LWP25 LMT25 LCX25 KTB25 KJF25 JZJ25 JPN25 JFR25 IVV25 ILZ25 ICD25 HSH25 HIL25 GYP25 GOT25 GEX25 FVB25 FLF25 FBJ25 ERN25 EHR25 DXV25 DNZ25 DED25 CUH25 CKL25 CAP25 BQT25 BGX25 AXB25 ANF25 ADJ25 TN25 JR25 WVN22:WVN23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2:M10"/>
  <sheetViews>
    <sheetView zoomScale="115" zoomScaleNormal="115" workbookViewId="0">
      <selection activeCell="AU39" sqref="AU39"/>
    </sheetView>
  </sheetViews>
  <sheetFormatPr defaultRowHeight="13.5"/>
  <cols>
    <col min="1" max="1" width="17.25" bestFit="1" customWidth="1"/>
    <col min="3" max="3" width="3.375" bestFit="1" customWidth="1"/>
    <col min="4" max="4" width="9.125" customWidth="1"/>
    <col min="5" max="5" width="3.375" bestFit="1" customWidth="1"/>
    <col min="7" max="7" width="3.375" bestFit="1" customWidth="1"/>
    <col min="9" max="9" width="11.375" bestFit="1" customWidth="1"/>
    <col min="10" max="10" width="10.25" bestFit="1" customWidth="1"/>
    <col min="11" max="11" width="7.125" bestFit="1" customWidth="1"/>
    <col min="12" max="12" width="10.125" bestFit="1" customWidth="1"/>
  </cols>
  <sheetData>
    <row r="2" spans="1:13">
      <c r="A2" s="635" t="s">
        <v>1036</v>
      </c>
    </row>
    <row r="3" spans="1:13">
      <c r="A3" t="s">
        <v>1026</v>
      </c>
    </row>
    <row r="4" spans="1:13">
      <c r="B4" s="631"/>
      <c r="C4" s="631"/>
      <c r="D4" s="1507" t="s">
        <v>1031</v>
      </c>
      <c r="E4" s="1507"/>
      <c r="F4" s="1507"/>
      <c r="G4" s="1507"/>
      <c r="H4" s="631" t="s">
        <v>1032</v>
      </c>
      <c r="I4" s="631" t="s">
        <v>1033</v>
      </c>
      <c r="K4" s="626" t="s">
        <v>1034</v>
      </c>
      <c r="L4" s="626" t="s">
        <v>1041</v>
      </c>
      <c r="M4" t="s">
        <v>1012</v>
      </c>
    </row>
    <row r="5" spans="1:13">
      <c r="B5" s="1507" t="s">
        <v>1023</v>
      </c>
      <c r="C5" s="1507"/>
      <c r="D5" s="1507" t="str">
        <f>IF('01.入学願書'!M119="","",'01.入学願書'!M119)</f>
        <v>TRAN THI NHI</v>
      </c>
      <c r="E5" s="1507"/>
      <c r="F5" s="1507"/>
      <c r="G5" s="1507"/>
      <c r="H5" s="631" t="str">
        <f>IF(D5="","",VLOOKUP('01.入学願書'!AY119,'01.入学願書'!BX3:BY23,2,FALSE))</f>
        <v>母</v>
      </c>
      <c r="I5" s="829"/>
      <c r="K5" s="632">
        <f>ROUND((I5/初期設定!$B$10*初期設定!$F$10)/10000,)</f>
        <v>0</v>
      </c>
      <c r="L5" s="632" t="str">
        <f>"約"&amp;K5&amp;"万円"</f>
        <v>約0万円</v>
      </c>
      <c r="M5">
        <f>IF(D5="","",1)</f>
        <v>1</v>
      </c>
    </row>
    <row r="6" spans="1:13">
      <c r="B6" s="1507" t="s">
        <v>1024</v>
      </c>
      <c r="C6" s="1507"/>
      <c r="D6" s="1507" t="str">
        <f>IF('01.入学願書'!M126="","",'01.入学願書'!M126)</f>
        <v/>
      </c>
      <c r="E6" s="1507"/>
      <c r="F6" s="1507"/>
      <c r="G6" s="1507"/>
      <c r="H6" s="631" t="str">
        <f>IF(D6="","",VLOOKUP('01.入学願書'!AY126,'01.入学願書'!BX3:BY23,2,FALSE))</f>
        <v/>
      </c>
      <c r="I6" s="829"/>
      <c r="K6" s="632">
        <f>ROUND((I6/初期設定!$B$10*初期設定!$F$10)/10000,)</f>
        <v>0</v>
      </c>
      <c r="L6" s="632" t="str">
        <f>"約"&amp;K6&amp;"万円"</f>
        <v>約0万円</v>
      </c>
      <c r="M6" t="str">
        <f>IF(D6="","",1)</f>
        <v/>
      </c>
    </row>
    <row r="7" spans="1:13">
      <c r="B7" s="1507" t="s">
        <v>1025</v>
      </c>
      <c r="C7" s="1507"/>
      <c r="D7" s="1507" t="str">
        <f>IF('01.入学願書'!M132="","",'01.入学願書'!M132)</f>
        <v/>
      </c>
      <c r="E7" s="1507"/>
      <c r="F7" s="1507"/>
      <c r="G7" s="1507"/>
      <c r="H7" s="631" t="str">
        <f>IF(D7="","",VLOOKUP('01.入学願書'!AY132,'01.入学願書'!BX3:BY23,2,FALSE))</f>
        <v/>
      </c>
      <c r="I7" s="829"/>
      <c r="K7" s="632">
        <f>ROUND((I7/初期設定!$B$10*初期設定!$F$10)/10000,)</f>
        <v>0</v>
      </c>
      <c r="L7" s="632" t="str">
        <f>"約"&amp;K7&amp;"万円"</f>
        <v>約0万円</v>
      </c>
      <c r="M7" t="str">
        <f>IF(D7="","",1)</f>
        <v/>
      </c>
    </row>
    <row r="8" spans="1:13">
      <c r="K8" s="633">
        <f>SUM(K5:K7)</f>
        <v>0</v>
      </c>
      <c r="L8" s="632" t="str">
        <f>"約"&amp;K8&amp;"万"</f>
        <v>約0万</v>
      </c>
      <c r="M8">
        <f>SUM(M5:M7)</f>
        <v>1</v>
      </c>
    </row>
    <row r="9" spans="1:13">
      <c r="D9" t="s">
        <v>1042</v>
      </c>
    </row>
    <row r="10" spans="1:13">
      <c r="D10" t="str">
        <f>IF(M8=1,"",IF(M8=2,"("&amp;H5&amp;"："&amp;L5&amp;"、"&amp;H6&amp;"："&amp;L6&amp;")",IF(M8=3,"("&amp;H5&amp;"："&amp;L5&amp;"、"&amp;H6&amp;"："&amp;L6&amp;"、"&amp;H7&amp;"："&amp;L7&amp;")")))</f>
        <v/>
      </c>
    </row>
  </sheetData>
  <mergeCells count="7">
    <mergeCell ref="B7:C7"/>
    <mergeCell ref="D7:G7"/>
    <mergeCell ref="D4:G4"/>
    <mergeCell ref="B5:C5"/>
    <mergeCell ref="D5:G5"/>
    <mergeCell ref="B6:C6"/>
    <mergeCell ref="D6:G6"/>
  </mergeCells>
  <phoneticPr fontId="5"/>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2:AA8"/>
  <sheetViews>
    <sheetView zoomScale="115" zoomScaleNormal="115" workbookViewId="0">
      <selection activeCell="R4" sqref="R4"/>
    </sheetView>
  </sheetViews>
  <sheetFormatPr defaultColWidth="11.625" defaultRowHeight="21" customHeight="1"/>
  <cols>
    <col min="1" max="4" width="12.5" style="607" customWidth="1"/>
    <col min="5" max="7" width="7.375" style="607" customWidth="1"/>
    <col min="8" max="9" width="7.5" style="607" customWidth="1"/>
    <col min="10" max="10" width="12.5" style="607" customWidth="1"/>
    <col min="11" max="11" width="22" style="607" bestFit="1" customWidth="1"/>
    <col min="12" max="12" width="11.625" style="607"/>
    <col min="13" max="13" width="12.25" style="607" bestFit="1" customWidth="1"/>
    <col min="14" max="16384" width="11.625" style="607"/>
  </cols>
  <sheetData>
    <row r="2" spans="1:27" s="639" customFormat="1" ht="21" customHeight="1">
      <c r="A2" s="1508" t="s">
        <v>1135</v>
      </c>
      <c r="B2" s="1508"/>
      <c r="C2" s="1508" t="s">
        <v>1061</v>
      </c>
      <c r="D2" s="1508"/>
      <c r="E2" s="1508" t="s">
        <v>474</v>
      </c>
      <c r="F2" s="1508"/>
      <c r="G2" s="1508"/>
      <c r="H2" s="1508" t="s">
        <v>960</v>
      </c>
      <c r="I2" s="1508" t="s">
        <v>956</v>
      </c>
      <c r="J2" s="1508" t="s">
        <v>1040</v>
      </c>
      <c r="K2" s="1508" t="s">
        <v>1039</v>
      </c>
      <c r="L2" s="1508" t="s">
        <v>1247</v>
      </c>
      <c r="M2" s="1508" t="s">
        <v>1051</v>
      </c>
      <c r="N2" s="1508"/>
      <c r="O2" s="1508"/>
      <c r="P2" s="1508"/>
      <c r="Q2" s="1508"/>
      <c r="R2" s="1508"/>
      <c r="S2" s="1508" t="s">
        <v>1136</v>
      </c>
      <c r="T2" s="1508"/>
      <c r="U2" s="1508"/>
      <c r="V2" s="1508"/>
      <c r="W2" s="1508"/>
      <c r="X2" s="1508"/>
      <c r="Y2" s="1508"/>
      <c r="Z2" s="1508"/>
      <c r="AA2" s="1508" t="s">
        <v>1137</v>
      </c>
    </row>
    <row r="3" spans="1:27" s="639" customFormat="1" ht="21" customHeight="1">
      <c r="A3" s="817" t="s">
        <v>1037</v>
      </c>
      <c r="B3" s="817" t="s">
        <v>1038</v>
      </c>
      <c r="C3" s="817" t="s">
        <v>1037</v>
      </c>
      <c r="D3" s="817" t="s">
        <v>1038</v>
      </c>
      <c r="E3" s="817" t="s">
        <v>4</v>
      </c>
      <c r="F3" s="817" t="s">
        <v>9</v>
      </c>
      <c r="G3" s="817" t="s">
        <v>6</v>
      </c>
      <c r="H3" s="1508"/>
      <c r="I3" s="1508"/>
      <c r="J3" s="1508"/>
      <c r="K3" s="1508"/>
      <c r="L3" s="1508"/>
      <c r="M3" s="817" t="s">
        <v>1248</v>
      </c>
      <c r="N3" s="817" t="s">
        <v>1138</v>
      </c>
      <c r="O3" s="817" t="s">
        <v>1249</v>
      </c>
      <c r="P3" s="817" t="s">
        <v>1250</v>
      </c>
      <c r="Q3" s="817" t="s">
        <v>1251</v>
      </c>
      <c r="R3" s="817" t="s">
        <v>1252</v>
      </c>
      <c r="S3" s="817" t="s">
        <v>1031</v>
      </c>
      <c r="T3" s="817" t="s">
        <v>1253</v>
      </c>
      <c r="U3" s="817" t="s">
        <v>1139</v>
      </c>
      <c r="V3" s="817" t="s">
        <v>1254</v>
      </c>
      <c r="W3" s="817" t="s">
        <v>1140</v>
      </c>
      <c r="X3" s="817" t="s">
        <v>1141</v>
      </c>
      <c r="Y3" s="817" t="s">
        <v>1142</v>
      </c>
      <c r="Z3" s="817" t="s">
        <v>1255</v>
      </c>
      <c r="AA3" s="1508"/>
    </row>
    <row r="4" spans="1:27" s="655" customFormat="1" ht="21" customHeight="1">
      <c r="A4" s="816" t="str">
        <f>'01.入学願書'!J11</f>
        <v>BÙI</v>
      </c>
      <c r="B4" s="816" t="str">
        <f>'01.入学願書'!S11</f>
        <v>VĂN HẢI</v>
      </c>
      <c r="C4" s="816" t="str">
        <f>'01.入学願書'!AM11</f>
        <v>BUI</v>
      </c>
      <c r="D4" s="816" t="str">
        <f>'01.入学願書'!AV11</f>
        <v>VAN HAI</v>
      </c>
      <c r="E4" s="816" t="str">
        <f>IF('01.入学願書'!Z14="","未記入",'01.入学願書'!Z14)</f>
        <v>1991</v>
      </c>
      <c r="F4" s="816" t="str">
        <f>IF('01.入学願書'!AI14="","未記入",'01.入学願書'!AI14)</f>
        <v>11</v>
      </c>
      <c r="G4" s="816" t="str">
        <f>IF('01.入学願書'!AN14="","未記入",'01.入学願書'!AN14)</f>
        <v>05</v>
      </c>
      <c r="H4" s="816" t="str">
        <f>IF('01.入学願書'!H14="■","男",IF('01.入学願書'!L14="■","女","未記入"))</f>
        <v>男</v>
      </c>
      <c r="I4" s="816" t="str">
        <f>VLOOKUP('01.入学願書'!H16,'01.入学願書'!BO4:BP10,2,FALSE)</f>
        <v>ベトナム</v>
      </c>
      <c r="J4" s="816" t="str">
        <f>'01.入学願書'!AI100&amp;"年"&amp;'01.入学願書'!AP100&amp;"月"</f>
        <v>2017年3月</v>
      </c>
      <c r="K4" s="752" t="str">
        <f>'01.入学願書'!J20</f>
        <v>AN LU、THUY NGUYEN、HAI PHONG</v>
      </c>
      <c r="L4" s="816" t="str">
        <f>申請人１!O22</f>
        <v>HAI PHONG</v>
      </c>
      <c r="M4" s="816" t="e">
        <f>申請人２-[2]３!V11</f>
        <v>#NAME?</v>
      </c>
      <c r="N4" s="816" t="e">
        <f>申請人２-[2]３!G21</f>
        <v>#NAME?</v>
      </c>
      <c r="O4" s="818" t="e">
        <f>申請人２-[2]３!X21</f>
        <v>#NAME?</v>
      </c>
      <c r="P4" s="818" t="e">
        <f>申請人２-[2]３!AB21</f>
        <v>#NAME?</v>
      </c>
      <c r="Q4" s="818" t="e">
        <f>申請人２-[2]３!AL16</f>
        <v>#NAME?</v>
      </c>
      <c r="R4" s="818" t="e">
        <f>申請人２-[2]３!AP17</f>
        <v>#NAME?</v>
      </c>
      <c r="S4" s="816" t="e">
        <f>申請人２-[2]３!F68</f>
        <v>#NAME?</v>
      </c>
      <c r="T4" s="816" t="e">
        <f>申請人２-[2]３!AT88&amp;" "&amp;申請人２-[2]３!AT89&amp;""&amp;申請人２-[2]３!AT90</f>
        <v>#NAME?</v>
      </c>
      <c r="U4" s="816" t="e">
        <f>申請人２-[2]３!F70</f>
        <v>#NAME?</v>
      </c>
      <c r="V4" s="816" t="e">
        <f>申請人２-[2]３!AA70</f>
        <v>#NAME?</v>
      </c>
      <c r="W4" s="816" t="e">
        <f>申請人２-[2]３!L73</f>
        <v>#NAME?</v>
      </c>
      <c r="X4" s="816" t="e">
        <f>申請人２-[2]３!AA73</f>
        <v>#NAME?</v>
      </c>
      <c r="Y4" s="751" t="e">
        <f>申請人２-[2]３!H75</f>
        <v>#NAME?</v>
      </c>
      <c r="Z4" s="751" t="e">
        <f>申請人２-[2]３!AB52</f>
        <v>#NAME?</v>
      </c>
      <c r="AA4" s="816" t="str">
        <f>IF('01.入学願書'!P46="■","なし",IF('01.入学願書'!T46="■",'01.入学願書'!G49&amp;'01.入学願書'!B49&amp;'01.入学願書'!G51&amp;'01.入学願書'!B51&amp;'01.入学願書'!G53&amp;'01.入学願書'!B53,"未記入"))</f>
        <v>なし</v>
      </c>
    </row>
    <row r="8" spans="1:27" ht="21" customHeight="1">
      <c r="M8" s="756"/>
    </row>
  </sheetData>
  <mergeCells count="11">
    <mergeCell ref="AA2:AA3"/>
    <mergeCell ref="A2:B2"/>
    <mergeCell ref="J2:J3"/>
    <mergeCell ref="K2:K3"/>
    <mergeCell ref="E2:G2"/>
    <mergeCell ref="H2:H3"/>
    <mergeCell ref="I2:I3"/>
    <mergeCell ref="C2:D2"/>
    <mergeCell ref="L2:L3"/>
    <mergeCell ref="M2:R2"/>
    <mergeCell ref="S2:Z2"/>
  </mergeCells>
  <phoneticPr fontId="5"/>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pageSetUpPr fitToPage="1"/>
  </sheetPr>
  <dimension ref="A2:Q54"/>
  <sheetViews>
    <sheetView workbookViewId="0">
      <selection activeCell="AU39" sqref="AU39"/>
    </sheetView>
  </sheetViews>
  <sheetFormatPr defaultColWidth="4.5" defaultRowHeight="30" customHeight="1"/>
  <cols>
    <col min="1" max="1" width="2.875" style="140" bestFit="1" customWidth="1"/>
    <col min="2" max="17" width="5.5" style="140" customWidth="1"/>
    <col min="18" max="16384" width="4.5" style="140"/>
  </cols>
  <sheetData>
    <row r="2" spans="1:17" ht="30" customHeight="1">
      <c r="L2" s="1514">
        <f ca="1">NOW()</f>
        <v>42885.738102430558</v>
      </c>
      <c r="M2" s="1514"/>
      <c r="N2" s="1514"/>
      <c r="O2" s="1514"/>
      <c r="P2" s="1514"/>
      <c r="Q2" s="1514"/>
    </row>
    <row r="3" spans="1:17" ht="30" customHeight="1">
      <c r="A3" s="142" t="s">
        <v>1277</v>
      </c>
    </row>
    <row r="4" spans="1:17" ht="30" customHeight="1">
      <c r="A4" s="156"/>
      <c r="Q4" s="714" t="s">
        <v>1261</v>
      </c>
    </row>
    <row r="5" spans="1:17" ht="30" customHeight="1">
      <c r="A5" s="156"/>
    </row>
    <row r="6" spans="1:17" ht="30" customHeight="1">
      <c r="A6" s="932" t="s">
        <v>1093</v>
      </c>
      <c r="B6" s="932"/>
      <c r="C6" s="932"/>
      <c r="D6" s="932"/>
      <c r="E6" s="932"/>
      <c r="F6" s="932"/>
      <c r="G6" s="932"/>
      <c r="H6" s="932"/>
      <c r="I6" s="932"/>
      <c r="J6" s="932"/>
      <c r="K6" s="932"/>
      <c r="L6" s="932"/>
      <c r="M6" s="932"/>
      <c r="N6" s="932"/>
      <c r="O6" s="932"/>
      <c r="P6" s="932"/>
      <c r="Q6" s="932"/>
    </row>
    <row r="7" spans="1:17" s="143" customFormat="1" ht="30" customHeight="1">
      <c r="A7" s="142"/>
      <c r="B7" s="142"/>
      <c r="C7" s="142"/>
      <c r="D7" s="142"/>
      <c r="E7" s="142"/>
      <c r="F7" s="142"/>
      <c r="G7" s="142"/>
      <c r="H7" s="142"/>
      <c r="I7" s="142"/>
      <c r="J7" s="142"/>
      <c r="K7" s="142"/>
      <c r="L7" s="142"/>
      <c r="M7" s="142"/>
      <c r="N7" s="142"/>
      <c r="O7" s="142"/>
      <c r="P7" s="142"/>
      <c r="Q7" s="142"/>
    </row>
    <row r="8" spans="1:17" s="143" customFormat="1" ht="30" customHeight="1">
      <c r="A8" s="142"/>
      <c r="B8" s="1512" t="s">
        <v>1094</v>
      </c>
      <c r="C8" s="1512"/>
      <c r="D8" s="1512"/>
      <c r="E8" s="1512"/>
      <c r="F8" s="1512" t="s">
        <v>1095</v>
      </c>
      <c r="G8" s="1515"/>
      <c r="H8" s="1510"/>
      <c r="I8" s="1511"/>
      <c r="J8" s="1512" t="s">
        <v>956</v>
      </c>
      <c r="K8" s="1512"/>
      <c r="L8" s="1512"/>
      <c r="M8" s="1512" t="str">
        <f>'01.入学願書'!H16</f>
        <v>Vietnam</v>
      </c>
      <c r="N8" s="1512"/>
      <c r="O8" s="1512"/>
      <c r="P8" s="1512"/>
      <c r="Q8" s="1512"/>
    </row>
    <row r="9" spans="1:17" s="143" customFormat="1" ht="30" customHeight="1">
      <c r="A9" s="142"/>
      <c r="B9" s="1512" t="s">
        <v>1074</v>
      </c>
      <c r="C9" s="1512"/>
      <c r="D9" s="1512"/>
      <c r="E9" s="1512"/>
      <c r="F9" s="1513" t="str">
        <f>'01.入学願書'!AM11&amp;" "&amp;'01.入学願書'!AV11</f>
        <v>BUI VAN HAI</v>
      </c>
      <c r="G9" s="1513"/>
      <c r="H9" s="1513"/>
      <c r="I9" s="1513"/>
      <c r="J9" s="1513"/>
      <c r="K9" s="1513"/>
      <c r="L9" s="1513"/>
      <c r="M9" s="1513"/>
      <c r="N9" s="1513"/>
      <c r="O9" s="1513"/>
      <c r="P9" s="1513"/>
      <c r="Q9" s="1513"/>
    </row>
    <row r="10" spans="1:17" s="143" customFormat="1" ht="30" customHeight="1">
      <c r="A10" s="156"/>
      <c r="B10" s="1512" t="s">
        <v>960</v>
      </c>
      <c r="C10" s="1512"/>
      <c r="D10" s="1512"/>
      <c r="E10" s="1512"/>
      <c r="F10" s="1512" t="str">
        <f>IF('01.入学願書'!H14="■","男",IF('01.入学願書'!L14="■","女",""))</f>
        <v>男</v>
      </c>
      <c r="G10" s="1512"/>
      <c r="H10" s="1512"/>
      <c r="I10" s="1512"/>
      <c r="J10" s="1512" t="s">
        <v>474</v>
      </c>
      <c r="K10" s="1512"/>
      <c r="L10" s="1512"/>
      <c r="M10" s="1512" t="str">
        <f>IF('01.入学願書'!Z14="","",'01.入学願書'!Z14&amp;'01.入学願書'!AG14&amp;'01.入学願書'!AI14&amp;'01.入学願書'!AL14&amp;'01.入学願書'!AN14&amp;'01.入学願書'!AQ14)</f>
        <v>1991年11月05日</v>
      </c>
      <c r="N10" s="1512"/>
      <c r="O10" s="1512"/>
      <c r="P10" s="1512"/>
      <c r="Q10" s="1512"/>
    </row>
    <row r="11" spans="1:17" s="143" customFormat="1" ht="30" customHeight="1">
      <c r="A11" s="142"/>
      <c r="B11" s="142"/>
      <c r="C11" s="142"/>
      <c r="D11" s="142"/>
      <c r="E11" s="142"/>
      <c r="F11" s="142"/>
      <c r="G11" s="142"/>
      <c r="H11" s="142"/>
      <c r="I11" s="142"/>
      <c r="J11" s="142"/>
      <c r="K11" s="142"/>
      <c r="L11" s="142"/>
      <c r="M11" s="142"/>
      <c r="N11" s="142"/>
      <c r="O11" s="142"/>
      <c r="P11" s="142"/>
      <c r="Q11" s="142"/>
    </row>
    <row r="12" spans="1:17" s="143" customFormat="1" ht="30" customHeight="1">
      <c r="A12" s="140"/>
      <c r="B12" s="140" t="s">
        <v>1096</v>
      </c>
      <c r="C12" s="140"/>
      <c r="D12" s="140"/>
      <c r="E12" s="140"/>
      <c r="F12" s="140"/>
      <c r="G12" s="140"/>
      <c r="H12" s="140"/>
      <c r="I12" s="140"/>
      <c r="J12" s="140"/>
      <c r="K12" s="140"/>
      <c r="L12" s="140"/>
      <c r="M12" s="140"/>
      <c r="N12" s="140"/>
      <c r="O12" s="140"/>
      <c r="P12" s="140"/>
      <c r="Q12" s="140"/>
    </row>
    <row r="13" spans="1:17" s="143" customFormat="1" ht="30" customHeight="1" thickBot="1">
      <c r="A13" s="140"/>
      <c r="B13" s="140"/>
      <c r="C13" s="140"/>
      <c r="D13" s="140"/>
      <c r="E13" s="140"/>
      <c r="F13" s="140"/>
      <c r="G13" s="140"/>
      <c r="H13" s="140"/>
      <c r="I13" s="140"/>
      <c r="J13" s="140"/>
      <c r="K13" s="140"/>
      <c r="L13" s="140"/>
      <c r="M13" s="140"/>
      <c r="N13" s="140"/>
      <c r="O13" s="140"/>
      <c r="P13" s="140"/>
      <c r="Q13" s="140"/>
    </row>
    <row r="14" spans="1:17" s="143" customFormat="1" ht="30" customHeight="1">
      <c r="A14" s="140"/>
      <c r="B14" s="1516"/>
      <c r="C14" s="1517"/>
      <c r="D14" s="1517"/>
      <c r="E14" s="1517"/>
      <c r="F14" s="1517"/>
      <c r="G14" s="1517"/>
      <c r="H14" s="1517"/>
      <c r="I14" s="1517"/>
      <c r="J14" s="1517"/>
      <c r="K14" s="1517"/>
      <c r="L14" s="1517"/>
      <c r="M14" s="1517"/>
      <c r="N14" s="1517"/>
      <c r="O14" s="1517"/>
      <c r="P14" s="1517"/>
      <c r="Q14" s="1518"/>
    </row>
    <row r="15" spans="1:17" s="143" customFormat="1" ht="30" customHeight="1">
      <c r="A15" s="140"/>
      <c r="B15" s="1519"/>
      <c r="C15" s="1520"/>
      <c r="D15" s="1520"/>
      <c r="E15" s="1520"/>
      <c r="F15" s="1520"/>
      <c r="G15" s="1520"/>
      <c r="H15" s="1520"/>
      <c r="I15" s="1520"/>
      <c r="J15" s="1520"/>
      <c r="K15" s="1520"/>
      <c r="L15" s="1520"/>
      <c r="M15" s="1520"/>
      <c r="N15" s="1520"/>
      <c r="O15" s="1520"/>
      <c r="P15" s="1520"/>
      <c r="Q15" s="1521"/>
    </row>
    <row r="16" spans="1:17" s="143" customFormat="1" ht="30" customHeight="1">
      <c r="A16" s="140"/>
      <c r="B16" s="1519"/>
      <c r="C16" s="1520"/>
      <c r="D16" s="1520"/>
      <c r="E16" s="1520"/>
      <c r="F16" s="1520"/>
      <c r="G16" s="1520"/>
      <c r="H16" s="1520"/>
      <c r="I16" s="1520"/>
      <c r="J16" s="1520"/>
      <c r="K16" s="1520"/>
      <c r="L16" s="1520"/>
      <c r="M16" s="1520"/>
      <c r="N16" s="1520"/>
      <c r="O16" s="1520"/>
      <c r="P16" s="1520"/>
      <c r="Q16" s="1521"/>
    </row>
    <row r="17" spans="1:17" s="143" customFormat="1" ht="30" customHeight="1">
      <c r="A17" s="140"/>
      <c r="B17" s="1519"/>
      <c r="C17" s="1520"/>
      <c r="D17" s="1520"/>
      <c r="E17" s="1520"/>
      <c r="F17" s="1520"/>
      <c r="G17" s="1520"/>
      <c r="H17" s="1520"/>
      <c r="I17" s="1520"/>
      <c r="J17" s="1520"/>
      <c r="K17" s="1520"/>
      <c r="L17" s="1520"/>
      <c r="M17" s="1520"/>
      <c r="N17" s="1520"/>
      <c r="O17" s="1520"/>
      <c r="P17" s="1520"/>
      <c r="Q17" s="1521"/>
    </row>
    <row r="18" spans="1:17" s="143" customFormat="1" ht="30" customHeight="1">
      <c r="A18" s="140"/>
      <c r="B18" s="1519"/>
      <c r="C18" s="1520"/>
      <c r="D18" s="1520"/>
      <c r="E18" s="1520"/>
      <c r="F18" s="1520"/>
      <c r="G18" s="1520"/>
      <c r="H18" s="1520"/>
      <c r="I18" s="1520"/>
      <c r="J18" s="1520"/>
      <c r="K18" s="1520"/>
      <c r="L18" s="1520"/>
      <c r="M18" s="1520"/>
      <c r="N18" s="1520"/>
      <c r="O18" s="1520"/>
      <c r="P18" s="1520"/>
      <c r="Q18" s="1521"/>
    </row>
    <row r="19" spans="1:17" s="143" customFormat="1" ht="30" customHeight="1">
      <c r="A19" s="140"/>
      <c r="B19" s="1519"/>
      <c r="C19" s="1520"/>
      <c r="D19" s="1520"/>
      <c r="E19" s="1520"/>
      <c r="F19" s="1520"/>
      <c r="G19" s="1520"/>
      <c r="H19" s="1520"/>
      <c r="I19" s="1520"/>
      <c r="J19" s="1520"/>
      <c r="K19" s="1520"/>
      <c r="L19" s="1520"/>
      <c r="M19" s="1520"/>
      <c r="N19" s="1520"/>
      <c r="O19" s="1520"/>
      <c r="P19" s="1520"/>
      <c r="Q19" s="1521"/>
    </row>
    <row r="20" spans="1:17" s="143" customFormat="1" ht="30" customHeight="1">
      <c r="A20" s="140"/>
      <c r="B20" s="1519"/>
      <c r="C20" s="1520"/>
      <c r="D20" s="1520"/>
      <c r="E20" s="1520"/>
      <c r="F20" s="1520"/>
      <c r="G20" s="1520"/>
      <c r="H20" s="1520"/>
      <c r="I20" s="1520"/>
      <c r="J20" s="1520"/>
      <c r="K20" s="1520"/>
      <c r="L20" s="1520"/>
      <c r="M20" s="1520"/>
      <c r="N20" s="1520"/>
      <c r="O20" s="1520"/>
      <c r="P20" s="1520"/>
      <c r="Q20" s="1521"/>
    </row>
    <row r="21" spans="1:17" s="143" customFormat="1" ht="30" customHeight="1">
      <c r="A21" s="140"/>
      <c r="B21" s="1519"/>
      <c r="C21" s="1520"/>
      <c r="D21" s="1520"/>
      <c r="E21" s="1520"/>
      <c r="F21" s="1520"/>
      <c r="G21" s="1520"/>
      <c r="H21" s="1520"/>
      <c r="I21" s="1520"/>
      <c r="J21" s="1520"/>
      <c r="K21" s="1520"/>
      <c r="L21" s="1520"/>
      <c r="M21" s="1520"/>
      <c r="N21" s="1520"/>
      <c r="O21" s="1520"/>
      <c r="P21" s="1520"/>
      <c r="Q21" s="1521"/>
    </row>
    <row r="22" spans="1:17" s="143" customFormat="1" ht="30" customHeight="1">
      <c r="A22" s="140"/>
      <c r="B22" s="1519"/>
      <c r="C22" s="1520"/>
      <c r="D22" s="1520"/>
      <c r="E22" s="1520"/>
      <c r="F22" s="1520"/>
      <c r="G22" s="1520"/>
      <c r="H22" s="1520"/>
      <c r="I22" s="1520"/>
      <c r="J22" s="1520"/>
      <c r="K22" s="1520"/>
      <c r="L22" s="1520"/>
      <c r="M22" s="1520"/>
      <c r="N22" s="1520"/>
      <c r="O22" s="1520"/>
      <c r="P22" s="1520"/>
      <c r="Q22" s="1521"/>
    </row>
    <row r="23" spans="1:17" s="143" customFormat="1" ht="30" customHeight="1">
      <c r="A23" s="140"/>
      <c r="B23" s="1519"/>
      <c r="C23" s="1520"/>
      <c r="D23" s="1520"/>
      <c r="E23" s="1520"/>
      <c r="F23" s="1520"/>
      <c r="G23" s="1520"/>
      <c r="H23" s="1520"/>
      <c r="I23" s="1520"/>
      <c r="J23" s="1520"/>
      <c r="K23" s="1520"/>
      <c r="L23" s="1520"/>
      <c r="M23" s="1520"/>
      <c r="N23" s="1520"/>
      <c r="O23" s="1520"/>
      <c r="P23" s="1520"/>
      <c r="Q23" s="1521"/>
    </row>
    <row r="24" spans="1:17" s="143" customFormat="1" ht="30" customHeight="1">
      <c r="A24" s="140"/>
      <c r="B24" s="1519"/>
      <c r="C24" s="1520"/>
      <c r="D24" s="1520"/>
      <c r="E24" s="1520"/>
      <c r="F24" s="1520"/>
      <c r="G24" s="1520"/>
      <c r="H24" s="1520"/>
      <c r="I24" s="1520"/>
      <c r="J24" s="1520"/>
      <c r="K24" s="1520"/>
      <c r="L24" s="1520"/>
      <c r="M24" s="1520"/>
      <c r="N24" s="1520"/>
      <c r="O24" s="1520"/>
      <c r="P24" s="1520"/>
      <c r="Q24" s="1521"/>
    </row>
    <row r="25" spans="1:17" s="143" customFormat="1" ht="30" customHeight="1">
      <c r="A25" s="140"/>
      <c r="B25" s="1519"/>
      <c r="C25" s="1520"/>
      <c r="D25" s="1520"/>
      <c r="E25" s="1520"/>
      <c r="F25" s="1520"/>
      <c r="G25" s="1520"/>
      <c r="H25" s="1520"/>
      <c r="I25" s="1520"/>
      <c r="J25" s="1520"/>
      <c r="K25" s="1520"/>
      <c r="L25" s="1520"/>
      <c r="M25" s="1520"/>
      <c r="N25" s="1520"/>
      <c r="O25" s="1520"/>
      <c r="P25" s="1520"/>
      <c r="Q25" s="1521"/>
    </row>
    <row r="26" spans="1:17" s="143" customFormat="1" ht="30" customHeight="1">
      <c r="A26" s="140"/>
      <c r="B26" s="1519"/>
      <c r="C26" s="1520"/>
      <c r="D26" s="1520"/>
      <c r="E26" s="1520"/>
      <c r="F26" s="1520"/>
      <c r="G26" s="1520"/>
      <c r="H26" s="1520"/>
      <c r="I26" s="1520"/>
      <c r="J26" s="1520"/>
      <c r="K26" s="1520"/>
      <c r="L26" s="1520"/>
      <c r="M26" s="1520"/>
      <c r="N26" s="1520"/>
      <c r="O26" s="1520"/>
      <c r="P26" s="1520"/>
      <c r="Q26" s="1521"/>
    </row>
    <row r="27" spans="1:17" s="143" customFormat="1" ht="30" customHeight="1">
      <c r="A27" s="140"/>
      <c r="B27" s="1519"/>
      <c r="C27" s="1520"/>
      <c r="D27" s="1520"/>
      <c r="E27" s="1520"/>
      <c r="F27" s="1520"/>
      <c r="G27" s="1520"/>
      <c r="H27" s="1520"/>
      <c r="I27" s="1520"/>
      <c r="J27" s="1520"/>
      <c r="K27" s="1520"/>
      <c r="L27" s="1520"/>
      <c r="M27" s="1520"/>
      <c r="N27" s="1520"/>
      <c r="O27" s="1520"/>
      <c r="P27" s="1520"/>
      <c r="Q27" s="1521"/>
    </row>
    <row r="28" spans="1:17" s="143" customFormat="1" ht="30" customHeight="1">
      <c r="A28" s="140"/>
      <c r="B28" s="1519"/>
      <c r="C28" s="1520"/>
      <c r="D28" s="1520"/>
      <c r="E28" s="1520"/>
      <c r="F28" s="1520"/>
      <c r="G28" s="1520"/>
      <c r="H28" s="1520"/>
      <c r="I28" s="1520"/>
      <c r="J28" s="1520"/>
      <c r="K28" s="1520"/>
      <c r="L28" s="1520"/>
      <c r="M28" s="1520"/>
      <c r="N28" s="1520"/>
      <c r="O28" s="1520"/>
      <c r="P28" s="1520"/>
      <c r="Q28" s="1521"/>
    </row>
    <row r="29" spans="1:17" s="143" customFormat="1" ht="30" customHeight="1">
      <c r="A29" s="140"/>
      <c r="B29" s="1519"/>
      <c r="C29" s="1520"/>
      <c r="D29" s="1520"/>
      <c r="E29" s="1520"/>
      <c r="F29" s="1520"/>
      <c r="G29" s="1520"/>
      <c r="H29" s="1520"/>
      <c r="I29" s="1520"/>
      <c r="J29" s="1520"/>
      <c r="K29" s="1520"/>
      <c r="L29" s="1520"/>
      <c r="M29" s="1520"/>
      <c r="N29" s="1520"/>
      <c r="O29" s="1520"/>
      <c r="P29" s="1520"/>
      <c r="Q29" s="1521"/>
    </row>
    <row r="30" spans="1:17" ht="30" customHeight="1" thickBot="1">
      <c r="B30" s="1522"/>
      <c r="C30" s="1523"/>
      <c r="D30" s="1523"/>
      <c r="E30" s="1523"/>
      <c r="F30" s="1523"/>
      <c r="G30" s="1523"/>
      <c r="H30" s="1523"/>
      <c r="I30" s="1523"/>
      <c r="J30" s="1523"/>
      <c r="K30" s="1523"/>
      <c r="L30" s="1523"/>
      <c r="M30" s="1523"/>
      <c r="N30" s="1523"/>
      <c r="O30" s="1523"/>
      <c r="P30" s="1523"/>
      <c r="Q30" s="1524"/>
    </row>
    <row r="32" spans="1:17" s="166" customFormat="1" ht="30" customHeight="1">
      <c r="A32" s="140"/>
      <c r="B32" s="140"/>
      <c r="C32" s="140"/>
      <c r="D32" s="140"/>
      <c r="E32" s="140"/>
      <c r="F32" s="140"/>
      <c r="G32" s="140"/>
      <c r="H32" s="140"/>
      <c r="I32" s="140"/>
      <c r="J32" s="140"/>
      <c r="K32" s="140"/>
      <c r="L32" s="140"/>
      <c r="M32" s="140"/>
      <c r="N32" s="140"/>
      <c r="O32" s="1509" t="s">
        <v>1097</v>
      </c>
      <c r="P32" s="1509"/>
      <c r="Q32" s="1509"/>
    </row>
    <row r="35" spans="1:17" s="143" customFormat="1" ht="30" customHeight="1">
      <c r="A35" s="140"/>
      <c r="B35" s="140"/>
      <c r="C35" s="140"/>
      <c r="D35" s="140"/>
      <c r="E35" s="140"/>
      <c r="F35" s="140"/>
      <c r="G35" s="140"/>
      <c r="H35" s="140"/>
      <c r="I35" s="140"/>
      <c r="J35" s="140"/>
      <c r="K35" s="140"/>
      <c r="L35" s="140"/>
      <c r="M35" s="140"/>
      <c r="N35" s="140"/>
      <c r="O35" s="140"/>
      <c r="P35" s="140"/>
      <c r="Q35" s="140"/>
    </row>
    <row r="37" spans="1:17" s="176" customFormat="1" ht="30" customHeight="1">
      <c r="A37" s="140"/>
      <c r="B37" s="140"/>
      <c r="C37" s="140"/>
      <c r="D37" s="140"/>
      <c r="E37" s="140"/>
      <c r="F37" s="140"/>
      <c r="G37" s="140"/>
      <c r="H37" s="140"/>
      <c r="I37" s="140"/>
      <c r="J37" s="140"/>
      <c r="K37" s="140"/>
      <c r="L37" s="140"/>
      <c r="M37" s="140"/>
      <c r="N37" s="140"/>
      <c r="O37" s="140"/>
      <c r="P37" s="140"/>
      <c r="Q37" s="140"/>
    </row>
    <row r="39" spans="1:17" s="176" customFormat="1" ht="30" customHeight="1">
      <c r="A39" s="140"/>
      <c r="B39" s="140"/>
      <c r="C39" s="140"/>
      <c r="D39" s="140"/>
      <c r="E39" s="140"/>
      <c r="F39" s="140"/>
      <c r="G39" s="140"/>
      <c r="H39" s="140"/>
      <c r="I39" s="140"/>
      <c r="J39" s="140"/>
      <c r="K39" s="140"/>
      <c r="L39" s="140"/>
      <c r="M39" s="140"/>
      <c r="N39" s="140"/>
      <c r="O39" s="140"/>
      <c r="P39" s="140"/>
      <c r="Q39" s="140"/>
    </row>
    <row r="41" spans="1:17" s="143" customFormat="1" ht="30" customHeight="1">
      <c r="A41" s="140"/>
      <c r="B41" s="140"/>
      <c r="C41" s="140"/>
      <c r="D41" s="140"/>
      <c r="E41" s="140"/>
      <c r="F41" s="140"/>
      <c r="G41" s="140"/>
      <c r="H41" s="140"/>
      <c r="I41" s="140"/>
      <c r="J41" s="140"/>
      <c r="K41" s="140"/>
      <c r="L41" s="140"/>
      <c r="M41" s="140"/>
      <c r="N41" s="140"/>
      <c r="O41" s="140"/>
      <c r="P41" s="140"/>
      <c r="Q41" s="140"/>
    </row>
    <row r="42" spans="1:17" s="143" customFormat="1" ht="30" customHeight="1">
      <c r="A42" s="140"/>
      <c r="B42" s="140"/>
      <c r="C42" s="140"/>
      <c r="D42" s="140"/>
      <c r="E42" s="140"/>
      <c r="F42" s="140"/>
      <c r="G42" s="140"/>
      <c r="H42" s="140"/>
      <c r="I42" s="140"/>
      <c r="J42" s="140"/>
      <c r="K42" s="140"/>
      <c r="L42" s="140"/>
      <c r="M42" s="140"/>
      <c r="N42" s="140"/>
      <c r="O42" s="140"/>
      <c r="P42" s="140"/>
      <c r="Q42" s="140"/>
    </row>
    <row r="43" spans="1:17" s="143" customFormat="1" ht="30" customHeight="1">
      <c r="A43" s="140"/>
      <c r="B43" s="140"/>
      <c r="C43" s="140"/>
      <c r="D43" s="140"/>
      <c r="E43" s="140"/>
      <c r="F43" s="140"/>
      <c r="G43" s="140"/>
      <c r="H43" s="140"/>
      <c r="I43" s="140"/>
      <c r="J43" s="140"/>
      <c r="K43" s="140"/>
      <c r="L43" s="140"/>
      <c r="M43" s="140"/>
      <c r="N43" s="140"/>
      <c r="O43" s="140"/>
      <c r="P43" s="140"/>
      <c r="Q43" s="140"/>
    </row>
    <row r="44" spans="1:17" s="143" customFormat="1" ht="30" customHeight="1">
      <c r="A44" s="140"/>
      <c r="B44" s="140"/>
      <c r="C44" s="140"/>
      <c r="D44" s="140"/>
      <c r="E44" s="140"/>
      <c r="F44" s="140"/>
      <c r="G44" s="140"/>
      <c r="H44" s="140"/>
      <c r="I44" s="140"/>
      <c r="J44" s="140"/>
      <c r="K44" s="140"/>
      <c r="L44" s="140"/>
      <c r="M44" s="140"/>
      <c r="N44" s="140"/>
      <c r="O44" s="140"/>
      <c r="P44" s="140"/>
      <c r="Q44" s="140"/>
    </row>
    <row r="45" spans="1:17" s="143" customFormat="1" ht="30" customHeight="1">
      <c r="A45" s="140"/>
      <c r="B45" s="140"/>
      <c r="C45" s="140"/>
      <c r="D45" s="140"/>
      <c r="E45" s="140"/>
      <c r="F45" s="140"/>
      <c r="G45" s="140"/>
      <c r="H45" s="140"/>
      <c r="I45" s="140"/>
      <c r="J45" s="140"/>
      <c r="K45" s="140"/>
      <c r="L45" s="140"/>
      <c r="M45" s="140"/>
      <c r="N45" s="140"/>
      <c r="O45" s="140"/>
      <c r="P45" s="140"/>
      <c r="Q45" s="140"/>
    </row>
    <row r="46" spans="1:17" s="143" customFormat="1" ht="30" customHeight="1">
      <c r="A46" s="140"/>
      <c r="B46" s="140"/>
      <c r="C46" s="140"/>
      <c r="D46" s="140"/>
      <c r="E46" s="140"/>
      <c r="F46" s="140"/>
      <c r="G46" s="140"/>
      <c r="H46" s="140"/>
      <c r="I46" s="140"/>
      <c r="J46" s="140"/>
      <c r="K46" s="140"/>
      <c r="L46" s="140"/>
      <c r="M46" s="140"/>
      <c r="N46" s="140"/>
      <c r="O46" s="140"/>
      <c r="P46" s="140"/>
      <c r="Q46" s="140"/>
    </row>
    <row r="47" spans="1:17" s="143" customFormat="1" ht="30" customHeight="1">
      <c r="A47" s="140"/>
      <c r="B47" s="140"/>
      <c r="C47" s="140"/>
      <c r="D47" s="140"/>
      <c r="E47" s="140"/>
      <c r="F47" s="140"/>
      <c r="G47" s="140"/>
      <c r="H47" s="140"/>
      <c r="I47" s="140"/>
      <c r="J47" s="140"/>
      <c r="K47" s="140"/>
      <c r="L47" s="140"/>
      <c r="M47" s="140"/>
      <c r="N47" s="140"/>
      <c r="O47" s="140"/>
      <c r="P47" s="140"/>
      <c r="Q47" s="140"/>
    </row>
    <row r="48" spans="1:17" s="181" customFormat="1" ht="30" customHeight="1">
      <c r="A48" s="140"/>
      <c r="B48" s="140"/>
      <c r="C48" s="140"/>
      <c r="D48" s="140"/>
      <c r="E48" s="140"/>
      <c r="F48" s="140"/>
      <c r="G48" s="140"/>
      <c r="H48" s="140"/>
      <c r="I48" s="140"/>
      <c r="J48" s="140"/>
      <c r="K48" s="140"/>
      <c r="L48" s="140"/>
      <c r="M48" s="140"/>
      <c r="N48" s="140"/>
      <c r="O48" s="140"/>
      <c r="P48" s="140"/>
      <c r="Q48" s="140"/>
    </row>
    <row r="49" spans="1:17" s="181" customFormat="1" ht="30" customHeight="1">
      <c r="A49" s="140"/>
      <c r="B49" s="140"/>
      <c r="C49" s="140"/>
      <c r="D49" s="140"/>
      <c r="E49" s="140"/>
      <c r="F49" s="140"/>
      <c r="G49" s="140"/>
      <c r="H49" s="140"/>
      <c r="I49" s="140"/>
      <c r="J49" s="140"/>
      <c r="K49" s="140"/>
      <c r="L49" s="140"/>
      <c r="M49" s="140"/>
      <c r="N49" s="140"/>
      <c r="O49" s="140"/>
      <c r="P49" s="140"/>
      <c r="Q49" s="140"/>
    </row>
    <row r="50" spans="1:17" s="143" customFormat="1" ht="30" customHeight="1">
      <c r="A50" s="140"/>
      <c r="B50" s="140"/>
      <c r="C50" s="140"/>
      <c r="D50" s="140"/>
      <c r="E50" s="140"/>
      <c r="F50" s="140"/>
      <c r="G50" s="140"/>
      <c r="H50" s="140"/>
      <c r="I50" s="140"/>
      <c r="J50" s="140"/>
      <c r="K50" s="140"/>
      <c r="L50" s="140"/>
      <c r="M50" s="140"/>
      <c r="N50" s="140"/>
      <c r="O50" s="140"/>
      <c r="P50" s="140"/>
      <c r="Q50" s="140"/>
    </row>
    <row r="51" spans="1:17" s="181" customFormat="1" ht="30" customHeight="1">
      <c r="A51" s="140"/>
      <c r="B51" s="140"/>
      <c r="C51" s="140"/>
      <c r="D51" s="140"/>
      <c r="E51" s="140"/>
      <c r="F51" s="140"/>
      <c r="G51" s="140"/>
      <c r="H51" s="140"/>
      <c r="I51" s="140"/>
      <c r="J51" s="140"/>
      <c r="K51" s="140"/>
      <c r="L51" s="140"/>
      <c r="M51" s="140"/>
      <c r="N51" s="140"/>
      <c r="O51" s="140"/>
      <c r="P51" s="140"/>
      <c r="Q51" s="140"/>
    </row>
    <row r="52" spans="1:17" s="181" customFormat="1" ht="30" customHeight="1">
      <c r="A52" s="140"/>
      <c r="B52" s="140"/>
      <c r="C52" s="140"/>
      <c r="D52" s="140"/>
      <c r="E52" s="140"/>
      <c r="F52" s="140"/>
      <c r="G52" s="140"/>
      <c r="H52" s="140"/>
      <c r="I52" s="140"/>
      <c r="J52" s="140"/>
      <c r="K52" s="140"/>
      <c r="L52" s="140"/>
      <c r="M52" s="140"/>
      <c r="N52" s="140"/>
      <c r="O52" s="140"/>
      <c r="P52" s="140"/>
      <c r="Q52" s="140"/>
    </row>
    <row r="53" spans="1:17" s="181" customFormat="1" ht="30" customHeight="1">
      <c r="A53" s="140"/>
      <c r="B53" s="140"/>
      <c r="C53" s="140"/>
      <c r="D53" s="140"/>
      <c r="E53" s="140"/>
      <c r="F53" s="140"/>
      <c r="G53" s="140"/>
      <c r="H53" s="140"/>
      <c r="I53" s="140"/>
      <c r="J53" s="140"/>
      <c r="K53" s="140"/>
      <c r="L53" s="140"/>
      <c r="M53" s="140"/>
      <c r="N53" s="140"/>
      <c r="O53" s="140"/>
      <c r="P53" s="140"/>
      <c r="Q53" s="140"/>
    </row>
    <row r="54" spans="1:17" s="181" customFormat="1" ht="30" customHeight="1">
      <c r="A54" s="140"/>
      <c r="B54" s="140"/>
      <c r="C54" s="140"/>
      <c r="D54" s="140"/>
      <c r="E54" s="140"/>
      <c r="F54" s="140"/>
      <c r="G54" s="140"/>
      <c r="H54" s="140"/>
      <c r="I54" s="140"/>
      <c r="J54" s="140"/>
      <c r="K54" s="140"/>
      <c r="L54" s="140"/>
      <c r="M54" s="140"/>
      <c r="N54" s="140"/>
      <c r="O54" s="140"/>
      <c r="P54" s="140"/>
      <c r="Q54" s="140"/>
    </row>
  </sheetData>
  <mergeCells count="15">
    <mergeCell ref="L2:Q2"/>
    <mergeCell ref="B8:E8"/>
    <mergeCell ref="F8:G8"/>
    <mergeCell ref="B14:Q30"/>
    <mergeCell ref="A6:Q6"/>
    <mergeCell ref="O32:Q32"/>
    <mergeCell ref="H8:I8"/>
    <mergeCell ref="B9:E9"/>
    <mergeCell ref="J8:L8"/>
    <mergeCell ref="M8:Q8"/>
    <mergeCell ref="F9:Q9"/>
    <mergeCell ref="B10:E10"/>
    <mergeCell ref="F10:I10"/>
    <mergeCell ref="J10:L10"/>
    <mergeCell ref="M10:Q10"/>
  </mergeCells>
  <phoneticPr fontId="5"/>
  <printOptions horizontalCentered="1"/>
  <pageMargins left="0.39370078740157483" right="0.39370078740157483" top="0.39370078740157483" bottom="0.39370078740157483" header="0.51181102362204722" footer="0.51181102362204722"/>
  <pageSetup paperSize="9" scale="90" orientation="portrait" blackAndWhite="1"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8</vt:i4>
      </vt:variant>
    </vt:vector>
  </HeadingPairs>
  <TitlesOfParts>
    <vt:vector size="22" baseType="lpstr">
      <vt:lpstr>初期設定</vt:lpstr>
      <vt:lpstr>リスト</vt:lpstr>
      <vt:lpstr>02.経費支弁書</vt:lpstr>
      <vt:lpstr>01.入学願書</vt:lpstr>
      <vt:lpstr>家族追加用紙</vt:lpstr>
      <vt:lpstr>03.訳文(留学理由)</vt:lpstr>
      <vt:lpstr>04.入寮申込書</vt:lpstr>
      <vt:lpstr>申請人１</vt:lpstr>
      <vt:lpstr>申請人２－３</vt:lpstr>
      <vt:lpstr>所属機関１－２</vt:lpstr>
      <vt:lpstr>確認報告書</vt:lpstr>
      <vt:lpstr>在留用収入</vt:lpstr>
      <vt:lpstr>貼付用抽出</vt:lpstr>
      <vt:lpstr>04.説明書</vt:lpstr>
      <vt:lpstr>'01.入学願書'!Print_Area</vt:lpstr>
      <vt:lpstr>'02.経費支弁書'!Print_Area</vt:lpstr>
      <vt:lpstr>'03.訳文(留学理由)'!Print_Area</vt:lpstr>
      <vt:lpstr>'04.入寮申込書'!Print_Area</vt:lpstr>
      <vt:lpstr>リスト!Print_Area</vt:lpstr>
      <vt:lpstr>家族追加用紙!Print_Area</vt:lpstr>
      <vt:lpstr>申請人１!Print_Area</vt:lpstr>
      <vt:lpstr>確認報告書!Print_Area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Hazuki</dc:creator>
  <cp:lastModifiedBy>Administrator PC</cp:lastModifiedBy>
  <cp:lastPrinted>2017-05-26T11:35:14Z</cp:lastPrinted>
  <dcterms:created xsi:type="dcterms:W3CDTF">2002-06-20T01:11:12Z</dcterms:created>
  <dcterms:modified xsi:type="dcterms:W3CDTF">2017-05-30T10:45:29Z</dcterms:modified>
</cp:coreProperties>
</file>